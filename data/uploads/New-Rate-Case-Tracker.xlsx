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d.docs.live.net/5c85b5142ce30164/Desktop/Rate Case/"/>
    </mc:Choice>
  </mc:AlternateContent>
  <xr:revisionPtr revIDLastSave="4410" documentId="14_{CFC8C565-89B5-46CE-9687-42DE7FC9F079}" xr6:coauthVersionLast="47" xr6:coauthVersionMax="47" xr10:uidLastSave="{786A9EC9-A351-4AB6-A8A2-72CD7212891E}"/>
  <bookViews>
    <workbookView xWindow="-120" yWindow="-120" windowWidth="29040" windowHeight="15720" activeTab="1" xr2:uid="{C13719E5-3E34-4A51-A8E3-25119CBEDD7C}"/>
  </bookViews>
  <sheets>
    <sheet name="Call Tracker" sheetId="10" r:id="rId1"/>
    <sheet name="Summary" sheetId="4" r:id="rId2"/>
    <sheet name="Docketed Comments" sheetId="1" r:id="rId3"/>
  </sheet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502" i="1" l="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C5" i="4" a="1"/>
  <c r="C5" i="4" s="1"/>
  <c r="O1101" i="10"/>
  <c r="P1101" i="10" s="1"/>
  <c r="N1101" i="10"/>
  <c r="M1101" i="10"/>
  <c r="L1101" i="10"/>
  <c r="J1101" i="10"/>
  <c r="I1101" i="10"/>
  <c r="H1101" i="10"/>
  <c r="O1100" i="10"/>
  <c r="P1100" i="10" s="1"/>
  <c r="N1100" i="10"/>
  <c r="M1100" i="10"/>
  <c r="L1100" i="10"/>
  <c r="J1100" i="10"/>
  <c r="I1100" i="10"/>
  <c r="H1100" i="10"/>
  <c r="O1099" i="10"/>
  <c r="P1099" i="10" s="1"/>
  <c r="N1099" i="10"/>
  <c r="M1099" i="10"/>
  <c r="L1099" i="10"/>
  <c r="J1099" i="10"/>
  <c r="I1099" i="10"/>
  <c r="H1099" i="10"/>
  <c r="O1098" i="10"/>
  <c r="K1098" i="10" s="1"/>
  <c r="N1098" i="10"/>
  <c r="M1098" i="10"/>
  <c r="L1098" i="10"/>
  <c r="J1098" i="10"/>
  <c r="I1098" i="10"/>
  <c r="H1098" i="10"/>
  <c r="O1097" i="10"/>
  <c r="P1097" i="10" s="1"/>
  <c r="N1097" i="10"/>
  <c r="M1097" i="10"/>
  <c r="L1097" i="10"/>
  <c r="J1097" i="10"/>
  <c r="I1097" i="10"/>
  <c r="H1097" i="10"/>
  <c r="O1096" i="10"/>
  <c r="P1096" i="10" s="1"/>
  <c r="N1096" i="10"/>
  <c r="M1096" i="10"/>
  <c r="L1096" i="10"/>
  <c r="J1096" i="10"/>
  <c r="I1096" i="10"/>
  <c r="H1096" i="10"/>
  <c r="O1095" i="10"/>
  <c r="N1095" i="10"/>
  <c r="M1095" i="10"/>
  <c r="L1095" i="10"/>
  <c r="J1095" i="10"/>
  <c r="I1095" i="10"/>
  <c r="H1095" i="10"/>
  <c r="O1094" i="10"/>
  <c r="P1094" i="10" s="1"/>
  <c r="N1094" i="10"/>
  <c r="M1094" i="10"/>
  <c r="L1094" i="10"/>
  <c r="J1094" i="10"/>
  <c r="I1094" i="10"/>
  <c r="H1094" i="10"/>
  <c r="O1093" i="10"/>
  <c r="K1093" i="10" s="1"/>
  <c r="N1093" i="10"/>
  <c r="M1093" i="10"/>
  <c r="L1093" i="10"/>
  <c r="J1093" i="10"/>
  <c r="I1093" i="10"/>
  <c r="H1093" i="10"/>
  <c r="O1092" i="10"/>
  <c r="N1092" i="10"/>
  <c r="M1092" i="10"/>
  <c r="L1092" i="10"/>
  <c r="J1092" i="10"/>
  <c r="I1092" i="10"/>
  <c r="H1092" i="10"/>
  <c r="O1091" i="10"/>
  <c r="P1091" i="10" s="1"/>
  <c r="N1091" i="10"/>
  <c r="M1091" i="10"/>
  <c r="L1091" i="10"/>
  <c r="K1091" i="10"/>
  <c r="J1091" i="10"/>
  <c r="I1091" i="10"/>
  <c r="H1091" i="10"/>
  <c r="O1090" i="10"/>
  <c r="P1090" i="10" s="1"/>
  <c r="N1090" i="10"/>
  <c r="M1090" i="10"/>
  <c r="L1090" i="10"/>
  <c r="J1090" i="10"/>
  <c r="I1090" i="10"/>
  <c r="H1090" i="10"/>
  <c r="O1089" i="10"/>
  <c r="K1089" i="10" s="1"/>
  <c r="N1089" i="10"/>
  <c r="M1089" i="10"/>
  <c r="L1089" i="10"/>
  <c r="J1089" i="10"/>
  <c r="I1089" i="10"/>
  <c r="H1089" i="10"/>
  <c r="O1088" i="10"/>
  <c r="P1088" i="10" s="1"/>
  <c r="N1088" i="10"/>
  <c r="M1088" i="10"/>
  <c r="L1088" i="10"/>
  <c r="J1088" i="10"/>
  <c r="I1088" i="10"/>
  <c r="H1088" i="10"/>
  <c r="O1087" i="10"/>
  <c r="K1087" i="10" s="1"/>
  <c r="N1087" i="10"/>
  <c r="M1087" i="10"/>
  <c r="L1087" i="10"/>
  <c r="J1087" i="10"/>
  <c r="I1087" i="10"/>
  <c r="H1087" i="10"/>
  <c r="O1086" i="10"/>
  <c r="P1086" i="10" s="1"/>
  <c r="N1086" i="10"/>
  <c r="M1086" i="10"/>
  <c r="L1086" i="10"/>
  <c r="J1086" i="10"/>
  <c r="I1086" i="10"/>
  <c r="H1086" i="10"/>
  <c r="O1085" i="10"/>
  <c r="P1085" i="10" s="1"/>
  <c r="N1085" i="10"/>
  <c r="M1085" i="10"/>
  <c r="L1085" i="10"/>
  <c r="J1085" i="10"/>
  <c r="I1085" i="10"/>
  <c r="H1085" i="10"/>
  <c r="O1084" i="10"/>
  <c r="P1084" i="10" s="1"/>
  <c r="N1084" i="10"/>
  <c r="M1084" i="10"/>
  <c r="L1084" i="10"/>
  <c r="J1084" i="10"/>
  <c r="I1084" i="10"/>
  <c r="H1084" i="10"/>
  <c r="O1083" i="10"/>
  <c r="K1083" i="10" s="1"/>
  <c r="N1083" i="10"/>
  <c r="M1083" i="10"/>
  <c r="L1083" i="10"/>
  <c r="J1083" i="10"/>
  <c r="I1083" i="10"/>
  <c r="H1083" i="10"/>
  <c r="O1082" i="10"/>
  <c r="P1082" i="10" s="1"/>
  <c r="N1082" i="10"/>
  <c r="M1082" i="10"/>
  <c r="L1082" i="10"/>
  <c r="J1082" i="10"/>
  <c r="I1082" i="10"/>
  <c r="H1082" i="10"/>
  <c r="O1081" i="10"/>
  <c r="P1081" i="10" s="1"/>
  <c r="N1081" i="10"/>
  <c r="M1081" i="10"/>
  <c r="L1081" i="10"/>
  <c r="J1081" i="10"/>
  <c r="I1081" i="10"/>
  <c r="H1081" i="10"/>
  <c r="O1080" i="10"/>
  <c r="K1080" i="10" s="1"/>
  <c r="N1080" i="10"/>
  <c r="M1080" i="10"/>
  <c r="L1080" i="10"/>
  <c r="J1080" i="10"/>
  <c r="I1080" i="10"/>
  <c r="H1080" i="10"/>
  <c r="O1079" i="10"/>
  <c r="P1079" i="10" s="1"/>
  <c r="N1079" i="10"/>
  <c r="M1079" i="10"/>
  <c r="L1079" i="10"/>
  <c r="J1079" i="10"/>
  <c r="I1079" i="10"/>
  <c r="H1079" i="10"/>
  <c r="O1078" i="10"/>
  <c r="P1078" i="10" s="1"/>
  <c r="N1078" i="10"/>
  <c r="M1078" i="10"/>
  <c r="L1078" i="10"/>
  <c r="J1078" i="10"/>
  <c r="I1078" i="10"/>
  <c r="H1078" i="10"/>
  <c r="O1077" i="10"/>
  <c r="K1077" i="10" s="1"/>
  <c r="N1077" i="10"/>
  <c r="M1077" i="10"/>
  <c r="L1077" i="10"/>
  <c r="J1077" i="10"/>
  <c r="I1077" i="10"/>
  <c r="H1077" i="10"/>
  <c r="O1076" i="10"/>
  <c r="K1076" i="10" s="1"/>
  <c r="N1076" i="10"/>
  <c r="M1076" i="10"/>
  <c r="L1076" i="10"/>
  <c r="J1076" i="10"/>
  <c r="I1076" i="10"/>
  <c r="H1076" i="10"/>
  <c r="O1075" i="10"/>
  <c r="P1075" i="10" s="1"/>
  <c r="N1075" i="10"/>
  <c r="M1075" i="10"/>
  <c r="L1075" i="10"/>
  <c r="J1075" i="10"/>
  <c r="I1075" i="10"/>
  <c r="H1075" i="10"/>
  <c r="O1074" i="10"/>
  <c r="P1074" i="10" s="1"/>
  <c r="N1074" i="10"/>
  <c r="M1074" i="10"/>
  <c r="L1074" i="10"/>
  <c r="J1074" i="10"/>
  <c r="I1074" i="10"/>
  <c r="H1074" i="10"/>
  <c r="O1073" i="10"/>
  <c r="K1073" i="10" s="1"/>
  <c r="N1073" i="10"/>
  <c r="M1073" i="10"/>
  <c r="L1073" i="10"/>
  <c r="J1073" i="10"/>
  <c r="I1073" i="10"/>
  <c r="H1073" i="10"/>
  <c r="O1072" i="10"/>
  <c r="P1072" i="10" s="1"/>
  <c r="N1072" i="10"/>
  <c r="M1072" i="10"/>
  <c r="L1072" i="10"/>
  <c r="J1072" i="10"/>
  <c r="I1072" i="10"/>
  <c r="H1072" i="10"/>
  <c r="O1071" i="10"/>
  <c r="K1071" i="10" s="1"/>
  <c r="N1071" i="10"/>
  <c r="M1071" i="10"/>
  <c r="L1071" i="10"/>
  <c r="J1071" i="10"/>
  <c r="I1071" i="10"/>
  <c r="H1071" i="10"/>
  <c r="O1070" i="10"/>
  <c r="K1070" i="10" s="1"/>
  <c r="N1070" i="10"/>
  <c r="M1070" i="10"/>
  <c r="L1070" i="10"/>
  <c r="J1070" i="10"/>
  <c r="I1070" i="10"/>
  <c r="H1070" i="10"/>
  <c r="O1069" i="10"/>
  <c r="P1069" i="10" s="1"/>
  <c r="N1069" i="10"/>
  <c r="M1069" i="10"/>
  <c r="L1069" i="10"/>
  <c r="J1069" i="10"/>
  <c r="I1069" i="10"/>
  <c r="H1069" i="10"/>
  <c r="O1068" i="10"/>
  <c r="P1068" i="10" s="1"/>
  <c r="N1068" i="10"/>
  <c r="M1068" i="10"/>
  <c r="L1068" i="10"/>
  <c r="J1068" i="10"/>
  <c r="I1068" i="10"/>
  <c r="H1068" i="10"/>
  <c r="O1067" i="10"/>
  <c r="P1067" i="10" s="1"/>
  <c r="N1067" i="10"/>
  <c r="M1067" i="10"/>
  <c r="L1067" i="10"/>
  <c r="J1067" i="10"/>
  <c r="I1067" i="10"/>
  <c r="H1067" i="10"/>
  <c r="O1066" i="10"/>
  <c r="K1066" i="10" s="1"/>
  <c r="N1066" i="10"/>
  <c r="M1066" i="10"/>
  <c r="L1066" i="10"/>
  <c r="J1066" i="10"/>
  <c r="I1066" i="10"/>
  <c r="H1066" i="10"/>
  <c r="O1065" i="10"/>
  <c r="P1065" i="10" s="1"/>
  <c r="N1065" i="10"/>
  <c r="M1065" i="10"/>
  <c r="L1065" i="10"/>
  <c r="J1065" i="10"/>
  <c r="I1065" i="10"/>
  <c r="H1065" i="10"/>
  <c r="O1064" i="10"/>
  <c r="P1064" i="10" s="1"/>
  <c r="N1064" i="10"/>
  <c r="M1064" i="10"/>
  <c r="L1064" i="10"/>
  <c r="J1064" i="10"/>
  <c r="I1064" i="10"/>
  <c r="H1064" i="10"/>
  <c r="O1063" i="10"/>
  <c r="N1063" i="10"/>
  <c r="M1063" i="10"/>
  <c r="L1063" i="10"/>
  <c r="J1063" i="10"/>
  <c r="I1063" i="10"/>
  <c r="H1063" i="10"/>
  <c r="O1062" i="10"/>
  <c r="P1062" i="10" s="1"/>
  <c r="N1062" i="10"/>
  <c r="M1062" i="10"/>
  <c r="L1062" i="10"/>
  <c r="J1062" i="10"/>
  <c r="I1062" i="10"/>
  <c r="H1062" i="10"/>
  <c r="O1061" i="10"/>
  <c r="K1061" i="10" s="1"/>
  <c r="N1061" i="10"/>
  <c r="M1061" i="10"/>
  <c r="L1061" i="10"/>
  <c r="J1061" i="10"/>
  <c r="I1061" i="10"/>
  <c r="H1061" i="10"/>
  <c r="O1060" i="10"/>
  <c r="N1060" i="10"/>
  <c r="M1060" i="10"/>
  <c r="L1060" i="10"/>
  <c r="J1060" i="10"/>
  <c r="I1060" i="10"/>
  <c r="H1060" i="10"/>
  <c r="O1059" i="10"/>
  <c r="P1059" i="10" s="1"/>
  <c r="N1059" i="10"/>
  <c r="M1059" i="10"/>
  <c r="L1059" i="10"/>
  <c r="J1059" i="10"/>
  <c r="I1059" i="10"/>
  <c r="H1059" i="10"/>
  <c r="O1058" i="10"/>
  <c r="P1058" i="10" s="1"/>
  <c r="N1058" i="10"/>
  <c r="M1058" i="10"/>
  <c r="L1058" i="10"/>
  <c r="J1058" i="10"/>
  <c r="I1058" i="10"/>
  <c r="H1058" i="10"/>
  <c r="O1057" i="10"/>
  <c r="P1057" i="10" s="1"/>
  <c r="N1057" i="10"/>
  <c r="M1057" i="10"/>
  <c r="L1057" i="10"/>
  <c r="J1057" i="10"/>
  <c r="I1057" i="10"/>
  <c r="H1057" i="10"/>
  <c r="O1056" i="10"/>
  <c r="P1056" i="10" s="1"/>
  <c r="N1056" i="10"/>
  <c r="M1056" i="10"/>
  <c r="L1056" i="10"/>
  <c r="J1056" i="10"/>
  <c r="I1056" i="10"/>
  <c r="H1056" i="10"/>
  <c r="O1055" i="10"/>
  <c r="K1055" i="10" s="1"/>
  <c r="N1055" i="10"/>
  <c r="M1055" i="10"/>
  <c r="L1055" i="10"/>
  <c r="J1055" i="10"/>
  <c r="I1055" i="10"/>
  <c r="H1055" i="10"/>
  <c r="O1054" i="10"/>
  <c r="P1054" i="10" s="1"/>
  <c r="N1054" i="10"/>
  <c r="M1054" i="10"/>
  <c r="L1054" i="10"/>
  <c r="J1054" i="10"/>
  <c r="I1054" i="10"/>
  <c r="H1054" i="10"/>
  <c r="O1053" i="10"/>
  <c r="P1053" i="10" s="1"/>
  <c r="N1053" i="10"/>
  <c r="M1053" i="10"/>
  <c r="L1053" i="10"/>
  <c r="J1053" i="10"/>
  <c r="I1053" i="10"/>
  <c r="H1053" i="10"/>
  <c r="O1052" i="10"/>
  <c r="K1052" i="10" s="1"/>
  <c r="N1052" i="10"/>
  <c r="M1052" i="10"/>
  <c r="L1052" i="10"/>
  <c r="J1052" i="10"/>
  <c r="I1052" i="10"/>
  <c r="H1052" i="10"/>
  <c r="O1051" i="10"/>
  <c r="P1051" i="10" s="1"/>
  <c r="N1051" i="10"/>
  <c r="M1051" i="10"/>
  <c r="L1051" i="10"/>
  <c r="J1051" i="10"/>
  <c r="I1051" i="10"/>
  <c r="H1051" i="10"/>
  <c r="O1050" i="10"/>
  <c r="P1050" i="10" s="1"/>
  <c r="N1050" i="10"/>
  <c r="M1050" i="10"/>
  <c r="L1050" i="10"/>
  <c r="J1050" i="10"/>
  <c r="I1050" i="10"/>
  <c r="H1050" i="10"/>
  <c r="O1049" i="10"/>
  <c r="P1049" i="10" s="1"/>
  <c r="N1049" i="10"/>
  <c r="M1049" i="10"/>
  <c r="L1049" i="10"/>
  <c r="J1049" i="10"/>
  <c r="I1049" i="10"/>
  <c r="H1049" i="10"/>
  <c r="O1048" i="10"/>
  <c r="K1048" i="10" s="1"/>
  <c r="N1048" i="10"/>
  <c r="M1048" i="10"/>
  <c r="L1048" i="10"/>
  <c r="J1048" i="10"/>
  <c r="I1048" i="10"/>
  <c r="H1048" i="10"/>
  <c r="O1047" i="10"/>
  <c r="P1047" i="10" s="1"/>
  <c r="N1047" i="10"/>
  <c r="M1047" i="10"/>
  <c r="L1047" i="10"/>
  <c r="J1047" i="10"/>
  <c r="I1047" i="10"/>
  <c r="H1047" i="10"/>
  <c r="O1046" i="10"/>
  <c r="P1046" i="10" s="1"/>
  <c r="N1046" i="10"/>
  <c r="M1046" i="10"/>
  <c r="L1046" i="10"/>
  <c r="J1046" i="10"/>
  <c r="I1046" i="10"/>
  <c r="H1046" i="10"/>
  <c r="O1045" i="10"/>
  <c r="K1045" i="10" s="1"/>
  <c r="N1045" i="10"/>
  <c r="M1045" i="10"/>
  <c r="L1045" i="10"/>
  <c r="J1045" i="10"/>
  <c r="I1045" i="10"/>
  <c r="H1045" i="10"/>
  <c r="O1044" i="10"/>
  <c r="P1044" i="10" s="1"/>
  <c r="N1044" i="10"/>
  <c r="M1044" i="10"/>
  <c r="L1044" i="10"/>
  <c r="J1044" i="10"/>
  <c r="I1044" i="10"/>
  <c r="H1044" i="10"/>
  <c r="O1043" i="10"/>
  <c r="K1043" i="10" s="1"/>
  <c r="N1043" i="10"/>
  <c r="M1043" i="10"/>
  <c r="L1043" i="10"/>
  <c r="J1043" i="10"/>
  <c r="I1043" i="10"/>
  <c r="H1043" i="10"/>
  <c r="O1042" i="10"/>
  <c r="P1042" i="10" s="1"/>
  <c r="N1042" i="10"/>
  <c r="M1042" i="10"/>
  <c r="L1042" i="10"/>
  <c r="J1042" i="10"/>
  <c r="I1042" i="10"/>
  <c r="H1042" i="10"/>
  <c r="O1041" i="10"/>
  <c r="P1041" i="10" s="1"/>
  <c r="N1041" i="10"/>
  <c r="M1041" i="10"/>
  <c r="L1041" i="10"/>
  <c r="J1041" i="10"/>
  <c r="I1041" i="10"/>
  <c r="H1041" i="10"/>
  <c r="O1040" i="10"/>
  <c r="P1040" i="10" s="1"/>
  <c r="N1040" i="10"/>
  <c r="M1040" i="10"/>
  <c r="L1040" i="10"/>
  <c r="J1040" i="10"/>
  <c r="I1040" i="10"/>
  <c r="H1040" i="10"/>
  <c r="O1039" i="10"/>
  <c r="P1039" i="10" s="1"/>
  <c r="N1039" i="10"/>
  <c r="M1039" i="10"/>
  <c r="L1039" i="10"/>
  <c r="J1039" i="10"/>
  <c r="I1039" i="10"/>
  <c r="H1039" i="10"/>
  <c r="O1038" i="10"/>
  <c r="K1038" i="10" s="1"/>
  <c r="N1038" i="10"/>
  <c r="M1038" i="10"/>
  <c r="L1038" i="10"/>
  <c r="J1038" i="10"/>
  <c r="I1038" i="10"/>
  <c r="H1038" i="10"/>
  <c r="O1037" i="10"/>
  <c r="K1037" i="10" s="1"/>
  <c r="N1037" i="10"/>
  <c r="M1037" i="10"/>
  <c r="L1037" i="10"/>
  <c r="J1037" i="10"/>
  <c r="I1037" i="10"/>
  <c r="H1037" i="10"/>
  <c r="O1036" i="10"/>
  <c r="P1036" i="10" s="1"/>
  <c r="N1036" i="10"/>
  <c r="M1036" i="10"/>
  <c r="L1036" i="10"/>
  <c r="J1036" i="10"/>
  <c r="I1036" i="10"/>
  <c r="H1036" i="10"/>
  <c r="O1035" i="10"/>
  <c r="P1035" i="10" s="1"/>
  <c r="N1035" i="10"/>
  <c r="M1035" i="10"/>
  <c r="L1035" i="10"/>
  <c r="J1035" i="10"/>
  <c r="I1035" i="10"/>
  <c r="H1035" i="10"/>
  <c r="O1034" i="10"/>
  <c r="P1034" i="10" s="1"/>
  <c r="N1034" i="10"/>
  <c r="M1034" i="10"/>
  <c r="L1034" i="10"/>
  <c r="J1034" i="10"/>
  <c r="I1034" i="10"/>
  <c r="H1034" i="10"/>
  <c r="O1033" i="10"/>
  <c r="P1033" i="10" s="1"/>
  <c r="N1033" i="10"/>
  <c r="M1033" i="10"/>
  <c r="L1033" i="10"/>
  <c r="J1033" i="10"/>
  <c r="I1033" i="10"/>
  <c r="H1033" i="10"/>
  <c r="O1032" i="10"/>
  <c r="P1032" i="10" s="1"/>
  <c r="N1032" i="10"/>
  <c r="M1032" i="10"/>
  <c r="L1032" i="10"/>
  <c r="J1032" i="10"/>
  <c r="I1032" i="10"/>
  <c r="H1032" i="10"/>
  <c r="O1031" i="10"/>
  <c r="P1031" i="10" s="1"/>
  <c r="N1031" i="10"/>
  <c r="M1031" i="10"/>
  <c r="L1031" i="10"/>
  <c r="J1031" i="10"/>
  <c r="I1031" i="10"/>
  <c r="H1031" i="10"/>
  <c r="O1030" i="10"/>
  <c r="K1030" i="10" s="1"/>
  <c r="N1030" i="10"/>
  <c r="M1030" i="10"/>
  <c r="L1030" i="10"/>
  <c r="J1030" i="10"/>
  <c r="I1030" i="10"/>
  <c r="H1030" i="10"/>
  <c r="O1029" i="10"/>
  <c r="K1029" i="10" s="1"/>
  <c r="N1029" i="10"/>
  <c r="M1029" i="10"/>
  <c r="L1029" i="10"/>
  <c r="J1029" i="10"/>
  <c r="I1029" i="10"/>
  <c r="H1029" i="10"/>
  <c r="O1028" i="10"/>
  <c r="P1028" i="10" s="1"/>
  <c r="N1028" i="10"/>
  <c r="M1028" i="10"/>
  <c r="L1028" i="10"/>
  <c r="J1028" i="10"/>
  <c r="I1028" i="10"/>
  <c r="H1028" i="10"/>
  <c r="O1027" i="10"/>
  <c r="K1027" i="10" s="1"/>
  <c r="N1027" i="10"/>
  <c r="M1027" i="10"/>
  <c r="L1027" i="10"/>
  <c r="J1027" i="10"/>
  <c r="I1027" i="10"/>
  <c r="H1027" i="10"/>
  <c r="O1026" i="10"/>
  <c r="P1026" i="10" s="1"/>
  <c r="N1026" i="10"/>
  <c r="M1026" i="10"/>
  <c r="L1026" i="10"/>
  <c r="J1026" i="10"/>
  <c r="I1026" i="10"/>
  <c r="H1026" i="10"/>
  <c r="O1025" i="10"/>
  <c r="P1025" i="10" s="1"/>
  <c r="N1025" i="10"/>
  <c r="M1025" i="10"/>
  <c r="L1025" i="10"/>
  <c r="J1025" i="10"/>
  <c r="I1025" i="10"/>
  <c r="H1025" i="10"/>
  <c r="O1024" i="10"/>
  <c r="P1024" i="10" s="1"/>
  <c r="N1024" i="10"/>
  <c r="M1024" i="10"/>
  <c r="L1024" i="10"/>
  <c r="J1024" i="10"/>
  <c r="I1024" i="10"/>
  <c r="H1024" i="10"/>
  <c r="O1023" i="10"/>
  <c r="K1023" i="10" s="1"/>
  <c r="N1023" i="10"/>
  <c r="M1023" i="10"/>
  <c r="L1023" i="10"/>
  <c r="J1023" i="10"/>
  <c r="I1023" i="10"/>
  <c r="H1023" i="10"/>
  <c r="O1022" i="10"/>
  <c r="P1022" i="10" s="1"/>
  <c r="N1022" i="10"/>
  <c r="M1022" i="10"/>
  <c r="L1022" i="10"/>
  <c r="J1022" i="10"/>
  <c r="I1022" i="10"/>
  <c r="H1022" i="10"/>
  <c r="O1021" i="10"/>
  <c r="K1021" i="10" s="1"/>
  <c r="N1021" i="10"/>
  <c r="M1021" i="10"/>
  <c r="L1021" i="10"/>
  <c r="J1021" i="10"/>
  <c r="I1021" i="10"/>
  <c r="H1021" i="10"/>
  <c r="O1020" i="10"/>
  <c r="P1020" i="10" s="1"/>
  <c r="N1020" i="10"/>
  <c r="M1020" i="10"/>
  <c r="L1020" i="10"/>
  <c r="J1020" i="10"/>
  <c r="I1020" i="10"/>
  <c r="H1020" i="10"/>
  <c r="O1019" i="10"/>
  <c r="P1019" i="10" s="1"/>
  <c r="N1019" i="10"/>
  <c r="M1019" i="10"/>
  <c r="L1019" i="10"/>
  <c r="J1019" i="10"/>
  <c r="I1019" i="10"/>
  <c r="H1019" i="10"/>
  <c r="O1018" i="10"/>
  <c r="P1018" i="10" s="1"/>
  <c r="N1018" i="10"/>
  <c r="M1018" i="10"/>
  <c r="L1018" i="10"/>
  <c r="J1018" i="10"/>
  <c r="I1018" i="10"/>
  <c r="H1018" i="10"/>
  <c r="O1017" i="10"/>
  <c r="P1017" i="10" s="1"/>
  <c r="N1017" i="10"/>
  <c r="M1017" i="10"/>
  <c r="L1017" i="10"/>
  <c r="J1017" i="10"/>
  <c r="I1017" i="10"/>
  <c r="H1017" i="10"/>
  <c r="O1016" i="10"/>
  <c r="K1016" i="10" s="1"/>
  <c r="N1016" i="10"/>
  <c r="M1016" i="10"/>
  <c r="L1016" i="10"/>
  <c r="J1016" i="10"/>
  <c r="I1016" i="10"/>
  <c r="H1016" i="10"/>
  <c r="O1015" i="10"/>
  <c r="P1015" i="10" s="1"/>
  <c r="N1015" i="10"/>
  <c r="M1015" i="10"/>
  <c r="L1015" i="10"/>
  <c r="J1015" i="10"/>
  <c r="I1015" i="10"/>
  <c r="H1015" i="10"/>
  <c r="O1014" i="10"/>
  <c r="K1014" i="10" s="1"/>
  <c r="N1014" i="10"/>
  <c r="M1014" i="10"/>
  <c r="L1014" i="10"/>
  <c r="J1014" i="10"/>
  <c r="I1014" i="10"/>
  <c r="H1014" i="10"/>
  <c r="O1013" i="10"/>
  <c r="P1013" i="10" s="1"/>
  <c r="N1013" i="10"/>
  <c r="M1013" i="10"/>
  <c r="L1013" i="10"/>
  <c r="J1013" i="10"/>
  <c r="I1013" i="10"/>
  <c r="H1013" i="10"/>
  <c r="O1012" i="10"/>
  <c r="K1012" i="10" s="1"/>
  <c r="N1012" i="10"/>
  <c r="M1012" i="10"/>
  <c r="L1012" i="10"/>
  <c r="J1012" i="10"/>
  <c r="I1012" i="10"/>
  <c r="H1012" i="10"/>
  <c r="O1011" i="10"/>
  <c r="P1011" i="10" s="1"/>
  <c r="N1011" i="10"/>
  <c r="M1011" i="10"/>
  <c r="L1011" i="10"/>
  <c r="J1011" i="10"/>
  <c r="I1011" i="10"/>
  <c r="H1011" i="10"/>
  <c r="O1010" i="10"/>
  <c r="P1010" i="10" s="1"/>
  <c r="N1010" i="10"/>
  <c r="M1010" i="10"/>
  <c r="L1010" i="10"/>
  <c r="J1010" i="10"/>
  <c r="I1010" i="10"/>
  <c r="H1010" i="10"/>
  <c r="O1009" i="10"/>
  <c r="P1009" i="10" s="1"/>
  <c r="N1009" i="10"/>
  <c r="M1009" i="10"/>
  <c r="L1009" i="10"/>
  <c r="J1009" i="10"/>
  <c r="I1009" i="10"/>
  <c r="H1009" i="10"/>
  <c r="O1008" i="10"/>
  <c r="K1008" i="10" s="1"/>
  <c r="N1008" i="10"/>
  <c r="M1008" i="10"/>
  <c r="L1008" i="10"/>
  <c r="J1008" i="10"/>
  <c r="I1008" i="10"/>
  <c r="H1008" i="10"/>
  <c r="O1007" i="10"/>
  <c r="P1007" i="10" s="1"/>
  <c r="N1007" i="10"/>
  <c r="M1007" i="10"/>
  <c r="L1007" i="10"/>
  <c r="J1007" i="10"/>
  <c r="I1007" i="10"/>
  <c r="H1007" i="10"/>
  <c r="O1006" i="10"/>
  <c r="K1006" i="10" s="1"/>
  <c r="N1006" i="10"/>
  <c r="M1006" i="10"/>
  <c r="L1006" i="10"/>
  <c r="J1006" i="10"/>
  <c r="I1006" i="10"/>
  <c r="H1006" i="10"/>
  <c r="O1005" i="10"/>
  <c r="P1005" i="10" s="1"/>
  <c r="N1005" i="10"/>
  <c r="M1005" i="10"/>
  <c r="L1005" i="10"/>
  <c r="J1005" i="10"/>
  <c r="I1005" i="10"/>
  <c r="H1005" i="10"/>
  <c r="O1004" i="10"/>
  <c r="P1004" i="10" s="1"/>
  <c r="N1004" i="10"/>
  <c r="M1004" i="10"/>
  <c r="L1004" i="10"/>
  <c r="J1004" i="10"/>
  <c r="I1004" i="10"/>
  <c r="H1004" i="10"/>
  <c r="O1003" i="10"/>
  <c r="P1003" i="10" s="1"/>
  <c r="N1003" i="10"/>
  <c r="M1003" i="10"/>
  <c r="L1003" i="10"/>
  <c r="J1003" i="10"/>
  <c r="I1003" i="10"/>
  <c r="H1003" i="10"/>
  <c r="O1002" i="10"/>
  <c r="P1002" i="10" s="1"/>
  <c r="N1002" i="10"/>
  <c r="M1002" i="10"/>
  <c r="L1002" i="10"/>
  <c r="J1002" i="10"/>
  <c r="I1002" i="10"/>
  <c r="H1002" i="10"/>
  <c r="O1001" i="10"/>
  <c r="N1001" i="10"/>
  <c r="M1001" i="10"/>
  <c r="L1001" i="10"/>
  <c r="J1001" i="10"/>
  <c r="I1001" i="10"/>
  <c r="H1001" i="10"/>
  <c r="O1000" i="10"/>
  <c r="P1000" i="10" s="1"/>
  <c r="N1000" i="10"/>
  <c r="M1000" i="10"/>
  <c r="L1000" i="10"/>
  <c r="J1000" i="10"/>
  <c r="I1000" i="10"/>
  <c r="H1000" i="10"/>
  <c r="O999" i="10"/>
  <c r="P999" i="10" s="1"/>
  <c r="N999" i="10"/>
  <c r="M999" i="10"/>
  <c r="L999" i="10"/>
  <c r="J999" i="10"/>
  <c r="I999" i="10"/>
  <c r="H999" i="10"/>
  <c r="O998" i="10"/>
  <c r="N998" i="10"/>
  <c r="M998" i="10"/>
  <c r="L998" i="10"/>
  <c r="J998" i="10"/>
  <c r="I998" i="10"/>
  <c r="H998" i="10"/>
  <c r="O997" i="10"/>
  <c r="K997" i="10" s="1"/>
  <c r="N997" i="10"/>
  <c r="M997" i="10"/>
  <c r="L997" i="10"/>
  <c r="J997" i="10"/>
  <c r="I997" i="10"/>
  <c r="H997" i="10"/>
  <c r="O996" i="10"/>
  <c r="K996" i="10" s="1"/>
  <c r="N996" i="10"/>
  <c r="M996" i="10"/>
  <c r="L996" i="10"/>
  <c r="J996" i="10"/>
  <c r="I996" i="10"/>
  <c r="H996" i="10"/>
  <c r="O995" i="10"/>
  <c r="P995" i="10" s="1"/>
  <c r="N995" i="10"/>
  <c r="M995" i="10"/>
  <c r="L995" i="10"/>
  <c r="J995" i="10"/>
  <c r="I995" i="10"/>
  <c r="H995" i="10"/>
  <c r="O994" i="10"/>
  <c r="P994" i="10" s="1"/>
  <c r="N994" i="10"/>
  <c r="M994" i="10"/>
  <c r="L994" i="10"/>
  <c r="J994" i="10"/>
  <c r="I994" i="10"/>
  <c r="H994" i="10"/>
  <c r="O993" i="10"/>
  <c r="P993" i="10" s="1"/>
  <c r="N993" i="10"/>
  <c r="M993" i="10"/>
  <c r="L993" i="10"/>
  <c r="J993" i="10"/>
  <c r="I993" i="10"/>
  <c r="H993" i="10"/>
  <c r="O992" i="10"/>
  <c r="P992" i="10" s="1"/>
  <c r="N992" i="10"/>
  <c r="M992" i="10"/>
  <c r="L992" i="10"/>
  <c r="J992" i="10"/>
  <c r="I992" i="10"/>
  <c r="H992" i="10"/>
  <c r="O991" i="10"/>
  <c r="K991" i="10" s="1"/>
  <c r="N991" i="10"/>
  <c r="M991" i="10"/>
  <c r="L991" i="10"/>
  <c r="J991" i="10"/>
  <c r="I991" i="10"/>
  <c r="H991" i="10"/>
  <c r="O990" i="10"/>
  <c r="K990" i="10" s="1"/>
  <c r="N990" i="10"/>
  <c r="M990" i="10"/>
  <c r="L990" i="10"/>
  <c r="J990" i="10"/>
  <c r="I990" i="10"/>
  <c r="H990" i="10"/>
  <c r="O989" i="10"/>
  <c r="K989" i="10" s="1"/>
  <c r="N989" i="10"/>
  <c r="M989" i="10"/>
  <c r="L989" i="10"/>
  <c r="J989" i="10"/>
  <c r="I989" i="10"/>
  <c r="H989" i="10"/>
  <c r="O988" i="10"/>
  <c r="P988" i="10" s="1"/>
  <c r="N988" i="10"/>
  <c r="M988" i="10"/>
  <c r="L988" i="10"/>
  <c r="J988" i="10"/>
  <c r="I988" i="10"/>
  <c r="H988" i="10"/>
  <c r="O987" i="10"/>
  <c r="P987" i="10" s="1"/>
  <c r="N987" i="10"/>
  <c r="M987" i="10"/>
  <c r="L987" i="10"/>
  <c r="J987" i="10"/>
  <c r="I987" i="10"/>
  <c r="H987" i="10"/>
  <c r="O986" i="10"/>
  <c r="K986" i="10" s="1"/>
  <c r="N986" i="10"/>
  <c r="M986" i="10"/>
  <c r="L986" i="10"/>
  <c r="J986" i="10"/>
  <c r="I986" i="10"/>
  <c r="H986" i="10"/>
  <c r="O985" i="10"/>
  <c r="P985" i="10" s="1"/>
  <c r="N985" i="10"/>
  <c r="M985" i="10"/>
  <c r="L985" i="10"/>
  <c r="J985" i="10"/>
  <c r="I985" i="10"/>
  <c r="H985" i="10"/>
  <c r="O984" i="10"/>
  <c r="K984" i="10" s="1"/>
  <c r="N984" i="10"/>
  <c r="M984" i="10"/>
  <c r="L984" i="10"/>
  <c r="J984" i="10"/>
  <c r="I984" i="10"/>
  <c r="H984" i="10"/>
  <c r="O983" i="10"/>
  <c r="K983" i="10" s="1"/>
  <c r="N983" i="10"/>
  <c r="M983" i="10"/>
  <c r="L983" i="10"/>
  <c r="J983" i="10"/>
  <c r="I983" i="10"/>
  <c r="H983" i="10"/>
  <c r="O982" i="10"/>
  <c r="K982" i="10" s="1"/>
  <c r="N982" i="10"/>
  <c r="M982" i="10"/>
  <c r="L982" i="10"/>
  <c r="J982" i="10"/>
  <c r="I982" i="10"/>
  <c r="H982" i="10"/>
  <c r="O981" i="10"/>
  <c r="P981" i="10" s="1"/>
  <c r="N981" i="10"/>
  <c r="M981" i="10"/>
  <c r="L981" i="10"/>
  <c r="J981" i="10"/>
  <c r="I981" i="10"/>
  <c r="H981" i="10"/>
  <c r="O980" i="10"/>
  <c r="K980" i="10" s="1"/>
  <c r="N980" i="10"/>
  <c r="M980" i="10"/>
  <c r="L980" i="10"/>
  <c r="J980" i="10"/>
  <c r="I980" i="10"/>
  <c r="H980" i="10"/>
  <c r="O979" i="10"/>
  <c r="K979" i="10" s="1"/>
  <c r="N979" i="10"/>
  <c r="M979" i="10"/>
  <c r="L979" i="10"/>
  <c r="J979" i="10"/>
  <c r="I979" i="10"/>
  <c r="H979" i="10"/>
  <c r="O978" i="10"/>
  <c r="K978" i="10" s="1"/>
  <c r="N978" i="10"/>
  <c r="M978" i="10"/>
  <c r="L978" i="10"/>
  <c r="J978" i="10"/>
  <c r="I978" i="10"/>
  <c r="H978" i="10"/>
  <c r="O977" i="10"/>
  <c r="P977" i="10" s="1"/>
  <c r="N977" i="10"/>
  <c r="M977" i="10"/>
  <c r="L977" i="10"/>
  <c r="J977" i="10"/>
  <c r="I977" i="10"/>
  <c r="H977" i="10"/>
  <c r="O976" i="10"/>
  <c r="P976" i="10" s="1"/>
  <c r="N976" i="10"/>
  <c r="M976" i="10"/>
  <c r="L976" i="10"/>
  <c r="J976" i="10"/>
  <c r="I976" i="10"/>
  <c r="H976" i="10"/>
  <c r="O975" i="10"/>
  <c r="K975" i="10" s="1"/>
  <c r="N975" i="10"/>
  <c r="M975" i="10"/>
  <c r="L975" i="10"/>
  <c r="J975" i="10"/>
  <c r="I975" i="10"/>
  <c r="H975" i="10"/>
  <c r="O974" i="10"/>
  <c r="K974" i="10" s="1"/>
  <c r="N974" i="10"/>
  <c r="M974" i="10"/>
  <c r="L974" i="10"/>
  <c r="J974" i="10"/>
  <c r="I974" i="10"/>
  <c r="H974" i="10"/>
  <c r="O973" i="10"/>
  <c r="P973" i="10" s="1"/>
  <c r="N973" i="10"/>
  <c r="M973" i="10"/>
  <c r="L973" i="10"/>
  <c r="J973" i="10"/>
  <c r="I973" i="10"/>
  <c r="H973" i="10"/>
  <c r="O972" i="10"/>
  <c r="K972" i="10" s="1"/>
  <c r="N972" i="10"/>
  <c r="M972" i="10"/>
  <c r="L972" i="10"/>
  <c r="J972" i="10"/>
  <c r="I972" i="10"/>
  <c r="H972" i="10"/>
  <c r="O971" i="10"/>
  <c r="P971" i="10" s="1"/>
  <c r="N971" i="10"/>
  <c r="M971" i="10"/>
  <c r="L971" i="10"/>
  <c r="J971" i="10"/>
  <c r="I971" i="10"/>
  <c r="H971" i="10"/>
  <c r="O970" i="10"/>
  <c r="P970" i="10" s="1"/>
  <c r="N970" i="10"/>
  <c r="M970" i="10"/>
  <c r="L970" i="10"/>
  <c r="J970" i="10"/>
  <c r="I970" i="10"/>
  <c r="H970" i="10"/>
  <c r="O969" i="10"/>
  <c r="P969" i="10" s="1"/>
  <c r="N969" i="10"/>
  <c r="M969" i="10"/>
  <c r="L969" i="10"/>
  <c r="J969" i="10"/>
  <c r="I969" i="10"/>
  <c r="H969" i="10"/>
  <c r="O968" i="10"/>
  <c r="P968" i="10" s="1"/>
  <c r="N968" i="10"/>
  <c r="M968" i="10"/>
  <c r="L968" i="10"/>
  <c r="J968" i="10"/>
  <c r="I968" i="10"/>
  <c r="H968" i="10"/>
  <c r="O967" i="10"/>
  <c r="P967" i="10" s="1"/>
  <c r="N967" i="10"/>
  <c r="M967" i="10"/>
  <c r="L967" i="10"/>
  <c r="J967" i="10"/>
  <c r="I967" i="10"/>
  <c r="H967" i="10"/>
  <c r="O966" i="10"/>
  <c r="K966" i="10" s="1"/>
  <c r="N966" i="10"/>
  <c r="M966" i="10"/>
  <c r="L966" i="10"/>
  <c r="J966" i="10"/>
  <c r="I966" i="10"/>
  <c r="H966" i="10"/>
  <c r="O965" i="10"/>
  <c r="K965" i="10" s="1"/>
  <c r="N965" i="10"/>
  <c r="M965" i="10"/>
  <c r="L965" i="10"/>
  <c r="J965" i="10"/>
  <c r="I965" i="10"/>
  <c r="H965" i="10"/>
  <c r="O964" i="10"/>
  <c r="N964" i="10"/>
  <c r="M964" i="10"/>
  <c r="L964" i="10"/>
  <c r="J964" i="10"/>
  <c r="I964" i="10"/>
  <c r="H964" i="10"/>
  <c r="O963" i="10"/>
  <c r="P963" i="10" s="1"/>
  <c r="N963" i="10"/>
  <c r="M963" i="10"/>
  <c r="L963" i="10"/>
  <c r="J963" i="10"/>
  <c r="I963" i="10"/>
  <c r="H963" i="10"/>
  <c r="O962" i="10"/>
  <c r="K962" i="10" s="1"/>
  <c r="N962" i="10"/>
  <c r="M962" i="10"/>
  <c r="L962" i="10"/>
  <c r="J962" i="10"/>
  <c r="I962" i="10"/>
  <c r="H962" i="10"/>
  <c r="O961" i="10"/>
  <c r="P961" i="10" s="1"/>
  <c r="N961" i="10"/>
  <c r="M961" i="10"/>
  <c r="L961" i="10"/>
  <c r="J961" i="10"/>
  <c r="I961" i="10"/>
  <c r="H961" i="10"/>
  <c r="O960" i="10"/>
  <c r="P960" i="10" s="1"/>
  <c r="N960" i="10"/>
  <c r="M960" i="10"/>
  <c r="L960" i="10"/>
  <c r="J960" i="10"/>
  <c r="I960" i="10"/>
  <c r="H960" i="10"/>
  <c r="O959" i="10"/>
  <c r="K959" i="10" s="1"/>
  <c r="N959" i="10"/>
  <c r="M959" i="10"/>
  <c r="L959" i="10"/>
  <c r="J959" i="10"/>
  <c r="I959" i="10"/>
  <c r="H959" i="10"/>
  <c r="O958" i="10"/>
  <c r="P958" i="10" s="1"/>
  <c r="N958" i="10"/>
  <c r="M958" i="10"/>
  <c r="L958" i="10"/>
  <c r="J958" i="10"/>
  <c r="I958" i="10"/>
  <c r="H958" i="10"/>
  <c r="O957" i="10"/>
  <c r="K957" i="10" s="1"/>
  <c r="N957" i="10"/>
  <c r="M957" i="10"/>
  <c r="L957" i="10"/>
  <c r="J957" i="10"/>
  <c r="I957" i="10"/>
  <c r="H957" i="10"/>
  <c r="O956" i="10"/>
  <c r="P956" i="10" s="1"/>
  <c r="N956" i="10"/>
  <c r="M956" i="10"/>
  <c r="L956" i="10"/>
  <c r="J956" i="10"/>
  <c r="I956" i="10"/>
  <c r="H956" i="10"/>
  <c r="O955" i="10"/>
  <c r="P955" i="10" s="1"/>
  <c r="N955" i="10"/>
  <c r="M955" i="10"/>
  <c r="L955" i="10"/>
  <c r="J955" i="10"/>
  <c r="I955" i="10"/>
  <c r="H955" i="10"/>
  <c r="O954" i="10"/>
  <c r="K954" i="10" s="1"/>
  <c r="N954" i="10"/>
  <c r="M954" i="10"/>
  <c r="L954" i="10"/>
  <c r="J954" i="10"/>
  <c r="I954" i="10"/>
  <c r="H954" i="10"/>
  <c r="O953" i="10"/>
  <c r="P953" i="10" s="1"/>
  <c r="N953" i="10"/>
  <c r="M953" i="10"/>
  <c r="L953" i="10"/>
  <c r="J953" i="10"/>
  <c r="I953" i="10"/>
  <c r="H953" i="10"/>
  <c r="O952" i="10"/>
  <c r="K952" i="10" s="1"/>
  <c r="N952" i="10"/>
  <c r="M952" i="10"/>
  <c r="L952" i="10"/>
  <c r="J952" i="10"/>
  <c r="I952" i="10"/>
  <c r="H952" i="10"/>
  <c r="O951" i="10"/>
  <c r="P951" i="10" s="1"/>
  <c r="N951" i="10"/>
  <c r="M951" i="10"/>
  <c r="L951" i="10"/>
  <c r="J951" i="10"/>
  <c r="I951" i="10"/>
  <c r="H951" i="10"/>
  <c r="O950" i="10"/>
  <c r="K950" i="10" s="1"/>
  <c r="N950" i="10"/>
  <c r="M950" i="10"/>
  <c r="L950" i="10"/>
  <c r="J950" i="10"/>
  <c r="I950" i="10"/>
  <c r="H950" i="10"/>
  <c r="O949" i="10"/>
  <c r="N949" i="10"/>
  <c r="M949" i="10"/>
  <c r="L949" i="10"/>
  <c r="J949" i="10"/>
  <c r="I949" i="10"/>
  <c r="H949" i="10"/>
  <c r="O948" i="10"/>
  <c r="K948" i="10" s="1"/>
  <c r="N948" i="10"/>
  <c r="M948" i="10"/>
  <c r="L948" i="10"/>
  <c r="J948" i="10"/>
  <c r="I948" i="10"/>
  <c r="H948" i="10"/>
  <c r="O947" i="10"/>
  <c r="P947" i="10" s="1"/>
  <c r="N947" i="10"/>
  <c r="M947" i="10"/>
  <c r="L947" i="10"/>
  <c r="J947" i="10"/>
  <c r="I947" i="10"/>
  <c r="H947" i="10"/>
  <c r="O946" i="10"/>
  <c r="P946" i="10" s="1"/>
  <c r="N946" i="10"/>
  <c r="M946" i="10"/>
  <c r="L946" i="10"/>
  <c r="J946" i="10"/>
  <c r="I946" i="10"/>
  <c r="H946" i="10"/>
  <c r="O945" i="10"/>
  <c r="K945" i="10" s="1"/>
  <c r="N945" i="10"/>
  <c r="M945" i="10"/>
  <c r="L945" i="10"/>
  <c r="J945" i="10"/>
  <c r="I945" i="10"/>
  <c r="H945" i="10"/>
  <c r="O944" i="10"/>
  <c r="K944" i="10" s="1"/>
  <c r="N944" i="10"/>
  <c r="M944" i="10"/>
  <c r="L944" i="10"/>
  <c r="J944" i="10"/>
  <c r="I944" i="10"/>
  <c r="H944" i="10"/>
  <c r="O943" i="10"/>
  <c r="K943" i="10" s="1"/>
  <c r="N943" i="10"/>
  <c r="M943" i="10"/>
  <c r="L943" i="10"/>
  <c r="J943" i="10"/>
  <c r="I943" i="10"/>
  <c r="H943" i="10"/>
  <c r="O942" i="10"/>
  <c r="K942" i="10" s="1"/>
  <c r="N942" i="10"/>
  <c r="M942" i="10"/>
  <c r="L942" i="10"/>
  <c r="J942" i="10"/>
  <c r="I942" i="10"/>
  <c r="H942" i="10"/>
  <c r="O941" i="10"/>
  <c r="P941" i="10" s="1"/>
  <c r="N941" i="10"/>
  <c r="M941" i="10"/>
  <c r="L941" i="10"/>
  <c r="J941" i="10"/>
  <c r="I941" i="10"/>
  <c r="H941" i="10"/>
  <c r="O940" i="10"/>
  <c r="P940" i="10" s="1"/>
  <c r="N940" i="10"/>
  <c r="M940" i="10"/>
  <c r="L940" i="10"/>
  <c r="J940" i="10"/>
  <c r="I940" i="10"/>
  <c r="H940" i="10"/>
  <c r="O939" i="10"/>
  <c r="P939" i="10" s="1"/>
  <c r="N939" i="10"/>
  <c r="M939" i="10"/>
  <c r="L939" i="10"/>
  <c r="J939" i="10"/>
  <c r="I939" i="10"/>
  <c r="H939" i="10"/>
  <c r="O938" i="10"/>
  <c r="P938" i="10" s="1"/>
  <c r="N938" i="10"/>
  <c r="M938" i="10"/>
  <c r="L938" i="10"/>
  <c r="J938" i="10"/>
  <c r="I938" i="10"/>
  <c r="H938" i="10"/>
  <c r="O937" i="10"/>
  <c r="P937" i="10" s="1"/>
  <c r="N937" i="10"/>
  <c r="M937" i="10"/>
  <c r="L937" i="10"/>
  <c r="J937" i="10"/>
  <c r="I937" i="10"/>
  <c r="H937" i="10"/>
  <c r="O936" i="10"/>
  <c r="P936" i="10" s="1"/>
  <c r="N936" i="10"/>
  <c r="M936" i="10"/>
  <c r="L936" i="10"/>
  <c r="J936" i="10"/>
  <c r="I936" i="10"/>
  <c r="H936" i="10"/>
  <c r="O935" i="10"/>
  <c r="K935" i="10" s="1"/>
  <c r="N935" i="10"/>
  <c r="M935" i="10"/>
  <c r="L935" i="10"/>
  <c r="J935" i="10"/>
  <c r="I935" i="10"/>
  <c r="H935" i="10"/>
  <c r="O934" i="10"/>
  <c r="K934" i="10" s="1"/>
  <c r="N934" i="10"/>
  <c r="M934" i="10"/>
  <c r="L934" i="10"/>
  <c r="J934" i="10"/>
  <c r="I934" i="10"/>
  <c r="H934" i="10"/>
  <c r="O933" i="10"/>
  <c r="K933" i="10" s="1"/>
  <c r="N933" i="10"/>
  <c r="M933" i="10"/>
  <c r="L933" i="10"/>
  <c r="J933" i="10"/>
  <c r="I933" i="10"/>
  <c r="H933" i="10"/>
  <c r="O932" i="10"/>
  <c r="P932" i="10" s="1"/>
  <c r="N932" i="10"/>
  <c r="M932" i="10"/>
  <c r="L932" i="10"/>
  <c r="J932" i="10"/>
  <c r="I932" i="10"/>
  <c r="H932" i="10"/>
  <c r="O931" i="10"/>
  <c r="P931" i="10" s="1"/>
  <c r="N931" i="10"/>
  <c r="M931" i="10"/>
  <c r="L931" i="10"/>
  <c r="J931" i="10"/>
  <c r="I931" i="10"/>
  <c r="H931" i="10"/>
  <c r="O930" i="10"/>
  <c r="P930" i="10" s="1"/>
  <c r="N930" i="10"/>
  <c r="M930" i="10"/>
  <c r="L930" i="10"/>
  <c r="K930" i="10"/>
  <c r="J930" i="10"/>
  <c r="I930" i="10"/>
  <c r="H930" i="10"/>
  <c r="O929" i="10"/>
  <c r="P929" i="10" s="1"/>
  <c r="N929" i="10"/>
  <c r="M929" i="10"/>
  <c r="L929" i="10"/>
  <c r="J929" i="10"/>
  <c r="I929" i="10"/>
  <c r="H929" i="10"/>
  <c r="O928" i="10"/>
  <c r="P928" i="10" s="1"/>
  <c r="N928" i="10"/>
  <c r="M928" i="10"/>
  <c r="L928" i="10"/>
  <c r="J928" i="10"/>
  <c r="I928" i="10"/>
  <c r="H928" i="10"/>
  <c r="O927" i="10"/>
  <c r="K927" i="10" s="1"/>
  <c r="N927" i="10"/>
  <c r="M927" i="10"/>
  <c r="L927" i="10"/>
  <c r="J927" i="10"/>
  <c r="I927" i="10"/>
  <c r="H927" i="10"/>
  <c r="O926" i="10"/>
  <c r="K926" i="10" s="1"/>
  <c r="N926" i="10"/>
  <c r="M926" i="10"/>
  <c r="L926" i="10"/>
  <c r="J926" i="10"/>
  <c r="I926" i="10"/>
  <c r="H926" i="10"/>
  <c r="O925" i="10"/>
  <c r="P925" i="10" s="1"/>
  <c r="N925" i="10"/>
  <c r="M925" i="10"/>
  <c r="L925" i="10"/>
  <c r="J925" i="10"/>
  <c r="I925" i="10"/>
  <c r="H925" i="10"/>
  <c r="O924" i="10"/>
  <c r="K924" i="10" s="1"/>
  <c r="N924" i="10"/>
  <c r="M924" i="10"/>
  <c r="L924" i="10"/>
  <c r="J924" i="10"/>
  <c r="I924" i="10"/>
  <c r="H924" i="10"/>
  <c r="O923" i="10"/>
  <c r="P923" i="10" s="1"/>
  <c r="N923" i="10"/>
  <c r="M923" i="10"/>
  <c r="L923" i="10"/>
  <c r="J923" i="10"/>
  <c r="I923" i="10"/>
  <c r="H923" i="10"/>
  <c r="O922" i="10"/>
  <c r="P922" i="10" s="1"/>
  <c r="N922" i="10"/>
  <c r="M922" i="10"/>
  <c r="L922" i="10"/>
  <c r="J922" i="10"/>
  <c r="I922" i="10"/>
  <c r="H922" i="10"/>
  <c r="O921" i="10"/>
  <c r="P921" i="10" s="1"/>
  <c r="N921" i="10"/>
  <c r="M921" i="10"/>
  <c r="L921" i="10"/>
  <c r="K921" i="10"/>
  <c r="J921" i="10"/>
  <c r="I921" i="10"/>
  <c r="H921" i="10"/>
  <c r="O920" i="10"/>
  <c r="K920" i="10" s="1"/>
  <c r="N920" i="10"/>
  <c r="M920" i="10"/>
  <c r="L920" i="10"/>
  <c r="J920" i="10"/>
  <c r="I920" i="10"/>
  <c r="H920" i="10"/>
  <c r="O919" i="10"/>
  <c r="P919" i="10" s="1"/>
  <c r="N919" i="10"/>
  <c r="M919" i="10"/>
  <c r="L919" i="10"/>
  <c r="J919" i="10"/>
  <c r="I919" i="10"/>
  <c r="H919" i="10"/>
  <c r="O918" i="10"/>
  <c r="K918" i="10" s="1"/>
  <c r="N918" i="10"/>
  <c r="M918" i="10"/>
  <c r="L918" i="10"/>
  <c r="J918" i="10"/>
  <c r="I918" i="10"/>
  <c r="H918" i="10"/>
  <c r="O917" i="10"/>
  <c r="P917" i="10" s="1"/>
  <c r="N917" i="10"/>
  <c r="M917" i="10"/>
  <c r="L917" i="10"/>
  <c r="J917" i="10"/>
  <c r="I917" i="10"/>
  <c r="H917" i="10"/>
  <c r="O916" i="10"/>
  <c r="P916" i="10" s="1"/>
  <c r="N916" i="10"/>
  <c r="M916" i="10"/>
  <c r="L916" i="10"/>
  <c r="J916" i="10"/>
  <c r="I916" i="10"/>
  <c r="H916" i="10"/>
  <c r="O915" i="10"/>
  <c r="P915" i="10" s="1"/>
  <c r="N915" i="10"/>
  <c r="M915" i="10"/>
  <c r="L915" i="10"/>
  <c r="K915" i="10"/>
  <c r="J915" i="10"/>
  <c r="I915" i="10"/>
  <c r="H915" i="10"/>
  <c r="O914" i="10"/>
  <c r="P914" i="10" s="1"/>
  <c r="N914" i="10"/>
  <c r="M914" i="10"/>
  <c r="L914" i="10"/>
  <c r="J914" i="10"/>
  <c r="I914" i="10"/>
  <c r="H914" i="10"/>
  <c r="O913" i="10"/>
  <c r="P913" i="10" s="1"/>
  <c r="N913" i="10"/>
  <c r="M913" i="10"/>
  <c r="L913" i="10"/>
  <c r="J913" i="10"/>
  <c r="I913" i="10"/>
  <c r="H913" i="10"/>
  <c r="O912" i="10"/>
  <c r="P912" i="10" s="1"/>
  <c r="N912" i="10"/>
  <c r="M912" i="10"/>
  <c r="L912" i="10"/>
  <c r="J912" i="10"/>
  <c r="I912" i="10"/>
  <c r="H912" i="10"/>
  <c r="O911" i="10"/>
  <c r="P911" i="10" s="1"/>
  <c r="N911" i="10"/>
  <c r="M911" i="10"/>
  <c r="L911" i="10"/>
  <c r="J911" i="10"/>
  <c r="I911" i="10"/>
  <c r="H911" i="10"/>
  <c r="O910" i="10"/>
  <c r="P910" i="10" s="1"/>
  <c r="N910" i="10"/>
  <c r="M910" i="10"/>
  <c r="L910" i="10"/>
  <c r="J910" i="10"/>
  <c r="I910" i="10"/>
  <c r="H910" i="10"/>
  <c r="O909" i="10"/>
  <c r="N909" i="10"/>
  <c r="M909" i="10"/>
  <c r="L909" i="10"/>
  <c r="J909" i="10"/>
  <c r="I909" i="10"/>
  <c r="H909" i="10"/>
  <c r="O908" i="10"/>
  <c r="P908" i="10" s="1"/>
  <c r="N908" i="10"/>
  <c r="M908" i="10"/>
  <c r="L908" i="10"/>
  <c r="J908" i="10"/>
  <c r="I908" i="10"/>
  <c r="H908" i="10"/>
  <c r="O907" i="10"/>
  <c r="P907" i="10" s="1"/>
  <c r="N907" i="10"/>
  <c r="M907" i="10"/>
  <c r="L907" i="10"/>
  <c r="J907" i="10"/>
  <c r="I907" i="10"/>
  <c r="H907" i="10"/>
  <c r="O906" i="10"/>
  <c r="N906" i="10"/>
  <c r="M906" i="10"/>
  <c r="L906" i="10"/>
  <c r="J906" i="10"/>
  <c r="I906" i="10"/>
  <c r="H906" i="10"/>
  <c r="O905" i="10"/>
  <c r="P905" i="10" s="1"/>
  <c r="N905" i="10"/>
  <c r="M905" i="10"/>
  <c r="L905" i="10"/>
  <c r="J905" i="10"/>
  <c r="I905" i="10"/>
  <c r="H905" i="10"/>
  <c r="O904" i="10"/>
  <c r="P904" i="10" s="1"/>
  <c r="N904" i="10"/>
  <c r="M904" i="10"/>
  <c r="L904" i="10"/>
  <c r="J904" i="10"/>
  <c r="I904" i="10"/>
  <c r="H904" i="10"/>
  <c r="O903" i="10"/>
  <c r="P903" i="10" s="1"/>
  <c r="N903" i="10"/>
  <c r="M903" i="10"/>
  <c r="L903" i="10"/>
  <c r="J903" i="10"/>
  <c r="I903" i="10"/>
  <c r="H903" i="10"/>
  <c r="O902" i="10"/>
  <c r="K902" i="10" s="1"/>
  <c r="N902" i="10"/>
  <c r="M902" i="10"/>
  <c r="L902" i="10"/>
  <c r="J902" i="10"/>
  <c r="I902" i="10"/>
  <c r="H902" i="10"/>
  <c r="O901" i="10"/>
  <c r="K901" i="10" s="1"/>
  <c r="N901" i="10"/>
  <c r="M901" i="10"/>
  <c r="L901" i="10"/>
  <c r="J901" i="10"/>
  <c r="I901" i="10"/>
  <c r="H901" i="10"/>
  <c r="O900" i="10"/>
  <c r="P900" i="10" s="1"/>
  <c r="N900" i="10"/>
  <c r="M900" i="10"/>
  <c r="L900" i="10"/>
  <c r="J900" i="10"/>
  <c r="I900" i="10"/>
  <c r="H900" i="10"/>
  <c r="O899" i="10"/>
  <c r="P899" i="10" s="1"/>
  <c r="N899" i="10"/>
  <c r="M899" i="10"/>
  <c r="L899" i="10"/>
  <c r="J899" i="10"/>
  <c r="I899" i="10"/>
  <c r="H899" i="10"/>
  <c r="O898" i="10"/>
  <c r="P898" i="10" s="1"/>
  <c r="N898" i="10"/>
  <c r="M898" i="10"/>
  <c r="L898" i="10"/>
  <c r="J898" i="10"/>
  <c r="I898" i="10"/>
  <c r="H898" i="10"/>
  <c r="O897" i="10"/>
  <c r="K897" i="10" s="1"/>
  <c r="N897" i="10"/>
  <c r="M897" i="10"/>
  <c r="L897" i="10"/>
  <c r="J897" i="10"/>
  <c r="I897" i="10"/>
  <c r="H897" i="10"/>
  <c r="O896" i="10"/>
  <c r="P896" i="10" s="1"/>
  <c r="N896" i="10"/>
  <c r="M896" i="10"/>
  <c r="L896" i="10"/>
  <c r="J896" i="10"/>
  <c r="I896" i="10"/>
  <c r="H896" i="10"/>
  <c r="O895" i="10"/>
  <c r="P895" i="10" s="1"/>
  <c r="N895" i="10"/>
  <c r="M895" i="10"/>
  <c r="L895" i="10"/>
  <c r="J895" i="10"/>
  <c r="I895" i="10"/>
  <c r="H895" i="10"/>
  <c r="O894" i="10"/>
  <c r="P894" i="10" s="1"/>
  <c r="N894" i="10"/>
  <c r="M894" i="10"/>
  <c r="L894" i="10"/>
  <c r="J894" i="10"/>
  <c r="I894" i="10"/>
  <c r="H894" i="10"/>
  <c r="O893" i="10"/>
  <c r="P893" i="10" s="1"/>
  <c r="N893" i="10"/>
  <c r="M893" i="10"/>
  <c r="L893" i="10"/>
  <c r="J893" i="10"/>
  <c r="I893" i="10"/>
  <c r="H893" i="10"/>
  <c r="O892" i="10"/>
  <c r="K892" i="10" s="1"/>
  <c r="N892" i="10"/>
  <c r="M892" i="10"/>
  <c r="L892" i="10"/>
  <c r="J892" i="10"/>
  <c r="I892" i="10"/>
  <c r="H892" i="10"/>
  <c r="O891" i="10"/>
  <c r="P891" i="10" s="1"/>
  <c r="N891" i="10"/>
  <c r="M891" i="10"/>
  <c r="L891" i="10"/>
  <c r="J891" i="10"/>
  <c r="I891" i="10"/>
  <c r="H891" i="10"/>
  <c r="O890" i="10"/>
  <c r="K890" i="10" s="1"/>
  <c r="N890" i="10"/>
  <c r="M890" i="10"/>
  <c r="L890" i="10"/>
  <c r="J890" i="10"/>
  <c r="I890" i="10"/>
  <c r="H890" i="10"/>
  <c r="O889" i="10"/>
  <c r="P889" i="10" s="1"/>
  <c r="N889" i="10"/>
  <c r="M889" i="10"/>
  <c r="L889" i="10"/>
  <c r="J889" i="10"/>
  <c r="I889" i="10"/>
  <c r="H889" i="10"/>
  <c r="O888" i="10"/>
  <c r="K888" i="10" s="1"/>
  <c r="N888" i="10"/>
  <c r="M888" i="10"/>
  <c r="L888" i="10"/>
  <c r="J888" i="10"/>
  <c r="I888" i="10"/>
  <c r="H888" i="10"/>
  <c r="O887" i="10"/>
  <c r="K887" i="10" s="1"/>
  <c r="N887" i="10"/>
  <c r="M887" i="10"/>
  <c r="L887" i="10"/>
  <c r="J887" i="10"/>
  <c r="I887" i="10"/>
  <c r="H887" i="10"/>
  <c r="O886" i="10"/>
  <c r="K886" i="10" s="1"/>
  <c r="N886" i="10"/>
  <c r="M886" i="10"/>
  <c r="L886" i="10"/>
  <c r="J886" i="10"/>
  <c r="I886" i="10"/>
  <c r="H886" i="10"/>
  <c r="O885" i="10"/>
  <c r="P885" i="10" s="1"/>
  <c r="N885" i="10"/>
  <c r="M885" i="10"/>
  <c r="L885" i="10"/>
  <c r="J885" i="10"/>
  <c r="I885" i="10"/>
  <c r="H885" i="10"/>
  <c r="O884" i="10"/>
  <c r="P884" i="10" s="1"/>
  <c r="N884" i="10"/>
  <c r="M884" i="10"/>
  <c r="L884" i="10"/>
  <c r="J884" i="10"/>
  <c r="I884" i="10"/>
  <c r="H884" i="10"/>
  <c r="O883" i="10"/>
  <c r="K883" i="10" s="1"/>
  <c r="N883" i="10"/>
  <c r="M883" i="10"/>
  <c r="L883" i="10"/>
  <c r="J883" i="10"/>
  <c r="I883" i="10"/>
  <c r="H883" i="10"/>
  <c r="O882" i="10"/>
  <c r="P882" i="10" s="1"/>
  <c r="N882" i="10"/>
  <c r="M882" i="10"/>
  <c r="L882" i="10"/>
  <c r="K882" i="10"/>
  <c r="J882" i="10"/>
  <c r="I882" i="10"/>
  <c r="H882" i="10"/>
  <c r="O881" i="10"/>
  <c r="P881" i="10" s="1"/>
  <c r="N881" i="10"/>
  <c r="M881" i="10"/>
  <c r="L881" i="10"/>
  <c r="J881" i="10"/>
  <c r="I881" i="10"/>
  <c r="H881" i="10"/>
  <c r="O880" i="10"/>
  <c r="K880" i="10" s="1"/>
  <c r="N880" i="10"/>
  <c r="M880" i="10"/>
  <c r="L880" i="10"/>
  <c r="J880" i="10"/>
  <c r="I880" i="10"/>
  <c r="H880" i="10"/>
  <c r="O879" i="10"/>
  <c r="P879" i="10" s="1"/>
  <c r="N879" i="10"/>
  <c r="M879" i="10"/>
  <c r="L879" i="10"/>
  <c r="J879" i="10"/>
  <c r="I879" i="10"/>
  <c r="H879" i="10"/>
  <c r="O878" i="10"/>
  <c r="P878" i="10" s="1"/>
  <c r="N878" i="10"/>
  <c r="M878" i="10"/>
  <c r="L878" i="10"/>
  <c r="J878" i="10"/>
  <c r="I878" i="10"/>
  <c r="H878" i="10"/>
  <c r="O877" i="10"/>
  <c r="P877" i="10" s="1"/>
  <c r="N877" i="10"/>
  <c r="M877" i="10"/>
  <c r="L877" i="10"/>
  <c r="J877" i="10"/>
  <c r="I877" i="10"/>
  <c r="H877" i="10"/>
  <c r="O876" i="10"/>
  <c r="K876" i="10" s="1"/>
  <c r="N876" i="10"/>
  <c r="M876" i="10"/>
  <c r="L876" i="10"/>
  <c r="J876" i="10"/>
  <c r="I876" i="10"/>
  <c r="H876" i="10"/>
  <c r="O875" i="10"/>
  <c r="P875" i="10" s="1"/>
  <c r="N875" i="10"/>
  <c r="M875" i="10"/>
  <c r="L875" i="10"/>
  <c r="J875" i="10"/>
  <c r="I875" i="10"/>
  <c r="H875" i="10"/>
  <c r="O874" i="10"/>
  <c r="K874" i="10" s="1"/>
  <c r="N874" i="10"/>
  <c r="M874" i="10"/>
  <c r="L874" i="10"/>
  <c r="J874" i="10"/>
  <c r="I874" i="10"/>
  <c r="H874" i="10"/>
  <c r="O873" i="10"/>
  <c r="N873" i="10"/>
  <c r="M873" i="10"/>
  <c r="L873" i="10"/>
  <c r="J873" i="10"/>
  <c r="I873" i="10"/>
  <c r="H873" i="10"/>
  <c r="O872" i="10"/>
  <c r="P872" i="10" s="1"/>
  <c r="N872" i="10"/>
  <c r="M872" i="10"/>
  <c r="L872" i="10"/>
  <c r="J872" i="10"/>
  <c r="I872" i="10"/>
  <c r="H872" i="10"/>
  <c r="O871" i="10"/>
  <c r="P871" i="10" s="1"/>
  <c r="N871" i="10"/>
  <c r="M871" i="10"/>
  <c r="L871" i="10"/>
  <c r="J871" i="10"/>
  <c r="I871" i="10"/>
  <c r="H871" i="10"/>
  <c r="O870" i="10"/>
  <c r="K870" i="10" s="1"/>
  <c r="N870" i="10"/>
  <c r="M870" i="10"/>
  <c r="L870" i="10"/>
  <c r="J870" i="10"/>
  <c r="I870" i="10"/>
  <c r="H870" i="10"/>
  <c r="O869" i="10"/>
  <c r="K869" i="10" s="1"/>
  <c r="N869" i="10"/>
  <c r="M869" i="10"/>
  <c r="L869" i="10"/>
  <c r="J869" i="10"/>
  <c r="I869" i="10"/>
  <c r="H869" i="10"/>
  <c r="O868" i="10"/>
  <c r="P868" i="10" s="1"/>
  <c r="N868" i="10"/>
  <c r="M868" i="10"/>
  <c r="L868" i="10"/>
  <c r="J868" i="10"/>
  <c r="I868" i="10"/>
  <c r="H868" i="10"/>
  <c r="O867" i="10"/>
  <c r="P867" i="10" s="1"/>
  <c r="N867" i="10"/>
  <c r="M867" i="10"/>
  <c r="L867" i="10"/>
  <c r="J867" i="10"/>
  <c r="I867" i="10"/>
  <c r="H867" i="10"/>
  <c r="O866" i="10"/>
  <c r="P866" i="10" s="1"/>
  <c r="N866" i="10"/>
  <c r="M866" i="10"/>
  <c r="L866" i="10"/>
  <c r="K866" i="10"/>
  <c r="J866" i="10"/>
  <c r="I866" i="10"/>
  <c r="H866" i="10"/>
  <c r="O865" i="10"/>
  <c r="P865" i="10" s="1"/>
  <c r="N865" i="10"/>
  <c r="M865" i="10"/>
  <c r="L865" i="10"/>
  <c r="J865" i="10"/>
  <c r="I865" i="10"/>
  <c r="H865" i="10"/>
  <c r="O864" i="10"/>
  <c r="P864" i="10" s="1"/>
  <c r="N864" i="10"/>
  <c r="M864" i="10"/>
  <c r="L864" i="10"/>
  <c r="J864" i="10"/>
  <c r="I864" i="10"/>
  <c r="H864" i="10"/>
  <c r="O863" i="10"/>
  <c r="P863" i="10" s="1"/>
  <c r="N863" i="10"/>
  <c r="M863" i="10"/>
  <c r="L863" i="10"/>
  <c r="J863" i="10"/>
  <c r="I863" i="10"/>
  <c r="H863" i="10"/>
  <c r="O862" i="10"/>
  <c r="P862" i="10" s="1"/>
  <c r="N862" i="10"/>
  <c r="M862" i="10"/>
  <c r="L862" i="10"/>
  <c r="J862" i="10"/>
  <c r="I862" i="10"/>
  <c r="H862" i="10"/>
  <c r="O861" i="10"/>
  <c r="P861" i="10" s="1"/>
  <c r="N861" i="10"/>
  <c r="M861" i="10"/>
  <c r="L861" i="10"/>
  <c r="J861" i="10"/>
  <c r="I861" i="10"/>
  <c r="H861" i="10"/>
  <c r="O860" i="10"/>
  <c r="P860" i="10" s="1"/>
  <c r="N860" i="10"/>
  <c r="M860" i="10"/>
  <c r="L860" i="10"/>
  <c r="J860" i="10"/>
  <c r="I860" i="10"/>
  <c r="H860" i="10"/>
  <c r="O859" i="10"/>
  <c r="P859" i="10" s="1"/>
  <c r="N859" i="10"/>
  <c r="M859" i="10"/>
  <c r="L859" i="10"/>
  <c r="J859" i="10"/>
  <c r="I859" i="10"/>
  <c r="H859" i="10"/>
  <c r="O858" i="10"/>
  <c r="P858" i="10" s="1"/>
  <c r="N858" i="10"/>
  <c r="M858" i="10"/>
  <c r="L858" i="10"/>
  <c r="J858" i="10"/>
  <c r="I858" i="10"/>
  <c r="H858" i="10"/>
  <c r="O857" i="10"/>
  <c r="P857" i="10" s="1"/>
  <c r="N857" i="10"/>
  <c r="M857" i="10"/>
  <c r="L857" i="10"/>
  <c r="J857" i="10"/>
  <c r="I857" i="10"/>
  <c r="H857" i="10"/>
  <c r="O856" i="10"/>
  <c r="K856" i="10" s="1"/>
  <c r="N856" i="10"/>
  <c r="M856" i="10"/>
  <c r="L856" i="10"/>
  <c r="J856" i="10"/>
  <c r="I856" i="10"/>
  <c r="H856" i="10"/>
  <c r="O855" i="10"/>
  <c r="P855" i="10" s="1"/>
  <c r="N855" i="10"/>
  <c r="M855" i="10"/>
  <c r="L855" i="10"/>
  <c r="J855" i="10"/>
  <c r="I855" i="10"/>
  <c r="H855" i="10"/>
  <c r="O854" i="10"/>
  <c r="K854" i="10" s="1"/>
  <c r="N854" i="10"/>
  <c r="M854" i="10"/>
  <c r="L854" i="10"/>
  <c r="J854" i="10"/>
  <c r="I854" i="10"/>
  <c r="H854" i="10"/>
  <c r="O853" i="10"/>
  <c r="P853" i="10" s="1"/>
  <c r="N853" i="10"/>
  <c r="M853" i="10"/>
  <c r="L853" i="10"/>
  <c r="J853" i="10"/>
  <c r="I853" i="10"/>
  <c r="H853" i="10"/>
  <c r="O852" i="10"/>
  <c r="K852" i="10" s="1"/>
  <c r="N852" i="10"/>
  <c r="M852" i="10"/>
  <c r="L852" i="10"/>
  <c r="J852" i="10"/>
  <c r="I852" i="10"/>
  <c r="H852" i="10"/>
  <c r="O851" i="10"/>
  <c r="P851" i="10" s="1"/>
  <c r="N851" i="10"/>
  <c r="M851" i="10"/>
  <c r="L851" i="10"/>
  <c r="J851" i="10"/>
  <c r="I851" i="10"/>
  <c r="H851" i="10"/>
  <c r="O850" i="10"/>
  <c r="K850" i="10" s="1"/>
  <c r="N850" i="10"/>
  <c r="M850" i="10"/>
  <c r="L850" i="10"/>
  <c r="J850" i="10"/>
  <c r="I850" i="10"/>
  <c r="H850" i="10"/>
  <c r="O849" i="10"/>
  <c r="P849" i="10" s="1"/>
  <c r="N849" i="10"/>
  <c r="M849" i="10"/>
  <c r="L849" i="10"/>
  <c r="J849" i="10"/>
  <c r="I849" i="10"/>
  <c r="H849" i="10"/>
  <c r="O848" i="10"/>
  <c r="K848" i="10" s="1"/>
  <c r="N848" i="10"/>
  <c r="M848" i="10"/>
  <c r="L848" i="10"/>
  <c r="J848" i="10"/>
  <c r="I848" i="10"/>
  <c r="H848" i="10"/>
  <c r="O847" i="10"/>
  <c r="P847" i="10" s="1"/>
  <c r="N847" i="10"/>
  <c r="M847" i="10"/>
  <c r="L847" i="10"/>
  <c r="J847" i="10"/>
  <c r="I847" i="10"/>
  <c r="H847" i="10"/>
  <c r="O846" i="10"/>
  <c r="P846" i="10" s="1"/>
  <c r="N846" i="10"/>
  <c r="M846" i="10"/>
  <c r="L846" i="10"/>
  <c r="J846" i="10"/>
  <c r="I846" i="10"/>
  <c r="H846" i="10"/>
  <c r="O845" i="10"/>
  <c r="K845" i="10" s="1"/>
  <c r="N845" i="10"/>
  <c r="M845" i="10"/>
  <c r="L845" i="10"/>
  <c r="J845" i="10"/>
  <c r="I845" i="10"/>
  <c r="H845" i="10"/>
  <c r="O844" i="10"/>
  <c r="P844" i="10" s="1"/>
  <c r="N844" i="10"/>
  <c r="M844" i="10"/>
  <c r="L844" i="10"/>
  <c r="J844" i="10"/>
  <c r="I844" i="10"/>
  <c r="H844" i="10"/>
  <c r="O843" i="10"/>
  <c r="K843" i="10" s="1"/>
  <c r="N843" i="10"/>
  <c r="M843" i="10"/>
  <c r="L843" i="10"/>
  <c r="J843" i="10"/>
  <c r="I843" i="10"/>
  <c r="H843" i="10"/>
  <c r="O842" i="10"/>
  <c r="P842" i="10" s="1"/>
  <c r="N842" i="10"/>
  <c r="M842" i="10"/>
  <c r="L842" i="10"/>
  <c r="J842" i="10"/>
  <c r="I842" i="10"/>
  <c r="H842" i="10"/>
  <c r="O841" i="10"/>
  <c r="P841" i="10" s="1"/>
  <c r="N841" i="10"/>
  <c r="M841" i="10"/>
  <c r="L841" i="10"/>
  <c r="J841" i="10"/>
  <c r="I841" i="10"/>
  <c r="H841" i="10"/>
  <c r="O840" i="10"/>
  <c r="P840" i="10" s="1"/>
  <c r="N840" i="10"/>
  <c r="M840" i="10"/>
  <c r="L840" i="10"/>
  <c r="J840" i="10"/>
  <c r="I840" i="10"/>
  <c r="H840" i="10"/>
  <c r="O839" i="10"/>
  <c r="P839" i="10" s="1"/>
  <c r="N839" i="10"/>
  <c r="M839" i="10"/>
  <c r="L839" i="10"/>
  <c r="J839" i="10"/>
  <c r="I839" i="10"/>
  <c r="H839" i="10"/>
  <c r="O838" i="10"/>
  <c r="K838" i="10" s="1"/>
  <c r="N838" i="10"/>
  <c r="M838" i="10"/>
  <c r="L838" i="10"/>
  <c r="J838" i="10"/>
  <c r="I838" i="10"/>
  <c r="H838" i="10"/>
  <c r="O837" i="10"/>
  <c r="K837" i="10" s="1"/>
  <c r="N837" i="10"/>
  <c r="M837" i="10"/>
  <c r="L837" i="10"/>
  <c r="J837" i="10"/>
  <c r="I837" i="10"/>
  <c r="H837" i="10"/>
  <c r="O836" i="10"/>
  <c r="P836" i="10" s="1"/>
  <c r="N836" i="10"/>
  <c r="M836" i="10"/>
  <c r="L836" i="10"/>
  <c r="J836" i="10"/>
  <c r="I836" i="10"/>
  <c r="H836" i="10"/>
  <c r="O835" i="10"/>
  <c r="P835" i="10" s="1"/>
  <c r="N835" i="10"/>
  <c r="M835" i="10"/>
  <c r="L835" i="10"/>
  <c r="J835" i="10"/>
  <c r="I835" i="10"/>
  <c r="H835" i="10"/>
  <c r="O834" i="10"/>
  <c r="P834" i="10" s="1"/>
  <c r="N834" i="10"/>
  <c r="M834" i="10"/>
  <c r="L834" i="10"/>
  <c r="K834" i="10"/>
  <c r="J834" i="10"/>
  <c r="I834" i="10"/>
  <c r="H834" i="10"/>
  <c r="O833" i="10"/>
  <c r="K833" i="10" s="1"/>
  <c r="N833" i="10"/>
  <c r="M833" i="10"/>
  <c r="L833" i="10"/>
  <c r="J833" i="10"/>
  <c r="I833" i="10"/>
  <c r="H833" i="10"/>
  <c r="O832" i="10"/>
  <c r="K832" i="10" s="1"/>
  <c r="N832" i="10"/>
  <c r="M832" i="10"/>
  <c r="L832" i="10"/>
  <c r="J832" i="10"/>
  <c r="I832" i="10"/>
  <c r="H832" i="10"/>
  <c r="O831" i="10"/>
  <c r="K831" i="10" s="1"/>
  <c r="N831" i="10"/>
  <c r="M831" i="10"/>
  <c r="L831" i="10"/>
  <c r="J831" i="10"/>
  <c r="I831" i="10"/>
  <c r="H831" i="10"/>
  <c r="O830" i="10"/>
  <c r="P830" i="10" s="1"/>
  <c r="N830" i="10"/>
  <c r="M830" i="10"/>
  <c r="L830" i="10"/>
  <c r="K830" i="10"/>
  <c r="J830" i="10"/>
  <c r="I830" i="10"/>
  <c r="H830" i="10"/>
  <c r="O829" i="10"/>
  <c r="K829" i="10" s="1"/>
  <c r="N829" i="10"/>
  <c r="M829" i="10"/>
  <c r="L829" i="10"/>
  <c r="J829" i="10"/>
  <c r="I829" i="10"/>
  <c r="H829" i="10"/>
  <c r="O828" i="10"/>
  <c r="P828" i="10" s="1"/>
  <c r="N828" i="10"/>
  <c r="M828" i="10"/>
  <c r="L828" i="10"/>
  <c r="J828" i="10"/>
  <c r="I828" i="10"/>
  <c r="H828" i="10"/>
  <c r="O827" i="10"/>
  <c r="P827" i="10" s="1"/>
  <c r="N827" i="10"/>
  <c r="M827" i="10"/>
  <c r="L827" i="10"/>
  <c r="J827" i="10"/>
  <c r="I827" i="10"/>
  <c r="H827" i="10"/>
  <c r="O826" i="10"/>
  <c r="P826" i="10" s="1"/>
  <c r="N826" i="10"/>
  <c r="M826" i="10"/>
  <c r="L826" i="10"/>
  <c r="J826" i="10"/>
  <c r="I826" i="10"/>
  <c r="H826" i="10"/>
  <c r="O825" i="10"/>
  <c r="P825" i="10" s="1"/>
  <c r="N825" i="10"/>
  <c r="M825" i="10"/>
  <c r="L825" i="10"/>
  <c r="J825" i="10"/>
  <c r="I825" i="10"/>
  <c r="H825" i="10"/>
  <c r="O824" i="10"/>
  <c r="K824" i="10" s="1"/>
  <c r="N824" i="10"/>
  <c r="M824" i="10"/>
  <c r="L824" i="10"/>
  <c r="J824" i="10"/>
  <c r="I824" i="10"/>
  <c r="H824" i="10"/>
  <c r="O823" i="10"/>
  <c r="P823" i="10" s="1"/>
  <c r="N823" i="10"/>
  <c r="M823" i="10"/>
  <c r="L823" i="10"/>
  <c r="J823" i="10"/>
  <c r="I823" i="10"/>
  <c r="H823" i="10"/>
  <c r="O822" i="10"/>
  <c r="K822" i="10" s="1"/>
  <c r="N822" i="10"/>
  <c r="M822" i="10"/>
  <c r="L822" i="10"/>
  <c r="J822" i="10"/>
  <c r="I822" i="10"/>
  <c r="H822" i="10"/>
  <c r="O821" i="10"/>
  <c r="K821" i="10" s="1"/>
  <c r="N821" i="10"/>
  <c r="M821" i="10"/>
  <c r="L821" i="10"/>
  <c r="J821" i="10"/>
  <c r="I821" i="10"/>
  <c r="H821" i="10"/>
  <c r="O820" i="10"/>
  <c r="P820" i="10" s="1"/>
  <c r="N820" i="10"/>
  <c r="M820" i="10"/>
  <c r="L820" i="10"/>
  <c r="J820" i="10"/>
  <c r="I820" i="10"/>
  <c r="H820" i="10"/>
  <c r="O819" i="10"/>
  <c r="P819" i="10" s="1"/>
  <c r="N819" i="10"/>
  <c r="M819" i="10"/>
  <c r="L819" i="10"/>
  <c r="J819" i="10"/>
  <c r="I819" i="10"/>
  <c r="H819" i="10"/>
  <c r="O818" i="10"/>
  <c r="P818" i="10" s="1"/>
  <c r="N818" i="10"/>
  <c r="M818" i="10"/>
  <c r="L818" i="10"/>
  <c r="J818" i="10"/>
  <c r="I818" i="10"/>
  <c r="H818" i="10"/>
  <c r="O817" i="10"/>
  <c r="K817" i="10" s="1"/>
  <c r="N817" i="10"/>
  <c r="M817" i="10"/>
  <c r="L817" i="10"/>
  <c r="J817" i="10"/>
  <c r="I817" i="10"/>
  <c r="H817" i="10"/>
  <c r="O816" i="10"/>
  <c r="P816" i="10" s="1"/>
  <c r="N816" i="10"/>
  <c r="M816" i="10"/>
  <c r="L816" i="10"/>
  <c r="J816" i="10"/>
  <c r="I816" i="10"/>
  <c r="H816" i="10"/>
  <c r="O815" i="10"/>
  <c r="K815" i="10" s="1"/>
  <c r="N815" i="10"/>
  <c r="M815" i="10"/>
  <c r="L815" i="10"/>
  <c r="J815" i="10"/>
  <c r="I815" i="10"/>
  <c r="H815" i="10"/>
  <c r="O814" i="10"/>
  <c r="N814" i="10"/>
  <c r="M814" i="10"/>
  <c r="L814" i="10"/>
  <c r="J814" i="10"/>
  <c r="I814" i="10"/>
  <c r="H814" i="10"/>
  <c r="O813" i="10"/>
  <c r="P813" i="10" s="1"/>
  <c r="N813" i="10"/>
  <c r="M813" i="10"/>
  <c r="L813" i="10"/>
  <c r="J813" i="10"/>
  <c r="I813" i="10"/>
  <c r="H813" i="10"/>
  <c r="O812" i="10"/>
  <c r="K812" i="10" s="1"/>
  <c r="N812" i="10"/>
  <c r="M812" i="10"/>
  <c r="L812" i="10"/>
  <c r="J812" i="10"/>
  <c r="I812" i="10"/>
  <c r="H812" i="10"/>
  <c r="O811" i="10"/>
  <c r="P811" i="10" s="1"/>
  <c r="N811" i="10"/>
  <c r="M811" i="10"/>
  <c r="L811" i="10"/>
  <c r="J811" i="10"/>
  <c r="I811" i="10"/>
  <c r="H811" i="10"/>
  <c r="O810" i="10"/>
  <c r="K810" i="10" s="1"/>
  <c r="N810" i="10"/>
  <c r="M810" i="10"/>
  <c r="L810" i="10"/>
  <c r="J810" i="10"/>
  <c r="I810" i="10"/>
  <c r="H810" i="10"/>
  <c r="O809" i="10"/>
  <c r="P809" i="10" s="1"/>
  <c r="N809" i="10"/>
  <c r="M809" i="10"/>
  <c r="L809" i="10"/>
  <c r="J809" i="10"/>
  <c r="I809" i="10"/>
  <c r="H809" i="10"/>
  <c r="O808" i="10"/>
  <c r="P808" i="10" s="1"/>
  <c r="N808" i="10"/>
  <c r="M808" i="10"/>
  <c r="L808" i="10"/>
  <c r="J808" i="10"/>
  <c r="I808" i="10"/>
  <c r="H808" i="10"/>
  <c r="O807" i="10"/>
  <c r="P807" i="10" s="1"/>
  <c r="N807" i="10"/>
  <c r="M807" i="10"/>
  <c r="L807" i="10"/>
  <c r="J807" i="10"/>
  <c r="I807" i="10"/>
  <c r="H807" i="10"/>
  <c r="O806" i="10"/>
  <c r="K806" i="10" s="1"/>
  <c r="N806" i="10"/>
  <c r="M806" i="10"/>
  <c r="L806" i="10"/>
  <c r="J806" i="10"/>
  <c r="I806" i="10"/>
  <c r="H806" i="10"/>
  <c r="O805" i="10"/>
  <c r="K805" i="10" s="1"/>
  <c r="N805" i="10"/>
  <c r="M805" i="10"/>
  <c r="L805" i="10"/>
  <c r="J805" i="10"/>
  <c r="I805" i="10"/>
  <c r="H805" i="10"/>
  <c r="O804" i="10"/>
  <c r="P804" i="10" s="1"/>
  <c r="N804" i="10"/>
  <c r="M804" i="10"/>
  <c r="L804" i="10"/>
  <c r="J804" i="10"/>
  <c r="I804" i="10"/>
  <c r="H804" i="10"/>
  <c r="O803" i="10"/>
  <c r="P803" i="10" s="1"/>
  <c r="N803" i="10"/>
  <c r="M803" i="10"/>
  <c r="L803" i="10"/>
  <c r="J803" i="10"/>
  <c r="I803" i="10"/>
  <c r="H803" i="10"/>
  <c r="O802" i="10"/>
  <c r="P802" i="10" s="1"/>
  <c r="N802" i="10"/>
  <c r="M802" i="10"/>
  <c r="L802" i="10"/>
  <c r="J802" i="10"/>
  <c r="I802" i="10"/>
  <c r="H802" i="10"/>
  <c r="O801" i="10"/>
  <c r="K801" i="10" s="1"/>
  <c r="N801" i="10"/>
  <c r="M801" i="10"/>
  <c r="L801" i="10"/>
  <c r="J801" i="10"/>
  <c r="I801" i="10"/>
  <c r="H801" i="10"/>
  <c r="O800" i="10"/>
  <c r="N800" i="10"/>
  <c r="M800" i="10"/>
  <c r="L800" i="10"/>
  <c r="J800" i="10"/>
  <c r="I800" i="10"/>
  <c r="H800" i="10"/>
  <c r="O799" i="10"/>
  <c r="K799" i="10" s="1"/>
  <c r="N799" i="10"/>
  <c r="M799" i="10"/>
  <c r="L799" i="10"/>
  <c r="J799" i="10"/>
  <c r="I799" i="10"/>
  <c r="H799" i="10"/>
  <c r="O798" i="10"/>
  <c r="P798" i="10" s="1"/>
  <c r="N798" i="10"/>
  <c r="M798" i="10"/>
  <c r="L798" i="10"/>
  <c r="J798" i="10"/>
  <c r="I798" i="10"/>
  <c r="H798" i="10"/>
  <c r="O797" i="10"/>
  <c r="P797" i="10" s="1"/>
  <c r="N797" i="10"/>
  <c r="M797" i="10"/>
  <c r="L797" i="10"/>
  <c r="J797" i="10"/>
  <c r="I797" i="10"/>
  <c r="H797" i="10"/>
  <c r="O796" i="10"/>
  <c r="K796" i="10" s="1"/>
  <c r="N796" i="10"/>
  <c r="M796" i="10"/>
  <c r="L796" i="10"/>
  <c r="J796" i="10"/>
  <c r="I796" i="10"/>
  <c r="H796" i="10"/>
  <c r="O795" i="10"/>
  <c r="P795" i="10" s="1"/>
  <c r="N795" i="10"/>
  <c r="M795" i="10"/>
  <c r="L795" i="10"/>
  <c r="J795" i="10"/>
  <c r="I795" i="10"/>
  <c r="H795" i="10"/>
  <c r="O794" i="10"/>
  <c r="P794" i="10" s="1"/>
  <c r="N794" i="10"/>
  <c r="M794" i="10"/>
  <c r="L794" i="10"/>
  <c r="J794" i="10"/>
  <c r="I794" i="10"/>
  <c r="H794" i="10"/>
  <c r="O793" i="10"/>
  <c r="P793" i="10" s="1"/>
  <c r="N793" i="10"/>
  <c r="M793" i="10"/>
  <c r="L793" i="10"/>
  <c r="J793" i="10"/>
  <c r="I793" i="10"/>
  <c r="H793" i="10"/>
  <c r="O792" i="10"/>
  <c r="N792" i="10"/>
  <c r="M792" i="10"/>
  <c r="L792" i="10"/>
  <c r="J792" i="10"/>
  <c r="I792" i="10"/>
  <c r="H792" i="10"/>
  <c r="O791" i="10"/>
  <c r="P791" i="10" s="1"/>
  <c r="N791" i="10"/>
  <c r="M791" i="10"/>
  <c r="L791" i="10"/>
  <c r="J791" i="10"/>
  <c r="I791" i="10"/>
  <c r="H791" i="10"/>
  <c r="O790" i="10"/>
  <c r="K790" i="10" s="1"/>
  <c r="N790" i="10"/>
  <c r="M790" i="10"/>
  <c r="L790" i="10"/>
  <c r="J790" i="10"/>
  <c r="I790" i="10"/>
  <c r="H790" i="10"/>
  <c r="O789" i="10"/>
  <c r="P789" i="10" s="1"/>
  <c r="N789" i="10"/>
  <c r="M789" i="10"/>
  <c r="L789" i="10"/>
  <c r="J789" i="10"/>
  <c r="I789" i="10"/>
  <c r="H789" i="10"/>
  <c r="O788" i="10"/>
  <c r="P788" i="10" s="1"/>
  <c r="N788" i="10"/>
  <c r="M788" i="10"/>
  <c r="L788" i="10"/>
  <c r="J788" i="10"/>
  <c r="I788" i="10"/>
  <c r="H788" i="10"/>
  <c r="O787" i="10"/>
  <c r="P787" i="10" s="1"/>
  <c r="N787" i="10"/>
  <c r="M787" i="10"/>
  <c r="L787" i="10"/>
  <c r="J787" i="10"/>
  <c r="I787" i="10"/>
  <c r="H787" i="10"/>
  <c r="O786" i="10"/>
  <c r="P786" i="10" s="1"/>
  <c r="N786" i="10"/>
  <c r="M786" i="10"/>
  <c r="L786" i="10"/>
  <c r="J786" i="10"/>
  <c r="I786" i="10"/>
  <c r="H786" i="10"/>
  <c r="O785" i="10"/>
  <c r="P785" i="10" s="1"/>
  <c r="N785" i="10"/>
  <c r="M785" i="10"/>
  <c r="L785" i="10"/>
  <c r="J785" i="10"/>
  <c r="I785" i="10"/>
  <c r="H785" i="10"/>
  <c r="O784" i="10"/>
  <c r="P784" i="10" s="1"/>
  <c r="N784" i="10"/>
  <c r="M784" i="10"/>
  <c r="L784" i="10"/>
  <c r="J784" i="10"/>
  <c r="I784" i="10"/>
  <c r="H784" i="10"/>
  <c r="O783" i="10"/>
  <c r="P783" i="10" s="1"/>
  <c r="N783" i="10"/>
  <c r="M783" i="10"/>
  <c r="L783" i="10"/>
  <c r="J783" i="10"/>
  <c r="I783" i="10"/>
  <c r="H783" i="10"/>
  <c r="O782" i="10"/>
  <c r="P782" i="10" s="1"/>
  <c r="N782" i="10"/>
  <c r="M782" i="10"/>
  <c r="L782" i="10"/>
  <c r="J782" i="10"/>
  <c r="I782" i="10"/>
  <c r="H782" i="10"/>
  <c r="O781" i="10"/>
  <c r="K781" i="10" s="1"/>
  <c r="N781" i="10"/>
  <c r="M781" i="10"/>
  <c r="L781" i="10"/>
  <c r="J781" i="10"/>
  <c r="I781" i="10"/>
  <c r="H781" i="10"/>
  <c r="O780" i="10"/>
  <c r="P780" i="10" s="1"/>
  <c r="N780" i="10"/>
  <c r="M780" i="10"/>
  <c r="L780" i="10"/>
  <c r="J780" i="10"/>
  <c r="I780" i="10"/>
  <c r="H780" i="10"/>
  <c r="O779" i="10"/>
  <c r="P779" i="10" s="1"/>
  <c r="N779" i="10"/>
  <c r="M779" i="10"/>
  <c r="L779" i="10"/>
  <c r="J779" i="10"/>
  <c r="I779" i="10"/>
  <c r="H779" i="10"/>
  <c r="O778" i="10"/>
  <c r="P778" i="10" s="1"/>
  <c r="N778" i="10"/>
  <c r="M778" i="10"/>
  <c r="L778" i="10"/>
  <c r="K778" i="10"/>
  <c r="J778" i="10"/>
  <c r="I778" i="10"/>
  <c r="H778" i="10"/>
  <c r="O777" i="10"/>
  <c r="P777" i="10" s="1"/>
  <c r="N777" i="10"/>
  <c r="M777" i="10"/>
  <c r="L777" i="10"/>
  <c r="J777" i="10"/>
  <c r="I777" i="10"/>
  <c r="H777" i="10"/>
  <c r="O776" i="10"/>
  <c r="P776" i="10" s="1"/>
  <c r="N776" i="10"/>
  <c r="M776" i="10"/>
  <c r="L776" i="10"/>
  <c r="J776" i="10"/>
  <c r="I776" i="10"/>
  <c r="H776" i="10"/>
  <c r="O775" i="10"/>
  <c r="P775" i="10" s="1"/>
  <c r="N775" i="10"/>
  <c r="M775" i="10"/>
  <c r="L775" i="10"/>
  <c r="J775" i="10"/>
  <c r="I775" i="10"/>
  <c r="H775" i="10"/>
  <c r="O774" i="10"/>
  <c r="K774" i="10" s="1"/>
  <c r="N774" i="10"/>
  <c r="M774" i="10"/>
  <c r="L774" i="10"/>
  <c r="J774" i="10"/>
  <c r="I774" i="10"/>
  <c r="H774" i="10"/>
  <c r="O773" i="10"/>
  <c r="K773" i="10" s="1"/>
  <c r="N773" i="10"/>
  <c r="M773" i="10"/>
  <c r="L773" i="10"/>
  <c r="J773" i="10"/>
  <c r="I773" i="10"/>
  <c r="H773" i="10"/>
  <c r="O772" i="10"/>
  <c r="P772" i="10" s="1"/>
  <c r="N772" i="10"/>
  <c r="M772" i="10"/>
  <c r="L772" i="10"/>
  <c r="J772" i="10"/>
  <c r="I772" i="10"/>
  <c r="H772" i="10"/>
  <c r="O771" i="10"/>
  <c r="P771" i="10" s="1"/>
  <c r="N771" i="10"/>
  <c r="M771" i="10"/>
  <c r="L771" i="10"/>
  <c r="J771" i="10"/>
  <c r="I771" i="10"/>
  <c r="H771" i="10"/>
  <c r="O770" i="10"/>
  <c r="K770" i="10" s="1"/>
  <c r="N770" i="10"/>
  <c r="M770" i="10"/>
  <c r="L770" i="10"/>
  <c r="J770" i="10"/>
  <c r="I770" i="10"/>
  <c r="H770" i="10"/>
  <c r="O769" i="10"/>
  <c r="P769" i="10" s="1"/>
  <c r="N769" i="10"/>
  <c r="M769" i="10"/>
  <c r="L769" i="10"/>
  <c r="J769" i="10"/>
  <c r="I769" i="10"/>
  <c r="H769" i="10"/>
  <c r="O768" i="10"/>
  <c r="P768" i="10" s="1"/>
  <c r="N768" i="10"/>
  <c r="M768" i="10"/>
  <c r="L768" i="10"/>
  <c r="J768" i="10"/>
  <c r="I768" i="10"/>
  <c r="H768" i="10"/>
  <c r="O767" i="10"/>
  <c r="P767" i="10" s="1"/>
  <c r="N767" i="10"/>
  <c r="M767" i="10"/>
  <c r="L767" i="10"/>
  <c r="J767" i="10"/>
  <c r="I767" i="10"/>
  <c r="H767" i="10"/>
  <c r="O766" i="10"/>
  <c r="K766" i="10" s="1"/>
  <c r="N766" i="10"/>
  <c r="M766" i="10"/>
  <c r="L766" i="10"/>
  <c r="J766" i="10"/>
  <c r="I766" i="10"/>
  <c r="H766" i="10"/>
  <c r="O765" i="10"/>
  <c r="P765" i="10" s="1"/>
  <c r="N765" i="10"/>
  <c r="M765" i="10"/>
  <c r="L765" i="10"/>
  <c r="J765" i="10"/>
  <c r="I765" i="10"/>
  <c r="H765" i="10"/>
  <c r="O764" i="10"/>
  <c r="P764" i="10" s="1"/>
  <c r="N764" i="10"/>
  <c r="M764" i="10"/>
  <c r="L764" i="10"/>
  <c r="J764" i="10"/>
  <c r="I764" i="10"/>
  <c r="H764" i="10"/>
  <c r="O763" i="10"/>
  <c r="P763" i="10" s="1"/>
  <c r="N763" i="10"/>
  <c r="M763" i="10"/>
  <c r="L763" i="10"/>
  <c r="K763" i="10"/>
  <c r="J763" i="10"/>
  <c r="I763" i="10"/>
  <c r="H763" i="10"/>
  <c r="O762" i="10"/>
  <c r="K762" i="10" s="1"/>
  <c r="N762" i="10"/>
  <c r="M762" i="10"/>
  <c r="L762" i="10"/>
  <c r="J762" i="10"/>
  <c r="I762" i="10"/>
  <c r="H762" i="10"/>
  <c r="O761" i="10"/>
  <c r="P761" i="10" s="1"/>
  <c r="N761" i="10"/>
  <c r="M761" i="10"/>
  <c r="L761" i="10"/>
  <c r="J761" i="10"/>
  <c r="I761" i="10"/>
  <c r="H761" i="10"/>
  <c r="O760" i="10"/>
  <c r="K760" i="10" s="1"/>
  <c r="N760" i="10"/>
  <c r="M760" i="10"/>
  <c r="L760" i="10"/>
  <c r="J760" i="10"/>
  <c r="I760" i="10"/>
  <c r="H760" i="10"/>
  <c r="O759" i="10"/>
  <c r="N759" i="10"/>
  <c r="M759" i="10"/>
  <c r="L759" i="10"/>
  <c r="J759" i="10"/>
  <c r="I759" i="10"/>
  <c r="H759" i="10"/>
  <c r="O758" i="10"/>
  <c r="K758" i="10" s="1"/>
  <c r="N758" i="10"/>
  <c r="M758" i="10"/>
  <c r="L758" i="10"/>
  <c r="J758" i="10"/>
  <c r="I758" i="10"/>
  <c r="H758" i="10"/>
  <c r="O757" i="10"/>
  <c r="P757" i="10" s="1"/>
  <c r="N757" i="10"/>
  <c r="M757" i="10"/>
  <c r="L757" i="10"/>
  <c r="J757" i="10"/>
  <c r="I757" i="10"/>
  <c r="H757" i="10"/>
  <c r="O756" i="10"/>
  <c r="P756" i="10" s="1"/>
  <c r="N756" i="10"/>
  <c r="M756" i="10"/>
  <c r="L756" i="10"/>
  <c r="K756" i="10"/>
  <c r="J756" i="10"/>
  <c r="I756" i="10"/>
  <c r="H756" i="10"/>
  <c r="O755" i="10"/>
  <c r="K755" i="10" s="1"/>
  <c r="N755" i="10"/>
  <c r="M755" i="10"/>
  <c r="L755" i="10"/>
  <c r="J755" i="10"/>
  <c r="I755" i="10"/>
  <c r="H755" i="10"/>
  <c r="O754" i="10"/>
  <c r="P754" i="10" s="1"/>
  <c r="N754" i="10"/>
  <c r="M754" i="10"/>
  <c r="L754" i="10"/>
  <c r="J754" i="10"/>
  <c r="I754" i="10"/>
  <c r="H754" i="10"/>
  <c r="O753" i="10"/>
  <c r="P753" i="10" s="1"/>
  <c r="N753" i="10"/>
  <c r="M753" i="10"/>
  <c r="L753" i="10"/>
  <c r="J753" i="10"/>
  <c r="I753" i="10"/>
  <c r="H753" i="10"/>
  <c r="O752" i="10"/>
  <c r="P752" i="10" s="1"/>
  <c r="N752" i="10"/>
  <c r="M752" i="10"/>
  <c r="L752" i="10"/>
  <c r="J752" i="10"/>
  <c r="I752" i="10"/>
  <c r="H752" i="10"/>
  <c r="O751" i="10"/>
  <c r="P751" i="10" s="1"/>
  <c r="N751" i="10"/>
  <c r="M751" i="10"/>
  <c r="L751" i="10"/>
  <c r="J751" i="10"/>
  <c r="I751" i="10"/>
  <c r="H751" i="10"/>
  <c r="O750" i="10"/>
  <c r="P750" i="10" s="1"/>
  <c r="N750" i="10"/>
  <c r="M750" i="10"/>
  <c r="L750" i="10"/>
  <c r="J750" i="10"/>
  <c r="I750" i="10"/>
  <c r="H750" i="10"/>
  <c r="O749" i="10"/>
  <c r="P749" i="10" s="1"/>
  <c r="N749" i="10"/>
  <c r="M749" i="10"/>
  <c r="L749" i="10"/>
  <c r="J749" i="10"/>
  <c r="I749" i="10"/>
  <c r="H749" i="10"/>
  <c r="O748" i="10"/>
  <c r="K748" i="10" s="1"/>
  <c r="N748" i="10"/>
  <c r="M748" i="10"/>
  <c r="L748" i="10"/>
  <c r="J748" i="10"/>
  <c r="I748" i="10"/>
  <c r="H748" i="10"/>
  <c r="O747" i="10"/>
  <c r="P747" i="10" s="1"/>
  <c r="N747" i="10"/>
  <c r="M747" i="10"/>
  <c r="L747" i="10"/>
  <c r="J747" i="10"/>
  <c r="I747" i="10"/>
  <c r="H747" i="10"/>
  <c r="O746" i="10"/>
  <c r="K746" i="10" s="1"/>
  <c r="N746" i="10"/>
  <c r="M746" i="10"/>
  <c r="L746" i="10"/>
  <c r="J746" i="10"/>
  <c r="I746" i="10"/>
  <c r="H746" i="10"/>
  <c r="O745" i="10"/>
  <c r="P745" i="10" s="1"/>
  <c r="N745" i="10"/>
  <c r="M745" i="10"/>
  <c r="L745" i="10"/>
  <c r="J745" i="10"/>
  <c r="I745" i="10"/>
  <c r="H745" i="10"/>
  <c r="O744" i="10"/>
  <c r="P744" i="10" s="1"/>
  <c r="N744" i="10"/>
  <c r="M744" i="10"/>
  <c r="L744" i="10"/>
  <c r="J744" i="10"/>
  <c r="I744" i="10"/>
  <c r="H744" i="10"/>
  <c r="O743" i="10"/>
  <c r="P743" i="10" s="1"/>
  <c r="N743" i="10"/>
  <c r="M743" i="10"/>
  <c r="L743" i="10"/>
  <c r="J743" i="10"/>
  <c r="I743" i="10"/>
  <c r="H743" i="10"/>
  <c r="O742" i="10"/>
  <c r="K742" i="10" s="1"/>
  <c r="N742" i="10"/>
  <c r="M742" i="10"/>
  <c r="L742" i="10"/>
  <c r="J742" i="10"/>
  <c r="I742" i="10"/>
  <c r="H742" i="10"/>
  <c r="O741" i="10"/>
  <c r="K741" i="10" s="1"/>
  <c r="N741" i="10"/>
  <c r="M741" i="10"/>
  <c r="L741" i="10"/>
  <c r="J741" i="10"/>
  <c r="I741" i="10"/>
  <c r="H741" i="10"/>
  <c r="O740" i="10"/>
  <c r="P740" i="10" s="1"/>
  <c r="N740" i="10"/>
  <c r="M740" i="10"/>
  <c r="L740" i="10"/>
  <c r="J740" i="10"/>
  <c r="I740" i="10"/>
  <c r="H740" i="10"/>
  <c r="O739" i="10"/>
  <c r="P739" i="10" s="1"/>
  <c r="N739" i="10"/>
  <c r="M739" i="10"/>
  <c r="L739" i="10"/>
  <c r="J739" i="10"/>
  <c r="I739" i="10"/>
  <c r="H739" i="10"/>
  <c r="O738" i="10"/>
  <c r="P738" i="10" s="1"/>
  <c r="N738" i="10"/>
  <c r="M738" i="10"/>
  <c r="L738" i="10"/>
  <c r="J738" i="10"/>
  <c r="I738" i="10"/>
  <c r="H738" i="10"/>
  <c r="O737" i="10"/>
  <c r="K737" i="10" s="1"/>
  <c r="N737" i="10"/>
  <c r="M737" i="10"/>
  <c r="L737" i="10"/>
  <c r="J737" i="10"/>
  <c r="I737" i="10"/>
  <c r="H737" i="10"/>
  <c r="O736" i="10"/>
  <c r="P736" i="10" s="1"/>
  <c r="N736" i="10"/>
  <c r="M736" i="10"/>
  <c r="L736" i="10"/>
  <c r="J736" i="10"/>
  <c r="I736" i="10"/>
  <c r="H736" i="10"/>
  <c r="O735" i="10"/>
  <c r="P735" i="10" s="1"/>
  <c r="N735" i="10"/>
  <c r="M735" i="10"/>
  <c r="L735" i="10"/>
  <c r="J735" i="10"/>
  <c r="I735" i="10"/>
  <c r="H735" i="10"/>
  <c r="O734" i="10"/>
  <c r="P734" i="10" s="1"/>
  <c r="N734" i="10"/>
  <c r="M734" i="10"/>
  <c r="L734" i="10"/>
  <c r="J734" i="10"/>
  <c r="I734" i="10"/>
  <c r="H734" i="10"/>
  <c r="O733" i="10"/>
  <c r="K733" i="10" s="1"/>
  <c r="N733" i="10"/>
  <c r="M733" i="10"/>
  <c r="L733" i="10"/>
  <c r="J733" i="10"/>
  <c r="I733" i="10"/>
  <c r="H733" i="10"/>
  <c r="O732" i="10"/>
  <c r="P732" i="10" s="1"/>
  <c r="N732" i="10"/>
  <c r="M732" i="10"/>
  <c r="L732" i="10"/>
  <c r="J732" i="10"/>
  <c r="I732" i="10"/>
  <c r="H732" i="10"/>
  <c r="O731" i="10"/>
  <c r="P731" i="10" s="1"/>
  <c r="N731" i="10"/>
  <c r="M731" i="10"/>
  <c r="L731" i="10"/>
  <c r="J731" i="10"/>
  <c r="I731" i="10"/>
  <c r="H731" i="10"/>
  <c r="O730" i="10"/>
  <c r="P730" i="10" s="1"/>
  <c r="N730" i="10"/>
  <c r="M730" i="10"/>
  <c r="L730" i="10"/>
  <c r="J730" i="10"/>
  <c r="I730" i="10"/>
  <c r="H730" i="10"/>
  <c r="O729" i="10"/>
  <c r="P729" i="10" s="1"/>
  <c r="N729" i="10"/>
  <c r="M729" i="10"/>
  <c r="L729" i="10"/>
  <c r="J729" i="10"/>
  <c r="I729" i="10"/>
  <c r="H729" i="10"/>
  <c r="O728" i="10"/>
  <c r="K728" i="10" s="1"/>
  <c r="N728" i="10"/>
  <c r="M728" i="10"/>
  <c r="L728" i="10"/>
  <c r="J728" i="10"/>
  <c r="I728" i="10"/>
  <c r="H728" i="10"/>
  <c r="O727" i="10"/>
  <c r="P727" i="10" s="1"/>
  <c r="N727" i="10"/>
  <c r="M727" i="10"/>
  <c r="L727" i="10"/>
  <c r="J727" i="10"/>
  <c r="I727" i="10"/>
  <c r="H727" i="10"/>
  <c r="O726" i="10"/>
  <c r="K726" i="10" s="1"/>
  <c r="N726" i="10"/>
  <c r="M726" i="10"/>
  <c r="L726" i="10"/>
  <c r="J726" i="10"/>
  <c r="I726" i="10"/>
  <c r="H726" i="10"/>
  <c r="O725" i="10"/>
  <c r="P725" i="10" s="1"/>
  <c r="N725" i="10"/>
  <c r="M725" i="10"/>
  <c r="L725" i="10"/>
  <c r="J725" i="10"/>
  <c r="I725" i="10"/>
  <c r="H725" i="10"/>
  <c r="O724" i="10"/>
  <c r="P724" i="10" s="1"/>
  <c r="N724" i="10"/>
  <c r="M724" i="10"/>
  <c r="L724" i="10"/>
  <c r="J724" i="10"/>
  <c r="I724" i="10"/>
  <c r="H724" i="10"/>
  <c r="O723" i="10"/>
  <c r="P723" i="10" s="1"/>
  <c r="N723" i="10"/>
  <c r="M723" i="10"/>
  <c r="L723" i="10"/>
  <c r="J723" i="10"/>
  <c r="I723" i="10"/>
  <c r="H723" i="10"/>
  <c r="O722" i="10"/>
  <c r="K722" i="10" s="1"/>
  <c r="N722" i="10"/>
  <c r="M722" i="10"/>
  <c r="L722" i="10"/>
  <c r="J722" i="10"/>
  <c r="I722" i="10"/>
  <c r="H722" i="10"/>
  <c r="O721" i="10"/>
  <c r="P721" i="10" s="1"/>
  <c r="N721" i="10"/>
  <c r="M721" i="10"/>
  <c r="L721" i="10"/>
  <c r="K721" i="10"/>
  <c r="J721" i="10"/>
  <c r="I721" i="10"/>
  <c r="H721" i="10"/>
  <c r="O720" i="10"/>
  <c r="K720" i="10" s="1"/>
  <c r="N720" i="10"/>
  <c r="M720" i="10"/>
  <c r="L720" i="10"/>
  <c r="J720" i="10"/>
  <c r="I720" i="10"/>
  <c r="H720" i="10"/>
  <c r="O719" i="10"/>
  <c r="K719" i="10" s="1"/>
  <c r="N719" i="10"/>
  <c r="M719" i="10"/>
  <c r="L719" i="10"/>
  <c r="J719" i="10"/>
  <c r="I719" i="10"/>
  <c r="H719" i="10"/>
  <c r="O718" i="10"/>
  <c r="P718" i="10" s="1"/>
  <c r="N718" i="10"/>
  <c r="M718" i="10"/>
  <c r="L718" i="10"/>
  <c r="K718" i="10"/>
  <c r="J718" i="10"/>
  <c r="I718" i="10"/>
  <c r="H718" i="10"/>
  <c r="O717" i="10"/>
  <c r="P717" i="10" s="1"/>
  <c r="N717" i="10"/>
  <c r="M717" i="10"/>
  <c r="L717" i="10"/>
  <c r="J717" i="10"/>
  <c r="I717" i="10"/>
  <c r="H717" i="10"/>
  <c r="O716" i="10"/>
  <c r="N716" i="10"/>
  <c r="M716" i="10"/>
  <c r="L716" i="10"/>
  <c r="J716" i="10"/>
  <c r="I716" i="10"/>
  <c r="H716" i="10"/>
  <c r="O715" i="10"/>
  <c r="K715" i="10" s="1"/>
  <c r="N715" i="10"/>
  <c r="M715" i="10"/>
  <c r="L715" i="10"/>
  <c r="J715" i="10"/>
  <c r="I715" i="10"/>
  <c r="H715" i="10"/>
  <c r="O714" i="10"/>
  <c r="P714" i="10" s="1"/>
  <c r="N714" i="10"/>
  <c r="M714" i="10"/>
  <c r="L714" i="10"/>
  <c r="J714" i="10"/>
  <c r="I714" i="10"/>
  <c r="H714" i="10"/>
  <c r="O713" i="10"/>
  <c r="P713" i="10" s="1"/>
  <c r="N713" i="10"/>
  <c r="M713" i="10"/>
  <c r="L713" i="10"/>
  <c r="J713" i="10"/>
  <c r="I713" i="10"/>
  <c r="H713" i="10"/>
  <c r="O712" i="10"/>
  <c r="P712" i="10" s="1"/>
  <c r="N712" i="10"/>
  <c r="M712" i="10"/>
  <c r="L712" i="10"/>
  <c r="J712" i="10"/>
  <c r="I712" i="10"/>
  <c r="H712" i="10"/>
  <c r="O711" i="10"/>
  <c r="P711" i="10" s="1"/>
  <c r="N711" i="10"/>
  <c r="M711" i="10"/>
  <c r="L711" i="10"/>
  <c r="J711" i="10"/>
  <c r="I711" i="10"/>
  <c r="H711" i="10"/>
  <c r="O710" i="10"/>
  <c r="K710" i="10" s="1"/>
  <c r="N710" i="10"/>
  <c r="M710" i="10"/>
  <c r="L710" i="10"/>
  <c r="J710" i="10"/>
  <c r="I710" i="10"/>
  <c r="H710" i="10"/>
  <c r="O709" i="10"/>
  <c r="K709" i="10" s="1"/>
  <c r="N709" i="10"/>
  <c r="M709" i="10"/>
  <c r="L709" i="10"/>
  <c r="J709" i="10"/>
  <c r="I709" i="10"/>
  <c r="H709" i="10"/>
  <c r="O708" i="10"/>
  <c r="K708" i="10" s="1"/>
  <c r="N708" i="10"/>
  <c r="M708" i="10"/>
  <c r="L708" i="10"/>
  <c r="J708" i="10"/>
  <c r="I708" i="10"/>
  <c r="H708" i="10"/>
  <c r="O707" i="10"/>
  <c r="P707" i="10" s="1"/>
  <c r="N707" i="10"/>
  <c r="M707" i="10"/>
  <c r="L707" i="10"/>
  <c r="J707" i="10"/>
  <c r="I707" i="10"/>
  <c r="H707" i="10"/>
  <c r="O706" i="10"/>
  <c r="P706" i="10" s="1"/>
  <c r="N706" i="10"/>
  <c r="M706" i="10"/>
  <c r="L706" i="10"/>
  <c r="J706" i="10"/>
  <c r="I706" i="10"/>
  <c r="H706" i="10"/>
  <c r="O705" i="10"/>
  <c r="P705" i="10" s="1"/>
  <c r="N705" i="10"/>
  <c r="M705" i="10"/>
  <c r="L705" i="10"/>
  <c r="J705" i="10"/>
  <c r="I705" i="10"/>
  <c r="H705" i="10"/>
  <c r="O704" i="10"/>
  <c r="K704" i="10" s="1"/>
  <c r="N704" i="10"/>
  <c r="M704" i="10"/>
  <c r="L704" i="10"/>
  <c r="J704" i="10"/>
  <c r="I704" i="10"/>
  <c r="H704" i="10"/>
  <c r="O703" i="10"/>
  <c r="K703" i="10" s="1"/>
  <c r="N703" i="10"/>
  <c r="M703" i="10"/>
  <c r="L703" i="10"/>
  <c r="J703" i="10"/>
  <c r="I703" i="10"/>
  <c r="H703" i="10"/>
  <c r="O702" i="10"/>
  <c r="P702" i="10" s="1"/>
  <c r="N702" i="10"/>
  <c r="M702" i="10"/>
  <c r="L702" i="10"/>
  <c r="J702" i="10"/>
  <c r="I702" i="10"/>
  <c r="H702" i="10"/>
  <c r="O701" i="10"/>
  <c r="K701" i="10" s="1"/>
  <c r="N701" i="10"/>
  <c r="M701" i="10"/>
  <c r="L701" i="10"/>
  <c r="J701" i="10"/>
  <c r="I701" i="10"/>
  <c r="H701" i="10"/>
  <c r="O700" i="10"/>
  <c r="P700" i="10" s="1"/>
  <c r="N700" i="10"/>
  <c r="M700" i="10"/>
  <c r="L700" i="10"/>
  <c r="K700" i="10"/>
  <c r="J700" i="10"/>
  <c r="I700" i="10"/>
  <c r="H700" i="10"/>
  <c r="O699" i="10"/>
  <c r="P699" i="10" s="1"/>
  <c r="N699" i="10"/>
  <c r="M699" i="10"/>
  <c r="L699" i="10"/>
  <c r="J699" i="10"/>
  <c r="I699" i="10"/>
  <c r="H699" i="10"/>
  <c r="O698" i="10"/>
  <c r="K698" i="10" s="1"/>
  <c r="N698" i="10"/>
  <c r="M698" i="10"/>
  <c r="L698" i="10"/>
  <c r="J698" i="10"/>
  <c r="I698" i="10"/>
  <c r="H698" i="10"/>
  <c r="O697" i="10"/>
  <c r="P697" i="10" s="1"/>
  <c r="N697" i="10"/>
  <c r="M697" i="10"/>
  <c r="L697" i="10"/>
  <c r="J697" i="10"/>
  <c r="I697" i="10"/>
  <c r="H697" i="10"/>
  <c r="O696" i="10"/>
  <c r="K696" i="10" s="1"/>
  <c r="N696" i="10"/>
  <c r="M696" i="10"/>
  <c r="L696" i="10"/>
  <c r="J696" i="10"/>
  <c r="I696" i="10"/>
  <c r="H696" i="10"/>
  <c r="O695" i="10"/>
  <c r="P695" i="10" s="1"/>
  <c r="N695" i="10"/>
  <c r="M695" i="10"/>
  <c r="L695" i="10"/>
  <c r="J695" i="10"/>
  <c r="I695" i="10"/>
  <c r="H695" i="10"/>
  <c r="O694" i="10"/>
  <c r="K694" i="10" s="1"/>
  <c r="N694" i="10"/>
  <c r="M694" i="10"/>
  <c r="L694" i="10"/>
  <c r="J694" i="10"/>
  <c r="I694" i="10"/>
  <c r="H694" i="10"/>
  <c r="O693" i="10"/>
  <c r="K693" i="10" s="1"/>
  <c r="N693" i="10"/>
  <c r="M693" i="10"/>
  <c r="L693" i="10"/>
  <c r="J693" i="10"/>
  <c r="I693" i="10"/>
  <c r="H693" i="10"/>
  <c r="O692" i="10"/>
  <c r="P692" i="10" s="1"/>
  <c r="N692" i="10"/>
  <c r="M692" i="10"/>
  <c r="L692" i="10"/>
  <c r="J692" i="10"/>
  <c r="I692" i="10"/>
  <c r="H692" i="10"/>
  <c r="O691" i="10"/>
  <c r="P691" i="10" s="1"/>
  <c r="N691" i="10"/>
  <c r="M691" i="10"/>
  <c r="L691" i="10"/>
  <c r="J691" i="10"/>
  <c r="I691" i="10"/>
  <c r="H691" i="10"/>
  <c r="O690" i="10"/>
  <c r="P690" i="10" s="1"/>
  <c r="N690" i="10"/>
  <c r="M690" i="10"/>
  <c r="L690" i="10"/>
  <c r="J690" i="10"/>
  <c r="I690" i="10"/>
  <c r="H690" i="10"/>
  <c r="O689" i="10"/>
  <c r="P689" i="10" s="1"/>
  <c r="N689" i="10"/>
  <c r="M689" i="10"/>
  <c r="L689" i="10"/>
  <c r="J689" i="10"/>
  <c r="I689" i="10"/>
  <c r="H689" i="10"/>
  <c r="O688" i="10"/>
  <c r="P688" i="10" s="1"/>
  <c r="N688" i="10"/>
  <c r="M688" i="10"/>
  <c r="L688" i="10"/>
  <c r="J688" i="10"/>
  <c r="I688" i="10"/>
  <c r="H688" i="10"/>
  <c r="O687" i="10"/>
  <c r="K687" i="10" s="1"/>
  <c r="N687" i="10"/>
  <c r="M687" i="10"/>
  <c r="L687" i="10"/>
  <c r="J687" i="10"/>
  <c r="I687" i="10"/>
  <c r="H687" i="10"/>
  <c r="O686" i="10"/>
  <c r="N686" i="10"/>
  <c r="M686" i="10"/>
  <c r="L686" i="10"/>
  <c r="J686" i="10"/>
  <c r="I686" i="10"/>
  <c r="H686" i="10"/>
  <c r="O685" i="10"/>
  <c r="P685" i="10" s="1"/>
  <c r="N685" i="10"/>
  <c r="M685" i="10"/>
  <c r="L685" i="10"/>
  <c r="J685" i="10"/>
  <c r="I685" i="10"/>
  <c r="H685" i="10"/>
  <c r="O684" i="10"/>
  <c r="P684" i="10" s="1"/>
  <c r="N684" i="10"/>
  <c r="M684" i="10"/>
  <c r="L684" i="10"/>
  <c r="J684" i="10"/>
  <c r="I684" i="10"/>
  <c r="H684" i="10"/>
  <c r="O683" i="10"/>
  <c r="K683" i="10" s="1"/>
  <c r="N683" i="10"/>
  <c r="M683" i="10"/>
  <c r="L683" i="10"/>
  <c r="J683" i="10"/>
  <c r="I683" i="10"/>
  <c r="H683" i="10"/>
  <c r="O682" i="10"/>
  <c r="P682" i="10" s="1"/>
  <c r="N682" i="10"/>
  <c r="M682" i="10"/>
  <c r="L682" i="10"/>
  <c r="J682" i="10"/>
  <c r="I682" i="10"/>
  <c r="H682" i="10"/>
  <c r="O681" i="10"/>
  <c r="P681" i="10" s="1"/>
  <c r="N681" i="10"/>
  <c r="M681" i="10"/>
  <c r="L681" i="10"/>
  <c r="J681" i="10"/>
  <c r="I681" i="10"/>
  <c r="H681" i="10"/>
  <c r="O680" i="10"/>
  <c r="P680" i="10" s="1"/>
  <c r="N680" i="10"/>
  <c r="M680" i="10"/>
  <c r="L680" i="10"/>
  <c r="J680" i="10"/>
  <c r="I680" i="10"/>
  <c r="H680" i="10"/>
  <c r="O679" i="10"/>
  <c r="K679" i="10" s="1"/>
  <c r="N679" i="10"/>
  <c r="M679" i="10"/>
  <c r="L679" i="10"/>
  <c r="J679" i="10"/>
  <c r="I679" i="10"/>
  <c r="H679" i="10"/>
  <c r="O678" i="10"/>
  <c r="K678" i="10" s="1"/>
  <c r="N678" i="10"/>
  <c r="M678" i="10"/>
  <c r="L678" i="10"/>
  <c r="J678" i="10"/>
  <c r="I678" i="10"/>
  <c r="H678" i="10"/>
  <c r="O677" i="10"/>
  <c r="K677" i="10" s="1"/>
  <c r="N677" i="10"/>
  <c r="M677" i="10"/>
  <c r="L677" i="10"/>
  <c r="J677" i="10"/>
  <c r="I677" i="10"/>
  <c r="H677" i="10"/>
  <c r="O676" i="10"/>
  <c r="P676" i="10" s="1"/>
  <c r="N676" i="10"/>
  <c r="M676" i="10"/>
  <c r="L676" i="10"/>
  <c r="J676" i="10"/>
  <c r="I676" i="10"/>
  <c r="H676" i="10"/>
  <c r="O675" i="10"/>
  <c r="K675" i="10" s="1"/>
  <c r="N675" i="10"/>
  <c r="M675" i="10"/>
  <c r="L675" i="10"/>
  <c r="J675" i="10"/>
  <c r="I675" i="10"/>
  <c r="H675" i="10"/>
  <c r="O674" i="10"/>
  <c r="P674" i="10" s="1"/>
  <c r="N674" i="10"/>
  <c r="M674" i="10"/>
  <c r="L674" i="10"/>
  <c r="J674" i="10"/>
  <c r="I674" i="10"/>
  <c r="H674" i="10"/>
  <c r="O673" i="10"/>
  <c r="P673" i="10" s="1"/>
  <c r="N673" i="10"/>
  <c r="M673" i="10"/>
  <c r="L673" i="10"/>
  <c r="K673" i="10"/>
  <c r="J673" i="10"/>
  <c r="I673" i="10"/>
  <c r="H673" i="10"/>
  <c r="O672" i="10"/>
  <c r="N672" i="10"/>
  <c r="M672" i="10"/>
  <c r="L672" i="10"/>
  <c r="J672" i="10"/>
  <c r="I672" i="10"/>
  <c r="H672" i="10"/>
  <c r="O671" i="10"/>
  <c r="K671" i="10" s="1"/>
  <c r="N671" i="10"/>
  <c r="M671" i="10"/>
  <c r="L671" i="10"/>
  <c r="J671" i="10"/>
  <c r="I671" i="10"/>
  <c r="H671" i="10"/>
  <c r="O670" i="10"/>
  <c r="P670" i="10" s="1"/>
  <c r="N670" i="10"/>
  <c r="M670" i="10"/>
  <c r="L670" i="10"/>
  <c r="J670" i="10"/>
  <c r="I670" i="10"/>
  <c r="H670" i="10"/>
  <c r="O669" i="10"/>
  <c r="N669" i="10"/>
  <c r="M669" i="10"/>
  <c r="L669" i="10"/>
  <c r="J669" i="10"/>
  <c r="I669" i="10"/>
  <c r="H669" i="10"/>
  <c r="O668" i="10"/>
  <c r="K668" i="10" s="1"/>
  <c r="N668" i="10"/>
  <c r="M668" i="10"/>
  <c r="L668" i="10"/>
  <c r="J668" i="10"/>
  <c r="I668" i="10"/>
  <c r="H668" i="10"/>
  <c r="O667" i="10"/>
  <c r="P667" i="10" s="1"/>
  <c r="N667" i="10"/>
  <c r="M667" i="10"/>
  <c r="L667" i="10"/>
  <c r="J667" i="10"/>
  <c r="I667" i="10"/>
  <c r="H667" i="10"/>
  <c r="O666" i="10"/>
  <c r="P666" i="10" s="1"/>
  <c r="N666" i="10"/>
  <c r="M666" i="10"/>
  <c r="L666" i="10"/>
  <c r="J666" i="10"/>
  <c r="I666" i="10"/>
  <c r="H666" i="10"/>
  <c r="O665" i="10"/>
  <c r="P665" i="10" s="1"/>
  <c r="N665" i="10"/>
  <c r="M665" i="10"/>
  <c r="L665" i="10"/>
  <c r="J665" i="10"/>
  <c r="I665" i="10"/>
  <c r="H665" i="10"/>
  <c r="O664" i="10"/>
  <c r="N664" i="10"/>
  <c r="M664" i="10"/>
  <c r="L664" i="10"/>
  <c r="J664" i="10"/>
  <c r="I664" i="10"/>
  <c r="H664" i="10"/>
  <c r="O663" i="10"/>
  <c r="P663" i="10" s="1"/>
  <c r="N663" i="10"/>
  <c r="M663" i="10"/>
  <c r="L663" i="10"/>
  <c r="J663" i="10"/>
  <c r="I663" i="10"/>
  <c r="H663" i="10"/>
  <c r="O662" i="10"/>
  <c r="K662" i="10" s="1"/>
  <c r="N662" i="10"/>
  <c r="M662" i="10"/>
  <c r="L662" i="10"/>
  <c r="J662" i="10"/>
  <c r="I662" i="10"/>
  <c r="H662" i="10"/>
  <c r="O661" i="10"/>
  <c r="P661" i="10" s="1"/>
  <c r="N661" i="10"/>
  <c r="M661" i="10"/>
  <c r="L661" i="10"/>
  <c r="J661" i="10"/>
  <c r="I661" i="10"/>
  <c r="H661" i="10"/>
  <c r="O660" i="10"/>
  <c r="P660" i="10" s="1"/>
  <c r="N660" i="10"/>
  <c r="M660" i="10"/>
  <c r="L660" i="10"/>
  <c r="J660" i="10"/>
  <c r="I660" i="10"/>
  <c r="H660" i="10"/>
  <c r="O659" i="10"/>
  <c r="P659" i="10" s="1"/>
  <c r="N659" i="10"/>
  <c r="M659" i="10"/>
  <c r="L659" i="10"/>
  <c r="J659" i="10"/>
  <c r="I659" i="10"/>
  <c r="H659" i="10"/>
  <c r="O658" i="10"/>
  <c r="P658" i="10" s="1"/>
  <c r="N658" i="10"/>
  <c r="M658" i="10"/>
  <c r="L658" i="10"/>
  <c r="J658" i="10"/>
  <c r="I658" i="10"/>
  <c r="H658" i="10"/>
  <c r="O657" i="10"/>
  <c r="P657" i="10" s="1"/>
  <c r="N657" i="10"/>
  <c r="M657" i="10"/>
  <c r="L657" i="10"/>
  <c r="J657" i="10"/>
  <c r="I657" i="10"/>
  <c r="H657" i="10"/>
  <c r="O656" i="10"/>
  <c r="P656" i="10" s="1"/>
  <c r="N656" i="10"/>
  <c r="M656" i="10"/>
  <c r="L656" i="10"/>
  <c r="J656" i="10"/>
  <c r="I656" i="10"/>
  <c r="H656" i="10"/>
  <c r="O655" i="10"/>
  <c r="P655" i="10" s="1"/>
  <c r="N655" i="10"/>
  <c r="M655" i="10"/>
  <c r="L655" i="10"/>
  <c r="J655" i="10"/>
  <c r="I655" i="10"/>
  <c r="H655" i="10"/>
  <c r="O654" i="10"/>
  <c r="P654" i="10" s="1"/>
  <c r="N654" i="10"/>
  <c r="M654" i="10"/>
  <c r="L654" i="10"/>
  <c r="J654" i="10"/>
  <c r="I654" i="10"/>
  <c r="H654" i="10"/>
  <c r="O653" i="10"/>
  <c r="K653" i="10" s="1"/>
  <c r="N653" i="10"/>
  <c r="M653" i="10"/>
  <c r="L653" i="10"/>
  <c r="J653" i="10"/>
  <c r="I653" i="10"/>
  <c r="H653" i="10"/>
  <c r="O652" i="10"/>
  <c r="P652" i="10" s="1"/>
  <c r="N652" i="10"/>
  <c r="M652" i="10"/>
  <c r="L652" i="10"/>
  <c r="J652" i="10"/>
  <c r="I652" i="10"/>
  <c r="H652" i="10"/>
  <c r="O651" i="10"/>
  <c r="P651" i="10" s="1"/>
  <c r="N651" i="10"/>
  <c r="M651" i="10"/>
  <c r="L651" i="10"/>
  <c r="J651" i="10"/>
  <c r="I651" i="10"/>
  <c r="H651" i="10"/>
  <c r="O650" i="10"/>
  <c r="P650" i="10" s="1"/>
  <c r="N650" i="10"/>
  <c r="M650" i="10"/>
  <c r="L650" i="10"/>
  <c r="J650" i="10"/>
  <c r="I650" i="10"/>
  <c r="H650" i="10"/>
  <c r="O649" i="10"/>
  <c r="P649" i="10" s="1"/>
  <c r="N649" i="10"/>
  <c r="M649" i="10"/>
  <c r="L649" i="10"/>
  <c r="K649" i="10"/>
  <c r="J649" i="10"/>
  <c r="I649" i="10"/>
  <c r="H649" i="10"/>
  <c r="O648" i="10"/>
  <c r="P648" i="10" s="1"/>
  <c r="N648" i="10"/>
  <c r="M648" i="10"/>
  <c r="L648" i="10"/>
  <c r="J648" i="10"/>
  <c r="I648" i="10"/>
  <c r="H648" i="10"/>
  <c r="O647" i="10"/>
  <c r="N647" i="10"/>
  <c r="M647" i="10"/>
  <c r="L647" i="10"/>
  <c r="J647" i="10"/>
  <c r="I647" i="10"/>
  <c r="H647" i="10"/>
  <c r="O646" i="10"/>
  <c r="K646" i="10" s="1"/>
  <c r="N646" i="10"/>
  <c r="M646" i="10"/>
  <c r="L646" i="10"/>
  <c r="J646" i="10"/>
  <c r="I646" i="10"/>
  <c r="H646" i="10"/>
  <c r="O645" i="10"/>
  <c r="K645" i="10" s="1"/>
  <c r="N645" i="10"/>
  <c r="M645" i="10"/>
  <c r="L645" i="10"/>
  <c r="J645" i="10"/>
  <c r="I645" i="10"/>
  <c r="H645" i="10"/>
  <c r="O644" i="10"/>
  <c r="P644" i="10" s="1"/>
  <c r="N644" i="10"/>
  <c r="M644" i="10"/>
  <c r="L644" i="10"/>
  <c r="J644" i="10"/>
  <c r="I644" i="10"/>
  <c r="H644" i="10"/>
  <c r="O643" i="10"/>
  <c r="P643" i="10" s="1"/>
  <c r="N643" i="10"/>
  <c r="M643" i="10"/>
  <c r="L643" i="10"/>
  <c r="J643" i="10"/>
  <c r="I643" i="10"/>
  <c r="H643" i="10"/>
  <c r="O642" i="10"/>
  <c r="P642" i="10" s="1"/>
  <c r="N642" i="10"/>
  <c r="M642" i="10"/>
  <c r="L642" i="10"/>
  <c r="J642" i="10"/>
  <c r="I642" i="10"/>
  <c r="H642" i="10"/>
  <c r="O641" i="10"/>
  <c r="P641" i="10" s="1"/>
  <c r="N641" i="10"/>
  <c r="M641" i="10"/>
  <c r="L641" i="10"/>
  <c r="J641" i="10"/>
  <c r="I641" i="10"/>
  <c r="H641" i="10"/>
  <c r="O640" i="10"/>
  <c r="K640" i="10" s="1"/>
  <c r="N640" i="10"/>
  <c r="M640" i="10"/>
  <c r="L640" i="10"/>
  <c r="J640" i="10"/>
  <c r="I640" i="10"/>
  <c r="H640" i="10"/>
  <c r="O639" i="10"/>
  <c r="P639" i="10" s="1"/>
  <c r="N639" i="10"/>
  <c r="M639" i="10"/>
  <c r="L639" i="10"/>
  <c r="J639" i="10"/>
  <c r="I639" i="10"/>
  <c r="H639" i="10"/>
  <c r="O638" i="10"/>
  <c r="P638" i="10" s="1"/>
  <c r="N638" i="10"/>
  <c r="M638" i="10"/>
  <c r="L638" i="10"/>
  <c r="J638" i="10"/>
  <c r="I638" i="10"/>
  <c r="H638" i="10"/>
  <c r="O637" i="10"/>
  <c r="P637" i="10" s="1"/>
  <c r="N637" i="10"/>
  <c r="M637" i="10"/>
  <c r="L637" i="10"/>
  <c r="J637" i="10"/>
  <c r="I637" i="10"/>
  <c r="H637" i="10"/>
  <c r="O636" i="10"/>
  <c r="P636" i="10" s="1"/>
  <c r="N636" i="10"/>
  <c r="M636" i="10"/>
  <c r="L636" i="10"/>
  <c r="J636" i="10"/>
  <c r="I636" i="10"/>
  <c r="H636" i="10"/>
  <c r="O635" i="10"/>
  <c r="P635" i="10" s="1"/>
  <c r="N635" i="10"/>
  <c r="M635" i="10"/>
  <c r="L635" i="10"/>
  <c r="J635" i="10"/>
  <c r="I635" i="10"/>
  <c r="H635" i="10"/>
  <c r="O634" i="10"/>
  <c r="P634" i="10" s="1"/>
  <c r="N634" i="10"/>
  <c r="M634" i="10"/>
  <c r="L634" i="10"/>
  <c r="J634" i="10"/>
  <c r="I634" i="10"/>
  <c r="H634" i="10"/>
  <c r="O633" i="10"/>
  <c r="P633" i="10" s="1"/>
  <c r="N633" i="10"/>
  <c r="M633" i="10"/>
  <c r="L633" i="10"/>
  <c r="J633" i="10"/>
  <c r="I633" i="10"/>
  <c r="H633" i="10"/>
  <c r="O632" i="10"/>
  <c r="K632" i="10" s="1"/>
  <c r="N632" i="10"/>
  <c r="M632" i="10"/>
  <c r="L632" i="10"/>
  <c r="J632" i="10"/>
  <c r="I632" i="10"/>
  <c r="H632" i="10"/>
  <c r="O631" i="10"/>
  <c r="N631" i="10"/>
  <c r="M631" i="10"/>
  <c r="L631" i="10"/>
  <c r="J631" i="10"/>
  <c r="I631" i="10"/>
  <c r="H631" i="10"/>
  <c r="O630" i="10"/>
  <c r="K630" i="10" s="1"/>
  <c r="N630" i="10"/>
  <c r="M630" i="10"/>
  <c r="L630" i="10"/>
  <c r="J630" i="10"/>
  <c r="I630" i="10"/>
  <c r="H630" i="10"/>
  <c r="O629" i="10"/>
  <c r="K629" i="10" s="1"/>
  <c r="N629" i="10"/>
  <c r="M629" i="10"/>
  <c r="L629" i="10"/>
  <c r="J629" i="10"/>
  <c r="I629" i="10"/>
  <c r="H629" i="10"/>
  <c r="O628" i="10"/>
  <c r="P628" i="10" s="1"/>
  <c r="N628" i="10"/>
  <c r="M628" i="10"/>
  <c r="L628" i="10"/>
  <c r="J628" i="10"/>
  <c r="I628" i="10"/>
  <c r="H628" i="10"/>
  <c r="O627" i="10"/>
  <c r="K627" i="10" s="1"/>
  <c r="N627" i="10"/>
  <c r="M627" i="10"/>
  <c r="L627" i="10"/>
  <c r="J627" i="10"/>
  <c r="I627" i="10"/>
  <c r="H627" i="10"/>
  <c r="O626" i="10"/>
  <c r="K626" i="10" s="1"/>
  <c r="N626" i="10"/>
  <c r="M626" i="10"/>
  <c r="L626" i="10"/>
  <c r="J626" i="10"/>
  <c r="I626" i="10"/>
  <c r="H626" i="10"/>
  <c r="O625" i="10"/>
  <c r="N625" i="10"/>
  <c r="M625" i="10"/>
  <c r="L625" i="10"/>
  <c r="J625" i="10"/>
  <c r="I625" i="10"/>
  <c r="H625" i="10"/>
  <c r="O624" i="10"/>
  <c r="P624" i="10" s="1"/>
  <c r="N624" i="10"/>
  <c r="M624" i="10"/>
  <c r="L624" i="10"/>
  <c r="J624" i="10"/>
  <c r="I624" i="10"/>
  <c r="H624" i="10"/>
  <c r="O623" i="10"/>
  <c r="P623" i="10" s="1"/>
  <c r="N623" i="10"/>
  <c r="M623" i="10"/>
  <c r="L623" i="10"/>
  <c r="J623" i="10"/>
  <c r="I623" i="10"/>
  <c r="H623" i="10"/>
  <c r="O622" i="10"/>
  <c r="P622" i="10" s="1"/>
  <c r="N622" i="10"/>
  <c r="M622" i="10"/>
  <c r="L622" i="10"/>
  <c r="J622" i="10"/>
  <c r="I622" i="10"/>
  <c r="H622" i="10"/>
  <c r="O621" i="10"/>
  <c r="P621" i="10" s="1"/>
  <c r="N621" i="10"/>
  <c r="M621" i="10"/>
  <c r="L621" i="10"/>
  <c r="J621" i="10"/>
  <c r="I621" i="10"/>
  <c r="H621" i="10"/>
  <c r="O620" i="10"/>
  <c r="K620" i="10" s="1"/>
  <c r="N620" i="10"/>
  <c r="M620" i="10"/>
  <c r="L620" i="10"/>
  <c r="J620" i="10"/>
  <c r="I620" i="10"/>
  <c r="H620" i="10"/>
  <c r="O619" i="10"/>
  <c r="P619" i="10" s="1"/>
  <c r="N619" i="10"/>
  <c r="M619" i="10"/>
  <c r="L619" i="10"/>
  <c r="J619" i="10"/>
  <c r="I619" i="10"/>
  <c r="H619" i="10"/>
  <c r="O618" i="10"/>
  <c r="P618" i="10" s="1"/>
  <c r="N618" i="10"/>
  <c r="M618" i="10"/>
  <c r="L618" i="10"/>
  <c r="J618" i="10"/>
  <c r="I618" i="10"/>
  <c r="H618" i="10"/>
  <c r="O617" i="10"/>
  <c r="P617" i="10" s="1"/>
  <c r="N617" i="10"/>
  <c r="M617" i="10"/>
  <c r="L617" i="10"/>
  <c r="J617" i="10"/>
  <c r="I617" i="10"/>
  <c r="H617" i="10"/>
  <c r="O616" i="10"/>
  <c r="P616" i="10" s="1"/>
  <c r="N616" i="10"/>
  <c r="M616" i="10"/>
  <c r="L616" i="10"/>
  <c r="J616" i="10"/>
  <c r="I616" i="10"/>
  <c r="H616" i="10"/>
  <c r="O615" i="10"/>
  <c r="P615" i="10" s="1"/>
  <c r="N615" i="10"/>
  <c r="M615" i="10"/>
  <c r="L615" i="10"/>
  <c r="J615" i="10"/>
  <c r="I615" i="10"/>
  <c r="H615" i="10"/>
  <c r="O614" i="10"/>
  <c r="K614" i="10" s="1"/>
  <c r="N614" i="10"/>
  <c r="M614" i="10"/>
  <c r="L614" i="10"/>
  <c r="J614" i="10"/>
  <c r="I614" i="10"/>
  <c r="H614" i="10"/>
  <c r="O613" i="10"/>
  <c r="K613" i="10" s="1"/>
  <c r="N613" i="10"/>
  <c r="M613" i="10"/>
  <c r="L613" i="10"/>
  <c r="J613" i="10"/>
  <c r="I613" i="10"/>
  <c r="H613" i="10"/>
  <c r="O612" i="10"/>
  <c r="P612" i="10" s="1"/>
  <c r="N612" i="10"/>
  <c r="M612" i="10"/>
  <c r="L612" i="10"/>
  <c r="J612" i="10"/>
  <c r="I612" i="10"/>
  <c r="H612" i="10"/>
  <c r="O611" i="10"/>
  <c r="P611" i="10" s="1"/>
  <c r="N611" i="10"/>
  <c r="M611" i="10"/>
  <c r="L611" i="10"/>
  <c r="J611" i="10"/>
  <c r="I611" i="10"/>
  <c r="H611" i="10"/>
  <c r="O610" i="10"/>
  <c r="K610" i="10" s="1"/>
  <c r="N610" i="10"/>
  <c r="M610" i="10"/>
  <c r="L610" i="10"/>
  <c r="J610" i="10"/>
  <c r="I610" i="10"/>
  <c r="H610" i="10"/>
  <c r="O609" i="10"/>
  <c r="P609" i="10" s="1"/>
  <c r="N609" i="10"/>
  <c r="M609" i="10"/>
  <c r="L609" i="10"/>
  <c r="J609" i="10"/>
  <c r="I609" i="10"/>
  <c r="H609" i="10"/>
  <c r="O608" i="10"/>
  <c r="P608" i="10" s="1"/>
  <c r="N608" i="10"/>
  <c r="M608" i="10"/>
  <c r="L608" i="10"/>
  <c r="J608" i="10"/>
  <c r="I608" i="10"/>
  <c r="H608" i="10"/>
  <c r="O607" i="10"/>
  <c r="P607" i="10" s="1"/>
  <c r="N607" i="10"/>
  <c r="M607" i="10"/>
  <c r="L607" i="10"/>
  <c r="J607" i="10"/>
  <c r="I607" i="10"/>
  <c r="H607" i="10"/>
  <c r="O606" i="10"/>
  <c r="P606" i="10" s="1"/>
  <c r="N606" i="10"/>
  <c r="M606" i="10"/>
  <c r="L606" i="10"/>
  <c r="K606" i="10"/>
  <c r="J606" i="10"/>
  <c r="I606" i="10"/>
  <c r="H606" i="10"/>
  <c r="O605" i="10"/>
  <c r="P605" i="10" s="1"/>
  <c r="N605" i="10"/>
  <c r="M605" i="10"/>
  <c r="L605" i="10"/>
  <c r="K605" i="10"/>
  <c r="J605" i="10"/>
  <c r="I605" i="10"/>
  <c r="H605" i="10"/>
  <c r="O604" i="10"/>
  <c r="P604" i="10" s="1"/>
  <c r="N604" i="10"/>
  <c r="M604" i="10"/>
  <c r="L604" i="10"/>
  <c r="J604" i="10"/>
  <c r="I604" i="10"/>
  <c r="H604" i="10"/>
  <c r="O603" i="10"/>
  <c r="P603" i="10" s="1"/>
  <c r="N603" i="10"/>
  <c r="M603" i="10"/>
  <c r="L603" i="10"/>
  <c r="J603" i="10"/>
  <c r="I603" i="10"/>
  <c r="H603" i="10"/>
  <c r="O602" i="10"/>
  <c r="P602" i="10" s="1"/>
  <c r="N602" i="10"/>
  <c r="M602" i="10"/>
  <c r="L602" i="10"/>
  <c r="J602" i="10"/>
  <c r="I602" i="10"/>
  <c r="H602" i="10"/>
  <c r="O601" i="10"/>
  <c r="P601" i="10" s="1"/>
  <c r="N601" i="10"/>
  <c r="M601" i="10"/>
  <c r="L601" i="10"/>
  <c r="J601" i="10"/>
  <c r="I601" i="10"/>
  <c r="H601" i="10"/>
  <c r="O600" i="10"/>
  <c r="K600" i="10" s="1"/>
  <c r="N600" i="10"/>
  <c r="M600" i="10"/>
  <c r="L600" i="10"/>
  <c r="J600" i="10"/>
  <c r="I600" i="10"/>
  <c r="H600" i="10"/>
  <c r="O599" i="10"/>
  <c r="P599" i="10" s="1"/>
  <c r="N599" i="10"/>
  <c r="M599" i="10"/>
  <c r="L599" i="10"/>
  <c r="J599" i="10"/>
  <c r="I599" i="10"/>
  <c r="H599" i="10"/>
  <c r="O598" i="10"/>
  <c r="K598" i="10" s="1"/>
  <c r="N598" i="10"/>
  <c r="M598" i="10"/>
  <c r="L598" i="10"/>
  <c r="J598" i="10"/>
  <c r="I598" i="10"/>
  <c r="H598" i="10"/>
  <c r="O597" i="10"/>
  <c r="P597" i="10" s="1"/>
  <c r="N597" i="10"/>
  <c r="M597" i="10"/>
  <c r="L597" i="10"/>
  <c r="J597" i="10"/>
  <c r="I597" i="10"/>
  <c r="H597" i="10"/>
  <c r="O596" i="10"/>
  <c r="P596" i="10" s="1"/>
  <c r="N596" i="10"/>
  <c r="M596" i="10"/>
  <c r="L596" i="10"/>
  <c r="J596" i="10"/>
  <c r="I596" i="10"/>
  <c r="H596" i="10"/>
  <c r="O595" i="10"/>
  <c r="K595" i="10" s="1"/>
  <c r="N595" i="10"/>
  <c r="M595" i="10"/>
  <c r="L595" i="10"/>
  <c r="J595" i="10"/>
  <c r="I595" i="10"/>
  <c r="H595" i="10"/>
  <c r="O594" i="10"/>
  <c r="K594" i="10" s="1"/>
  <c r="N594" i="10"/>
  <c r="M594" i="10"/>
  <c r="L594" i="10"/>
  <c r="J594" i="10"/>
  <c r="I594" i="10"/>
  <c r="H594" i="10"/>
  <c r="O593" i="10"/>
  <c r="P593" i="10" s="1"/>
  <c r="N593" i="10"/>
  <c r="M593" i="10"/>
  <c r="L593" i="10"/>
  <c r="J593" i="10"/>
  <c r="I593" i="10"/>
  <c r="H593" i="10"/>
  <c r="O592" i="10"/>
  <c r="K592" i="10" s="1"/>
  <c r="N592" i="10"/>
  <c r="M592" i="10"/>
  <c r="L592" i="10"/>
  <c r="J592" i="10"/>
  <c r="I592" i="10"/>
  <c r="H592" i="10"/>
  <c r="O591" i="10"/>
  <c r="P591" i="10" s="1"/>
  <c r="N591" i="10"/>
  <c r="M591" i="10"/>
  <c r="L591" i="10"/>
  <c r="J591" i="10"/>
  <c r="I591" i="10"/>
  <c r="H591" i="10"/>
  <c r="O590" i="10"/>
  <c r="P590" i="10" s="1"/>
  <c r="N590" i="10"/>
  <c r="M590" i="10"/>
  <c r="L590" i="10"/>
  <c r="J590" i="10"/>
  <c r="I590" i="10"/>
  <c r="H590" i="10"/>
  <c r="O589" i="10"/>
  <c r="P589" i="10" s="1"/>
  <c r="N589" i="10"/>
  <c r="M589" i="10"/>
  <c r="L589" i="10"/>
  <c r="J589" i="10"/>
  <c r="I589" i="10"/>
  <c r="H589" i="10"/>
  <c r="O588" i="10"/>
  <c r="N588" i="10"/>
  <c r="M588" i="10"/>
  <c r="L588" i="10"/>
  <c r="J588" i="10"/>
  <c r="I588" i="10"/>
  <c r="H588" i="10"/>
  <c r="O587" i="10"/>
  <c r="K587" i="10" s="1"/>
  <c r="N587" i="10"/>
  <c r="M587" i="10"/>
  <c r="L587" i="10"/>
  <c r="J587" i="10"/>
  <c r="I587" i="10"/>
  <c r="H587" i="10"/>
  <c r="O586" i="10"/>
  <c r="P586" i="10" s="1"/>
  <c r="N586" i="10"/>
  <c r="M586" i="10"/>
  <c r="L586" i="10"/>
  <c r="K586" i="10"/>
  <c r="J586" i="10"/>
  <c r="I586" i="10"/>
  <c r="H586" i="10"/>
  <c r="O585" i="10"/>
  <c r="P585" i="10" s="1"/>
  <c r="N585" i="10"/>
  <c r="M585" i="10"/>
  <c r="L585" i="10"/>
  <c r="J585" i="10"/>
  <c r="I585" i="10"/>
  <c r="H585" i="10"/>
  <c r="O584" i="10"/>
  <c r="P584" i="10" s="1"/>
  <c r="N584" i="10"/>
  <c r="M584" i="10"/>
  <c r="L584" i="10"/>
  <c r="J584" i="10"/>
  <c r="I584" i="10"/>
  <c r="H584" i="10"/>
  <c r="O583" i="10"/>
  <c r="K583" i="10" s="1"/>
  <c r="N583" i="10"/>
  <c r="M583" i="10"/>
  <c r="L583" i="10"/>
  <c r="J583" i="10"/>
  <c r="I583" i="10"/>
  <c r="H583" i="10"/>
  <c r="O582" i="10"/>
  <c r="K582" i="10" s="1"/>
  <c r="N582" i="10"/>
  <c r="M582" i="10"/>
  <c r="L582" i="10"/>
  <c r="J582" i="10"/>
  <c r="I582" i="10"/>
  <c r="H582" i="10"/>
  <c r="O581" i="10"/>
  <c r="K581" i="10" s="1"/>
  <c r="N581" i="10"/>
  <c r="M581" i="10"/>
  <c r="L581" i="10"/>
  <c r="J581" i="10"/>
  <c r="I581" i="10"/>
  <c r="H581" i="10"/>
  <c r="O580" i="10"/>
  <c r="P580" i="10" s="1"/>
  <c r="N580" i="10"/>
  <c r="M580" i="10"/>
  <c r="L580" i="10"/>
  <c r="J580" i="10"/>
  <c r="I580" i="10"/>
  <c r="H580" i="10"/>
  <c r="O579" i="10"/>
  <c r="K579" i="10" s="1"/>
  <c r="N579" i="10"/>
  <c r="M579" i="10"/>
  <c r="L579" i="10"/>
  <c r="J579" i="10"/>
  <c r="I579" i="10"/>
  <c r="H579" i="10"/>
  <c r="O578" i="10"/>
  <c r="P578" i="10" s="1"/>
  <c r="N578" i="10"/>
  <c r="M578" i="10"/>
  <c r="L578" i="10"/>
  <c r="J578" i="10"/>
  <c r="I578" i="10"/>
  <c r="H578" i="10"/>
  <c r="O577" i="10"/>
  <c r="K577" i="10" s="1"/>
  <c r="N577" i="10"/>
  <c r="M577" i="10"/>
  <c r="L577" i="10"/>
  <c r="J577" i="10"/>
  <c r="I577" i="10"/>
  <c r="H577" i="10"/>
  <c r="O576" i="10"/>
  <c r="K576" i="10" s="1"/>
  <c r="N576" i="10"/>
  <c r="M576" i="10"/>
  <c r="L576" i="10"/>
  <c r="J576" i="10"/>
  <c r="I576" i="10"/>
  <c r="H576" i="10"/>
  <c r="O575" i="10"/>
  <c r="K575" i="10" s="1"/>
  <c r="N575" i="10"/>
  <c r="M575" i="10"/>
  <c r="L575" i="10"/>
  <c r="J575" i="10"/>
  <c r="I575" i="10"/>
  <c r="H575" i="10"/>
  <c r="O574" i="10"/>
  <c r="K574" i="10" s="1"/>
  <c r="N574" i="10"/>
  <c r="M574" i="10"/>
  <c r="L574" i="10"/>
  <c r="J574" i="10"/>
  <c r="I574" i="10"/>
  <c r="H574" i="10"/>
  <c r="O573" i="10"/>
  <c r="P573" i="10" s="1"/>
  <c r="N573" i="10"/>
  <c r="M573" i="10"/>
  <c r="L573" i="10"/>
  <c r="J573" i="10"/>
  <c r="I573" i="10"/>
  <c r="H573" i="10"/>
  <c r="O572" i="10"/>
  <c r="P572" i="10" s="1"/>
  <c r="N572" i="10"/>
  <c r="M572" i="10"/>
  <c r="L572" i="10"/>
  <c r="K572" i="10"/>
  <c r="J572" i="10"/>
  <c r="I572" i="10"/>
  <c r="H572" i="10"/>
  <c r="O571" i="10"/>
  <c r="P571" i="10" s="1"/>
  <c r="N571" i="10"/>
  <c r="M571" i="10"/>
  <c r="L571" i="10"/>
  <c r="J571" i="10"/>
  <c r="I571" i="10"/>
  <c r="H571" i="10"/>
  <c r="O570" i="10"/>
  <c r="P570" i="10" s="1"/>
  <c r="N570" i="10"/>
  <c r="M570" i="10"/>
  <c r="L570" i="10"/>
  <c r="J570" i="10"/>
  <c r="I570" i="10"/>
  <c r="H570" i="10"/>
  <c r="O569" i="10"/>
  <c r="P569" i="10" s="1"/>
  <c r="N569" i="10"/>
  <c r="M569" i="10"/>
  <c r="L569" i="10"/>
  <c r="J569" i="10"/>
  <c r="I569" i="10"/>
  <c r="H569" i="10"/>
  <c r="O568" i="10"/>
  <c r="K568" i="10" s="1"/>
  <c r="N568" i="10"/>
  <c r="M568" i="10"/>
  <c r="L568" i="10"/>
  <c r="J568" i="10"/>
  <c r="I568" i="10"/>
  <c r="H568" i="10"/>
  <c r="O567" i="10"/>
  <c r="P567" i="10" s="1"/>
  <c r="N567" i="10"/>
  <c r="M567" i="10"/>
  <c r="L567" i="10"/>
  <c r="J567" i="10"/>
  <c r="I567" i="10"/>
  <c r="H567" i="10"/>
  <c r="O566" i="10"/>
  <c r="K566" i="10" s="1"/>
  <c r="N566" i="10"/>
  <c r="M566" i="10"/>
  <c r="L566" i="10"/>
  <c r="J566" i="10"/>
  <c r="I566" i="10"/>
  <c r="H566" i="10"/>
  <c r="O565" i="10"/>
  <c r="K565" i="10" s="1"/>
  <c r="N565" i="10"/>
  <c r="M565" i="10"/>
  <c r="L565" i="10"/>
  <c r="J565" i="10"/>
  <c r="I565" i="10"/>
  <c r="H565" i="10"/>
  <c r="O564" i="10"/>
  <c r="K564" i="10" s="1"/>
  <c r="N564" i="10"/>
  <c r="M564" i="10"/>
  <c r="L564" i="10"/>
  <c r="J564" i="10"/>
  <c r="I564" i="10"/>
  <c r="H564" i="10"/>
  <c r="O563" i="10"/>
  <c r="P563" i="10" s="1"/>
  <c r="N563" i="10"/>
  <c r="M563" i="10"/>
  <c r="L563" i="10"/>
  <c r="J563" i="10"/>
  <c r="I563" i="10"/>
  <c r="H563" i="10"/>
  <c r="O562" i="10"/>
  <c r="K562" i="10" s="1"/>
  <c r="N562" i="10"/>
  <c r="M562" i="10"/>
  <c r="L562" i="10"/>
  <c r="J562" i="10"/>
  <c r="I562" i="10"/>
  <c r="H562" i="10"/>
  <c r="O561" i="10"/>
  <c r="P561" i="10" s="1"/>
  <c r="N561" i="10"/>
  <c r="M561" i="10"/>
  <c r="L561" i="10"/>
  <c r="J561" i="10"/>
  <c r="I561" i="10"/>
  <c r="H561" i="10"/>
  <c r="O560" i="10"/>
  <c r="P560" i="10" s="1"/>
  <c r="N560" i="10"/>
  <c r="M560" i="10"/>
  <c r="L560" i="10"/>
  <c r="J560" i="10"/>
  <c r="I560" i="10"/>
  <c r="H560" i="10"/>
  <c r="O559" i="10"/>
  <c r="P559" i="10" s="1"/>
  <c r="N559" i="10"/>
  <c r="M559" i="10"/>
  <c r="L559" i="10"/>
  <c r="J559" i="10"/>
  <c r="I559" i="10"/>
  <c r="H559" i="10"/>
  <c r="O558" i="10"/>
  <c r="N558" i="10"/>
  <c r="M558" i="10"/>
  <c r="L558" i="10"/>
  <c r="J558" i="10"/>
  <c r="I558" i="10"/>
  <c r="H558" i="10"/>
  <c r="O557" i="10"/>
  <c r="P557" i="10" s="1"/>
  <c r="N557" i="10"/>
  <c r="M557" i="10"/>
  <c r="L557" i="10"/>
  <c r="J557" i="10"/>
  <c r="I557" i="10"/>
  <c r="H557" i="10"/>
  <c r="O556" i="10"/>
  <c r="K556" i="10" s="1"/>
  <c r="N556" i="10"/>
  <c r="M556" i="10"/>
  <c r="L556" i="10"/>
  <c r="J556" i="10"/>
  <c r="I556" i="10"/>
  <c r="H556" i="10"/>
  <c r="O555" i="10"/>
  <c r="P555" i="10" s="1"/>
  <c r="N555" i="10"/>
  <c r="M555" i="10"/>
  <c r="L555" i="10"/>
  <c r="J555" i="10"/>
  <c r="I555" i="10"/>
  <c r="H555" i="10"/>
  <c r="O554" i="10"/>
  <c r="P554" i="10" s="1"/>
  <c r="N554" i="10"/>
  <c r="M554" i="10"/>
  <c r="L554" i="10"/>
  <c r="K554" i="10"/>
  <c r="J554" i="10"/>
  <c r="I554" i="10"/>
  <c r="H554" i="10"/>
  <c r="O553" i="10"/>
  <c r="P553" i="10" s="1"/>
  <c r="N553" i="10"/>
  <c r="M553" i="10"/>
  <c r="L553" i="10"/>
  <c r="J553" i="10"/>
  <c r="I553" i="10"/>
  <c r="H553" i="10"/>
  <c r="O552" i="10"/>
  <c r="P552" i="10" s="1"/>
  <c r="N552" i="10"/>
  <c r="M552" i="10"/>
  <c r="L552" i="10"/>
  <c r="J552" i="10"/>
  <c r="I552" i="10"/>
  <c r="H552" i="10"/>
  <c r="O551" i="10"/>
  <c r="P551" i="10" s="1"/>
  <c r="N551" i="10"/>
  <c r="M551" i="10"/>
  <c r="L551" i="10"/>
  <c r="J551" i="10"/>
  <c r="I551" i="10"/>
  <c r="H551" i="10"/>
  <c r="O550" i="10"/>
  <c r="K550" i="10" s="1"/>
  <c r="N550" i="10"/>
  <c r="M550" i="10"/>
  <c r="L550" i="10"/>
  <c r="J550" i="10"/>
  <c r="I550" i="10"/>
  <c r="H550" i="10"/>
  <c r="O549" i="10"/>
  <c r="K549" i="10" s="1"/>
  <c r="N549" i="10"/>
  <c r="M549" i="10"/>
  <c r="L549" i="10"/>
  <c r="J549" i="10"/>
  <c r="I549" i="10"/>
  <c r="H549" i="10"/>
  <c r="O548" i="10"/>
  <c r="K548" i="10" s="1"/>
  <c r="N548" i="10"/>
  <c r="M548" i="10"/>
  <c r="L548" i="10"/>
  <c r="J548" i="10"/>
  <c r="I548" i="10"/>
  <c r="H548" i="10"/>
  <c r="O547" i="10"/>
  <c r="P547" i="10" s="1"/>
  <c r="N547" i="10"/>
  <c r="M547" i="10"/>
  <c r="L547" i="10"/>
  <c r="J547" i="10"/>
  <c r="I547" i="10"/>
  <c r="H547" i="10"/>
  <c r="O546" i="10"/>
  <c r="P546" i="10" s="1"/>
  <c r="N546" i="10"/>
  <c r="M546" i="10"/>
  <c r="L546" i="10"/>
  <c r="J546" i="10"/>
  <c r="I546" i="10"/>
  <c r="H546" i="10"/>
  <c r="O545" i="10"/>
  <c r="K545" i="10" s="1"/>
  <c r="N545" i="10"/>
  <c r="M545" i="10"/>
  <c r="L545" i="10"/>
  <c r="J545" i="10"/>
  <c r="I545" i="10"/>
  <c r="H545" i="10"/>
  <c r="O544" i="10"/>
  <c r="N544" i="10"/>
  <c r="M544" i="10"/>
  <c r="L544" i="10"/>
  <c r="J544" i="10"/>
  <c r="I544" i="10"/>
  <c r="H544" i="10"/>
  <c r="O543" i="10"/>
  <c r="K543" i="10" s="1"/>
  <c r="N543" i="10"/>
  <c r="M543" i="10"/>
  <c r="L543" i="10"/>
  <c r="J543" i="10"/>
  <c r="I543" i="10"/>
  <c r="H543" i="10"/>
  <c r="O542" i="10"/>
  <c r="P542" i="10" s="1"/>
  <c r="N542" i="10"/>
  <c r="M542" i="10"/>
  <c r="L542" i="10"/>
  <c r="J542" i="10"/>
  <c r="I542" i="10"/>
  <c r="H542" i="10"/>
  <c r="O541" i="10"/>
  <c r="N541" i="10"/>
  <c r="M541" i="10"/>
  <c r="L541" i="10"/>
  <c r="J541" i="10"/>
  <c r="I541" i="10"/>
  <c r="H541" i="10"/>
  <c r="O540" i="10"/>
  <c r="P540" i="10" s="1"/>
  <c r="N540" i="10"/>
  <c r="M540" i="10"/>
  <c r="L540" i="10"/>
  <c r="J540" i="10"/>
  <c r="I540" i="10"/>
  <c r="H540" i="10"/>
  <c r="O539" i="10"/>
  <c r="P539" i="10" s="1"/>
  <c r="N539" i="10"/>
  <c r="M539" i="10"/>
  <c r="L539" i="10"/>
  <c r="J539" i="10"/>
  <c r="I539" i="10"/>
  <c r="H539" i="10"/>
  <c r="O538" i="10"/>
  <c r="P538" i="10" s="1"/>
  <c r="N538" i="10"/>
  <c r="M538" i="10"/>
  <c r="L538" i="10"/>
  <c r="J538" i="10"/>
  <c r="I538" i="10"/>
  <c r="H538" i="10"/>
  <c r="O537" i="10"/>
  <c r="P537" i="10" s="1"/>
  <c r="N537" i="10"/>
  <c r="M537" i="10"/>
  <c r="L537" i="10"/>
  <c r="J537" i="10"/>
  <c r="I537" i="10"/>
  <c r="H537" i="10"/>
  <c r="O536" i="10"/>
  <c r="N536" i="10"/>
  <c r="M536" i="10"/>
  <c r="L536" i="10"/>
  <c r="J536" i="10"/>
  <c r="I536" i="10"/>
  <c r="H536" i="10"/>
  <c r="O535" i="10"/>
  <c r="P535" i="10" s="1"/>
  <c r="N535" i="10"/>
  <c r="M535" i="10"/>
  <c r="L535" i="10"/>
  <c r="J535" i="10"/>
  <c r="I535" i="10"/>
  <c r="H535" i="10"/>
  <c r="O534" i="10"/>
  <c r="K534" i="10" s="1"/>
  <c r="N534" i="10"/>
  <c r="M534" i="10"/>
  <c r="L534" i="10"/>
  <c r="J534" i="10"/>
  <c r="I534" i="10"/>
  <c r="H534" i="10"/>
  <c r="O533" i="10"/>
  <c r="P533" i="10" s="1"/>
  <c r="N533" i="10"/>
  <c r="M533" i="10"/>
  <c r="L533" i="10"/>
  <c r="J533" i="10"/>
  <c r="I533" i="10"/>
  <c r="H533" i="10"/>
  <c r="O532" i="10"/>
  <c r="P532" i="10" s="1"/>
  <c r="N532" i="10"/>
  <c r="M532" i="10"/>
  <c r="L532" i="10"/>
  <c r="J532" i="10"/>
  <c r="I532" i="10"/>
  <c r="H532" i="10"/>
  <c r="O531" i="10"/>
  <c r="P531" i="10" s="1"/>
  <c r="N531" i="10"/>
  <c r="M531" i="10"/>
  <c r="L531" i="10"/>
  <c r="J531" i="10"/>
  <c r="I531" i="10"/>
  <c r="H531" i="10"/>
  <c r="P530" i="10"/>
  <c r="O530" i="10"/>
  <c r="K530" i="10" s="1"/>
  <c r="N530" i="10"/>
  <c r="M530" i="10"/>
  <c r="L530" i="10"/>
  <c r="J530" i="10"/>
  <c r="I530" i="10"/>
  <c r="H530" i="10"/>
  <c r="O529" i="10"/>
  <c r="K529" i="10" s="1"/>
  <c r="N529" i="10"/>
  <c r="M529" i="10"/>
  <c r="L529" i="10"/>
  <c r="J529" i="10"/>
  <c r="I529" i="10"/>
  <c r="H529" i="10"/>
  <c r="O528" i="10"/>
  <c r="P528" i="10" s="1"/>
  <c r="N528" i="10"/>
  <c r="M528" i="10"/>
  <c r="L528" i="10"/>
  <c r="J528" i="10"/>
  <c r="I528" i="10"/>
  <c r="H528" i="10"/>
  <c r="O527" i="10"/>
  <c r="P527" i="10" s="1"/>
  <c r="N527" i="10"/>
  <c r="M527" i="10"/>
  <c r="L527" i="10"/>
  <c r="J527" i="10"/>
  <c r="I527" i="10"/>
  <c r="H527" i="10"/>
  <c r="O526" i="10"/>
  <c r="K526" i="10" s="1"/>
  <c r="N526" i="10"/>
  <c r="M526" i="10"/>
  <c r="L526" i="10"/>
  <c r="J526" i="10"/>
  <c r="I526" i="10"/>
  <c r="H526" i="10"/>
  <c r="O525" i="10"/>
  <c r="K525" i="10" s="1"/>
  <c r="N525" i="10"/>
  <c r="M525" i="10"/>
  <c r="L525" i="10"/>
  <c r="J525" i="10"/>
  <c r="I525" i="10"/>
  <c r="H525" i="10"/>
  <c r="O524" i="10"/>
  <c r="P524" i="10" s="1"/>
  <c r="N524" i="10"/>
  <c r="M524" i="10"/>
  <c r="L524" i="10"/>
  <c r="J524" i="10"/>
  <c r="I524" i="10"/>
  <c r="H524" i="10"/>
  <c r="O523" i="10"/>
  <c r="P523" i="10" s="1"/>
  <c r="N523" i="10"/>
  <c r="M523" i="10"/>
  <c r="L523" i="10"/>
  <c r="J523" i="10"/>
  <c r="I523" i="10"/>
  <c r="H523" i="10"/>
  <c r="O522" i="10"/>
  <c r="P522" i="10" s="1"/>
  <c r="N522" i="10"/>
  <c r="M522" i="10"/>
  <c r="L522" i="10"/>
  <c r="J522" i="10"/>
  <c r="I522" i="10"/>
  <c r="H522" i="10"/>
  <c r="O521" i="10"/>
  <c r="P521" i="10" s="1"/>
  <c r="N521" i="10"/>
  <c r="M521" i="10"/>
  <c r="L521" i="10"/>
  <c r="J521" i="10"/>
  <c r="I521" i="10"/>
  <c r="H521" i="10"/>
  <c r="O520" i="10"/>
  <c r="P520" i="10" s="1"/>
  <c r="N520" i="10"/>
  <c r="M520" i="10"/>
  <c r="L520" i="10"/>
  <c r="J520" i="10"/>
  <c r="I520" i="10"/>
  <c r="H520" i="10"/>
  <c r="O519" i="10"/>
  <c r="N519" i="10"/>
  <c r="M519" i="10"/>
  <c r="L519" i="10"/>
  <c r="J519" i="10"/>
  <c r="I519" i="10"/>
  <c r="H519" i="10"/>
  <c r="O518" i="10"/>
  <c r="K518" i="10" s="1"/>
  <c r="N518" i="10"/>
  <c r="M518" i="10"/>
  <c r="L518" i="10"/>
  <c r="J518" i="10"/>
  <c r="I518" i="10"/>
  <c r="H518" i="10"/>
  <c r="O517" i="10"/>
  <c r="K517" i="10" s="1"/>
  <c r="N517" i="10"/>
  <c r="M517" i="10"/>
  <c r="L517" i="10"/>
  <c r="J517" i="10"/>
  <c r="I517" i="10"/>
  <c r="H517" i="10"/>
  <c r="O516" i="10"/>
  <c r="P516" i="10" s="1"/>
  <c r="N516" i="10"/>
  <c r="M516" i="10"/>
  <c r="L516" i="10"/>
  <c r="J516" i="10"/>
  <c r="I516" i="10"/>
  <c r="H516" i="10"/>
  <c r="O515" i="10"/>
  <c r="P515" i="10" s="1"/>
  <c r="N515" i="10"/>
  <c r="M515" i="10"/>
  <c r="L515" i="10"/>
  <c r="J515" i="10"/>
  <c r="I515" i="10"/>
  <c r="H515" i="10"/>
  <c r="O514" i="10"/>
  <c r="P514" i="10" s="1"/>
  <c r="N514" i="10"/>
  <c r="M514" i="10"/>
  <c r="L514" i="10"/>
  <c r="J514" i="10"/>
  <c r="I514" i="10"/>
  <c r="H514" i="10"/>
  <c r="O513" i="10"/>
  <c r="P513" i="10" s="1"/>
  <c r="N513" i="10"/>
  <c r="M513" i="10"/>
  <c r="L513" i="10"/>
  <c r="J513" i="10"/>
  <c r="I513" i="10"/>
  <c r="H513" i="10"/>
  <c r="O512" i="10"/>
  <c r="K512" i="10" s="1"/>
  <c r="N512" i="10"/>
  <c r="M512" i="10"/>
  <c r="L512" i="10"/>
  <c r="J512" i="10"/>
  <c r="I512" i="10"/>
  <c r="H512" i="10"/>
  <c r="O511" i="10"/>
  <c r="P511" i="10" s="1"/>
  <c r="N511" i="10"/>
  <c r="M511" i="10"/>
  <c r="L511" i="10"/>
  <c r="J511" i="10"/>
  <c r="I511" i="10"/>
  <c r="H511" i="10"/>
  <c r="O510" i="10"/>
  <c r="K510" i="10" s="1"/>
  <c r="N510" i="10"/>
  <c r="M510" i="10"/>
  <c r="L510" i="10"/>
  <c r="J510" i="10"/>
  <c r="I510" i="10"/>
  <c r="H510" i="10"/>
  <c r="O509" i="10"/>
  <c r="P509" i="10" s="1"/>
  <c r="N509" i="10"/>
  <c r="M509" i="10"/>
  <c r="L509" i="10"/>
  <c r="J509" i="10"/>
  <c r="I509" i="10"/>
  <c r="H509" i="10"/>
  <c r="O508" i="10"/>
  <c r="P508" i="10" s="1"/>
  <c r="N508" i="10"/>
  <c r="M508" i="10"/>
  <c r="L508" i="10"/>
  <c r="J508" i="10"/>
  <c r="I508" i="10"/>
  <c r="H508" i="10"/>
  <c r="O507" i="10"/>
  <c r="P507" i="10" s="1"/>
  <c r="N507" i="10"/>
  <c r="M507" i="10"/>
  <c r="L507" i="10"/>
  <c r="K507" i="10"/>
  <c r="J507" i="10"/>
  <c r="I507" i="10"/>
  <c r="H507" i="10"/>
  <c r="O506" i="10"/>
  <c r="P506" i="10" s="1"/>
  <c r="N506" i="10"/>
  <c r="M506" i="10"/>
  <c r="L506" i="10"/>
  <c r="J506" i="10"/>
  <c r="I506" i="10"/>
  <c r="H506" i="10"/>
  <c r="O505" i="10"/>
  <c r="P505" i="10" s="1"/>
  <c r="N505" i="10"/>
  <c r="M505" i="10"/>
  <c r="L505" i="10"/>
  <c r="J505" i="10"/>
  <c r="I505" i="10"/>
  <c r="H505" i="10"/>
  <c r="O504" i="10"/>
  <c r="K504" i="10" s="1"/>
  <c r="N504" i="10"/>
  <c r="M504" i="10"/>
  <c r="L504" i="10"/>
  <c r="J504" i="10"/>
  <c r="I504" i="10"/>
  <c r="H504" i="10"/>
  <c r="O503" i="10"/>
  <c r="N503" i="10"/>
  <c r="M503" i="10"/>
  <c r="L503" i="10"/>
  <c r="J503" i="10"/>
  <c r="I503" i="10"/>
  <c r="H503" i="10"/>
  <c r="O502" i="10"/>
  <c r="K502" i="10" s="1"/>
  <c r="N502" i="10"/>
  <c r="M502" i="10"/>
  <c r="L502" i="10"/>
  <c r="J502" i="10"/>
  <c r="I502" i="10"/>
  <c r="H502" i="10"/>
  <c r="O501" i="10"/>
  <c r="P501" i="10" s="1"/>
  <c r="N501" i="10"/>
  <c r="M501" i="10"/>
  <c r="L501" i="10"/>
  <c r="J501" i="10"/>
  <c r="I501" i="10"/>
  <c r="H501" i="10"/>
  <c r="O500" i="10"/>
  <c r="P500" i="10" s="1"/>
  <c r="N500" i="10"/>
  <c r="M500" i="10"/>
  <c r="L500" i="10"/>
  <c r="J500" i="10"/>
  <c r="I500" i="10"/>
  <c r="H500" i="10"/>
  <c r="O499" i="10"/>
  <c r="K499" i="10" s="1"/>
  <c r="N499" i="10"/>
  <c r="M499" i="10"/>
  <c r="L499" i="10"/>
  <c r="J499" i="10"/>
  <c r="I499" i="10"/>
  <c r="H499" i="10"/>
  <c r="O498" i="10"/>
  <c r="P498" i="10" s="1"/>
  <c r="N498" i="10"/>
  <c r="M498" i="10"/>
  <c r="L498" i="10"/>
  <c r="K498" i="10"/>
  <c r="J498" i="10"/>
  <c r="I498" i="10"/>
  <c r="H498" i="10"/>
  <c r="O497" i="10"/>
  <c r="N497" i="10"/>
  <c r="M497" i="10"/>
  <c r="L497" i="10"/>
  <c r="J497" i="10"/>
  <c r="I497" i="10"/>
  <c r="H497" i="10"/>
  <c r="O496" i="10"/>
  <c r="P496" i="10" s="1"/>
  <c r="N496" i="10"/>
  <c r="M496" i="10"/>
  <c r="L496" i="10"/>
  <c r="J496" i="10"/>
  <c r="I496" i="10"/>
  <c r="H496" i="10"/>
  <c r="O495" i="10"/>
  <c r="P495" i="10" s="1"/>
  <c r="N495" i="10"/>
  <c r="M495" i="10"/>
  <c r="L495" i="10"/>
  <c r="J495" i="10"/>
  <c r="I495" i="10"/>
  <c r="H495" i="10"/>
  <c r="O494" i="10"/>
  <c r="P494" i="10" s="1"/>
  <c r="N494" i="10"/>
  <c r="M494" i="10"/>
  <c r="L494" i="10"/>
  <c r="J494" i="10"/>
  <c r="I494" i="10"/>
  <c r="H494" i="10"/>
  <c r="O493" i="10"/>
  <c r="P493" i="10" s="1"/>
  <c r="N493" i="10"/>
  <c r="M493" i="10"/>
  <c r="L493" i="10"/>
  <c r="J493" i="10"/>
  <c r="I493" i="10"/>
  <c r="H493" i="10"/>
  <c r="O492" i="10"/>
  <c r="K492" i="10" s="1"/>
  <c r="N492" i="10"/>
  <c r="M492" i="10"/>
  <c r="L492" i="10"/>
  <c r="J492" i="10"/>
  <c r="I492" i="10"/>
  <c r="H492" i="10"/>
  <c r="O491" i="10"/>
  <c r="P491" i="10" s="1"/>
  <c r="N491" i="10"/>
  <c r="M491" i="10"/>
  <c r="L491" i="10"/>
  <c r="J491" i="10"/>
  <c r="I491" i="10"/>
  <c r="H491" i="10"/>
  <c r="O490" i="10"/>
  <c r="P490" i="10" s="1"/>
  <c r="N490" i="10"/>
  <c r="M490" i="10"/>
  <c r="L490" i="10"/>
  <c r="J490" i="10"/>
  <c r="I490" i="10"/>
  <c r="H490" i="10"/>
  <c r="O489" i="10"/>
  <c r="P489" i="10" s="1"/>
  <c r="N489" i="10"/>
  <c r="M489" i="10"/>
  <c r="L489" i="10"/>
  <c r="J489" i="10"/>
  <c r="I489" i="10"/>
  <c r="H489" i="10"/>
  <c r="O488" i="10"/>
  <c r="P488" i="10" s="1"/>
  <c r="N488" i="10"/>
  <c r="M488" i="10"/>
  <c r="L488" i="10"/>
  <c r="J488" i="10"/>
  <c r="I488" i="10"/>
  <c r="H488" i="10"/>
  <c r="O487" i="10"/>
  <c r="P487" i="10" s="1"/>
  <c r="N487" i="10"/>
  <c r="M487" i="10"/>
  <c r="L487" i="10"/>
  <c r="J487" i="10"/>
  <c r="I487" i="10"/>
  <c r="H487" i="10"/>
  <c r="O486" i="10"/>
  <c r="K486" i="10" s="1"/>
  <c r="N486" i="10"/>
  <c r="M486" i="10"/>
  <c r="L486" i="10"/>
  <c r="J486" i="10"/>
  <c r="I486" i="10"/>
  <c r="H486" i="10"/>
  <c r="O485" i="10"/>
  <c r="K485" i="10" s="1"/>
  <c r="N485" i="10"/>
  <c r="M485" i="10"/>
  <c r="L485" i="10"/>
  <c r="J485" i="10"/>
  <c r="I485" i="10"/>
  <c r="H485" i="10"/>
  <c r="O484" i="10"/>
  <c r="P484" i="10" s="1"/>
  <c r="N484" i="10"/>
  <c r="M484" i="10"/>
  <c r="L484" i="10"/>
  <c r="J484" i="10"/>
  <c r="I484" i="10"/>
  <c r="H484" i="10"/>
  <c r="O483" i="10"/>
  <c r="P483" i="10" s="1"/>
  <c r="N483" i="10"/>
  <c r="M483" i="10"/>
  <c r="L483" i="10"/>
  <c r="J483" i="10"/>
  <c r="I483" i="10"/>
  <c r="H483" i="10"/>
  <c r="O482" i="10"/>
  <c r="K482" i="10" s="1"/>
  <c r="N482" i="10"/>
  <c r="M482" i="10"/>
  <c r="L482" i="10"/>
  <c r="J482" i="10"/>
  <c r="I482" i="10"/>
  <c r="H482" i="10"/>
  <c r="O481" i="10"/>
  <c r="P481" i="10" s="1"/>
  <c r="N481" i="10"/>
  <c r="M481" i="10"/>
  <c r="L481" i="10"/>
  <c r="J481" i="10"/>
  <c r="I481" i="10"/>
  <c r="H481" i="10"/>
  <c r="O480" i="10"/>
  <c r="P480" i="10" s="1"/>
  <c r="N480" i="10"/>
  <c r="M480" i="10"/>
  <c r="L480" i="10"/>
  <c r="J480" i="10"/>
  <c r="I480" i="10"/>
  <c r="H480" i="10"/>
  <c r="O479" i="10"/>
  <c r="P479" i="10" s="1"/>
  <c r="N479" i="10"/>
  <c r="M479" i="10"/>
  <c r="L479" i="10"/>
  <c r="J479" i="10"/>
  <c r="I479" i="10"/>
  <c r="H479" i="10"/>
  <c r="O478" i="10"/>
  <c r="P478" i="10" s="1"/>
  <c r="N478" i="10"/>
  <c r="M478" i="10"/>
  <c r="L478" i="10"/>
  <c r="K478" i="10"/>
  <c r="J478" i="10"/>
  <c r="I478" i="10"/>
  <c r="H478" i="10"/>
  <c r="O477" i="10"/>
  <c r="P477" i="10" s="1"/>
  <c r="N477" i="10"/>
  <c r="M477" i="10"/>
  <c r="L477" i="10"/>
  <c r="J477" i="10"/>
  <c r="I477" i="10"/>
  <c r="H477" i="10"/>
  <c r="O476" i="10"/>
  <c r="P476" i="10" s="1"/>
  <c r="N476" i="10"/>
  <c r="M476" i="10"/>
  <c r="L476" i="10"/>
  <c r="J476" i="10"/>
  <c r="I476" i="10"/>
  <c r="H476" i="10"/>
  <c r="O475" i="10"/>
  <c r="P475" i="10" s="1"/>
  <c r="N475" i="10"/>
  <c r="M475" i="10"/>
  <c r="L475" i="10"/>
  <c r="J475" i="10"/>
  <c r="I475" i="10"/>
  <c r="H475" i="10"/>
  <c r="O474" i="10"/>
  <c r="P474" i="10" s="1"/>
  <c r="N474" i="10"/>
  <c r="M474" i="10"/>
  <c r="L474" i="10"/>
  <c r="J474" i="10"/>
  <c r="I474" i="10"/>
  <c r="H474" i="10"/>
  <c r="O473" i="10"/>
  <c r="P473" i="10" s="1"/>
  <c r="N473" i="10"/>
  <c r="M473" i="10"/>
  <c r="L473" i="10"/>
  <c r="J473" i="10"/>
  <c r="I473" i="10"/>
  <c r="H473" i="10"/>
  <c r="O472" i="10"/>
  <c r="K472" i="10" s="1"/>
  <c r="N472" i="10"/>
  <c r="M472" i="10"/>
  <c r="L472" i="10"/>
  <c r="J472" i="10"/>
  <c r="I472" i="10"/>
  <c r="H472" i="10"/>
  <c r="O471" i="10"/>
  <c r="P471" i="10" s="1"/>
  <c r="N471" i="10"/>
  <c r="M471" i="10"/>
  <c r="L471" i="10"/>
  <c r="J471" i="10"/>
  <c r="I471" i="10"/>
  <c r="H471" i="10"/>
  <c r="O470" i="10"/>
  <c r="K470" i="10" s="1"/>
  <c r="N470" i="10"/>
  <c r="M470" i="10"/>
  <c r="L470" i="10"/>
  <c r="J470" i="10"/>
  <c r="I470" i="10"/>
  <c r="H470" i="10"/>
  <c r="O469" i="10"/>
  <c r="P469" i="10" s="1"/>
  <c r="N469" i="10"/>
  <c r="M469" i="10"/>
  <c r="L469" i="10"/>
  <c r="J469" i="10"/>
  <c r="I469" i="10"/>
  <c r="H469" i="10"/>
  <c r="O468" i="10"/>
  <c r="K468" i="10" s="1"/>
  <c r="N468" i="10"/>
  <c r="M468" i="10"/>
  <c r="L468" i="10"/>
  <c r="J468" i="10"/>
  <c r="I468" i="10"/>
  <c r="H468" i="10"/>
  <c r="O467" i="10"/>
  <c r="P467" i="10" s="1"/>
  <c r="N467" i="10"/>
  <c r="M467" i="10"/>
  <c r="L467" i="10"/>
  <c r="J467" i="10"/>
  <c r="I467" i="10"/>
  <c r="H467" i="10"/>
  <c r="O466" i="10"/>
  <c r="K466" i="10" s="1"/>
  <c r="N466" i="10"/>
  <c r="M466" i="10"/>
  <c r="L466" i="10"/>
  <c r="J466" i="10"/>
  <c r="I466" i="10"/>
  <c r="H466" i="10"/>
  <c r="O465" i="10"/>
  <c r="P465" i="10" s="1"/>
  <c r="N465" i="10"/>
  <c r="M465" i="10"/>
  <c r="L465" i="10"/>
  <c r="J465" i="10"/>
  <c r="I465" i="10"/>
  <c r="H465" i="10"/>
  <c r="O464" i="10"/>
  <c r="P464" i="10" s="1"/>
  <c r="N464" i="10"/>
  <c r="M464" i="10"/>
  <c r="L464" i="10"/>
  <c r="J464" i="10"/>
  <c r="I464" i="10"/>
  <c r="H464" i="10"/>
  <c r="O463" i="10"/>
  <c r="P463" i="10" s="1"/>
  <c r="N463" i="10"/>
  <c r="M463" i="10"/>
  <c r="L463" i="10"/>
  <c r="J463" i="10"/>
  <c r="I463" i="10"/>
  <c r="H463" i="10"/>
  <c r="O462" i="10"/>
  <c r="P462" i="10" s="1"/>
  <c r="N462" i="10"/>
  <c r="M462" i="10"/>
  <c r="L462" i="10"/>
  <c r="J462" i="10"/>
  <c r="I462" i="10"/>
  <c r="H462" i="10"/>
  <c r="O461" i="10"/>
  <c r="K461" i="10" s="1"/>
  <c r="N461" i="10"/>
  <c r="M461" i="10"/>
  <c r="L461" i="10"/>
  <c r="J461" i="10"/>
  <c r="I461" i="10"/>
  <c r="H461" i="10"/>
  <c r="O460" i="10"/>
  <c r="N460" i="10"/>
  <c r="M460" i="10"/>
  <c r="L460" i="10"/>
  <c r="J460" i="10"/>
  <c r="I460" i="10"/>
  <c r="H460" i="10"/>
  <c r="O459" i="10"/>
  <c r="K459" i="10" s="1"/>
  <c r="N459" i="10"/>
  <c r="M459" i="10"/>
  <c r="L459" i="10"/>
  <c r="J459" i="10"/>
  <c r="I459" i="10"/>
  <c r="H459" i="10"/>
  <c r="O458" i="10"/>
  <c r="P458" i="10" s="1"/>
  <c r="N458" i="10"/>
  <c r="M458" i="10"/>
  <c r="L458" i="10"/>
  <c r="K458" i="10"/>
  <c r="J458" i="10"/>
  <c r="I458" i="10"/>
  <c r="H458" i="10"/>
  <c r="O457" i="10"/>
  <c r="P457" i="10" s="1"/>
  <c r="N457" i="10"/>
  <c r="M457" i="10"/>
  <c r="L457" i="10"/>
  <c r="J457" i="10"/>
  <c r="I457" i="10"/>
  <c r="H457" i="10"/>
  <c r="O456" i="10"/>
  <c r="P456" i="10" s="1"/>
  <c r="N456" i="10"/>
  <c r="M456" i="10"/>
  <c r="L456" i="10"/>
  <c r="J456" i="10"/>
  <c r="I456" i="10"/>
  <c r="H456" i="10"/>
  <c r="O455" i="10"/>
  <c r="P455" i="10" s="1"/>
  <c r="N455" i="10"/>
  <c r="M455" i="10"/>
  <c r="L455" i="10"/>
  <c r="J455" i="10"/>
  <c r="I455" i="10"/>
  <c r="H455" i="10"/>
  <c r="O454" i="10"/>
  <c r="K454" i="10" s="1"/>
  <c r="N454" i="10"/>
  <c r="M454" i="10"/>
  <c r="L454" i="10"/>
  <c r="J454" i="10"/>
  <c r="I454" i="10"/>
  <c r="H454" i="10"/>
  <c r="O453" i="10"/>
  <c r="K453" i="10" s="1"/>
  <c r="N453" i="10"/>
  <c r="M453" i="10"/>
  <c r="L453" i="10"/>
  <c r="J453" i="10"/>
  <c r="I453" i="10"/>
  <c r="H453" i="10"/>
  <c r="O452" i="10"/>
  <c r="P452" i="10" s="1"/>
  <c r="N452" i="10"/>
  <c r="M452" i="10"/>
  <c r="L452" i="10"/>
  <c r="J452" i="10"/>
  <c r="I452" i="10"/>
  <c r="H452" i="10"/>
  <c r="O451" i="10"/>
  <c r="P451" i="10" s="1"/>
  <c r="N451" i="10"/>
  <c r="M451" i="10"/>
  <c r="L451" i="10"/>
  <c r="K451" i="10"/>
  <c r="J451" i="10"/>
  <c r="I451" i="10"/>
  <c r="H451" i="10"/>
  <c r="O450" i="10"/>
  <c r="P450" i="10" s="1"/>
  <c r="N450" i="10"/>
  <c r="M450" i="10"/>
  <c r="L450" i="10"/>
  <c r="K450" i="10"/>
  <c r="J450" i="10"/>
  <c r="I450" i="10"/>
  <c r="H450" i="10"/>
  <c r="O449" i="10"/>
  <c r="K449" i="10" s="1"/>
  <c r="N449" i="10"/>
  <c r="M449" i="10"/>
  <c r="L449" i="10"/>
  <c r="J449" i="10"/>
  <c r="I449" i="10"/>
  <c r="H449" i="10"/>
  <c r="O448" i="10"/>
  <c r="K448" i="10" s="1"/>
  <c r="N448" i="10"/>
  <c r="M448" i="10"/>
  <c r="L448" i="10"/>
  <c r="J448" i="10"/>
  <c r="I448" i="10"/>
  <c r="H448" i="10"/>
  <c r="O447" i="10"/>
  <c r="P447" i="10" s="1"/>
  <c r="N447" i="10"/>
  <c r="M447" i="10"/>
  <c r="L447" i="10"/>
  <c r="J447" i="10"/>
  <c r="I447" i="10"/>
  <c r="H447" i="10"/>
  <c r="O446" i="10"/>
  <c r="P446" i="10" s="1"/>
  <c r="N446" i="10"/>
  <c r="M446" i="10"/>
  <c r="L446" i="10"/>
  <c r="J446" i="10"/>
  <c r="I446" i="10"/>
  <c r="H446" i="10"/>
  <c r="O445" i="10"/>
  <c r="P445" i="10" s="1"/>
  <c r="N445" i="10"/>
  <c r="M445" i="10"/>
  <c r="L445" i="10"/>
  <c r="J445" i="10"/>
  <c r="I445" i="10"/>
  <c r="H445" i="10"/>
  <c r="O444" i="10"/>
  <c r="P444" i="10" s="1"/>
  <c r="N444" i="10"/>
  <c r="M444" i="10"/>
  <c r="L444" i="10"/>
  <c r="J444" i="10"/>
  <c r="I444" i="10"/>
  <c r="H444" i="10"/>
  <c r="O443" i="10"/>
  <c r="P443" i="10" s="1"/>
  <c r="N443" i="10"/>
  <c r="M443" i="10"/>
  <c r="L443" i="10"/>
  <c r="J443" i="10"/>
  <c r="I443" i="10"/>
  <c r="H443" i="10"/>
  <c r="O442" i="10"/>
  <c r="P442" i="10" s="1"/>
  <c r="N442" i="10"/>
  <c r="M442" i="10"/>
  <c r="L442" i="10"/>
  <c r="J442" i="10"/>
  <c r="I442" i="10"/>
  <c r="H442" i="10"/>
  <c r="O441" i="10"/>
  <c r="P441" i="10" s="1"/>
  <c r="N441" i="10"/>
  <c r="M441" i="10"/>
  <c r="L441" i="10"/>
  <c r="J441" i="10"/>
  <c r="I441" i="10"/>
  <c r="H441" i="10"/>
  <c r="O440" i="10"/>
  <c r="K440" i="10" s="1"/>
  <c r="N440" i="10"/>
  <c r="M440" i="10"/>
  <c r="L440" i="10"/>
  <c r="J440" i="10"/>
  <c r="I440" i="10"/>
  <c r="H440" i="10"/>
  <c r="O439" i="10"/>
  <c r="P439" i="10" s="1"/>
  <c r="N439" i="10"/>
  <c r="M439" i="10"/>
  <c r="L439" i="10"/>
  <c r="J439" i="10"/>
  <c r="I439" i="10"/>
  <c r="H439" i="10"/>
  <c r="O438" i="10"/>
  <c r="K438" i="10" s="1"/>
  <c r="N438" i="10"/>
  <c r="M438" i="10"/>
  <c r="L438" i="10"/>
  <c r="J438" i="10"/>
  <c r="I438" i="10"/>
  <c r="H438" i="10"/>
  <c r="O437" i="10"/>
  <c r="K437" i="10" s="1"/>
  <c r="N437" i="10"/>
  <c r="M437" i="10"/>
  <c r="L437" i="10"/>
  <c r="J437" i="10"/>
  <c r="I437" i="10"/>
  <c r="H437" i="10"/>
  <c r="O436" i="10"/>
  <c r="K436" i="10" s="1"/>
  <c r="N436" i="10"/>
  <c r="M436" i="10"/>
  <c r="L436" i="10"/>
  <c r="J436" i="10"/>
  <c r="I436" i="10"/>
  <c r="H436" i="10"/>
  <c r="O435" i="10"/>
  <c r="P435" i="10" s="1"/>
  <c r="N435" i="10"/>
  <c r="M435" i="10"/>
  <c r="L435" i="10"/>
  <c r="J435" i="10"/>
  <c r="I435" i="10"/>
  <c r="H435" i="10"/>
  <c r="O434" i="10"/>
  <c r="P434" i="10" s="1"/>
  <c r="N434" i="10"/>
  <c r="M434" i="10"/>
  <c r="L434" i="10"/>
  <c r="J434" i="10"/>
  <c r="I434" i="10"/>
  <c r="H434" i="10"/>
  <c r="O433" i="10"/>
  <c r="P433" i="10" s="1"/>
  <c r="N433" i="10"/>
  <c r="M433" i="10"/>
  <c r="L433" i="10"/>
  <c r="J433" i="10"/>
  <c r="I433" i="10"/>
  <c r="H433" i="10"/>
  <c r="O432" i="10"/>
  <c r="P432" i="10" s="1"/>
  <c r="N432" i="10"/>
  <c r="M432" i="10"/>
  <c r="L432" i="10"/>
  <c r="J432" i="10"/>
  <c r="I432" i="10"/>
  <c r="H432" i="10"/>
  <c r="O431" i="10"/>
  <c r="K431" i="10" s="1"/>
  <c r="N431" i="10"/>
  <c r="M431" i="10"/>
  <c r="L431" i="10"/>
  <c r="J431" i="10"/>
  <c r="I431" i="10"/>
  <c r="H431" i="10"/>
  <c r="O430" i="10"/>
  <c r="N430" i="10"/>
  <c r="M430" i="10"/>
  <c r="L430" i="10"/>
  <c r="J430" i="10"/>
  <c r="I430" i="10"/>
  <c r="H430" i="10"/>
  <c r="O429" i="10"/>
  <c r="P429" i="10" s="1"/>
  <c r="N429" i="10"/>
  <c r="M429" i="10"/>
  <c r="L429" i="10"/>
  <c r="J429" i="10"/>
  <c r="I429" i="10"/>
  <c r="H429" i="10"/>
  <c r="O428" i="10"/>
  <c r="K428" i="10" s="1"/>
  <c r="N428" i="10"/>
  <c r="M428" i="10"/>
  <c r="L428" i="10"/>
  <c r="J428" i="10"/>
  <c r="I428" i="10"/>
  <c r="H428" i="10"/>
  <c r="O427" i="10"/>
  <c r="K427" i="10" s="1"/>
  <c r="N427" i="10"/>
  <c r="M427" i="10"/>
  <c r="L427" i="10"/>
  <c r="J427" i="10"/>
  <c r="I427" i="10"/>
  <c r="H427" i="10"/>
  <c r="O426" i="10"/>
  <c r="P426" i="10" s="1"/>
  <c r="N426" i="10"/>
  <c r="M426" i="10"/>
  <c r="L426" i="10"/>
  <c r="J426" i="10"/>
  <c r="I426" i="10"/>
  <c r="H426" i="10"/>
  <c r="O425" i="10"/>
  <c r="P425" i="10" s="1"/>
  <c r="N425" i="10"/>
  <c r="M425" i="10"/>
  <c r="L425" i="10"/>
  <c r="J425" i="10"/>
  <c r="I425" i="10"/>
  <c r="H425" i="10"/>
  <c r="O424" i="10"/>
  <c r="P424" i="10" s="1"/>
  <c r="N424" i="10"/>
  <c r="M424" i="10"/>
  <c r="L424" i="10"/>
  <c r="J424" i="10"/>
  <c r="I424" i="10"/>
  <c r="H424" i="10"/>
  <c r="O423" i="10"/>
  <c r="K423" i="10" s="1"/>
  <c r="N423" i="10"/>
  <c r="M423" i="10"/>
  <c r="L423" i="10"/>
  <c r="J423" i="10"/>
  <c r="I423" i="10"/>
  <c r="H423" i="10"/>
  <c r="O422" i="10"/>
  <c r="K422" i="10" s="1"/>
  <c r="N422" i="10"/>
  <c r="M422" i="10"/>
  <c r="L422" i="10"/>
  <c r="J422" i="10"/>
  <c r="I422" i="10"/>
  <c r="H422" i="10"/>
  <c r="O421" i="10"/>
  <c r="K421" i="10" s="1"/>
  <c r="N421" i="10"/>
  <c r="M421" i="10"/>
  <c r="L421" i="10"/>
  <c r="J421" i="10"/>
  <c r="I421" i="10"/>
  <c r="H421" i="10"/>
  <c r="O420" i="10"/>
  <c r="P420" i="10" s="1"/>
  <c r="N420" i="10"/>
  <c r="M420" i="10"/>
  <c r="L420" i="10"/>
  <c r="J420" i="10"/>
  <c r="I420" i="10"/>
  <c r="H420" i="10"/>
  <c r="O419" i="10"/>
  <c r="P419" i="10" s="1"/>
  <c r="N419" i="10"/>
  <c r="M419" i="10"/>
  <c r="L419" i="10"/>
  <c r="J419" i="10"/>
  <c r="I419" i="10"/>
  <c r="H419" i="10"/>
  <c r="O418" i="10"/>
  <c r="P418" i="10" s="1"/>
  <c r="N418" i="10"/>
  <c r="M418" i="10"/>
  <c r="L418" i="10"/>
  <c r="J418" i="10"/>
  <c r="I418" i="10"/>
  <c r="H418" i="10"/>
  <c r="O417" i="10"/>
  <c r="P417" i="10" s="1"/>
  <c r="N417" i="10"/>
  <c r="M417" i="10"/>
  <c r="L417" i="10"/>
  <c r="J417" i="10"/>
  <c r="I417" i="10"/>
  <c r="H417" i="10"/>
  <c r="O416" i="10"/>
  <c r="N416" i="10"/>
  <c r="M416" i="10"/>
  <c r="L416" i="10"/>
  <c r="J416" i="10"/>
  <c r="I416" i="10"/>
  <c r="H416" i="10"/>
  <c r="O415" i="10"/>
  <c r="K415" i="10" s="1"/>
  <c r="N415" i="10"/>
  <c r="M415" i="10"/>
  <c r="L415" i="10"/>
  <c r="J415" i="10"/>
  <c r="I415" i="10"/>
  <c r="H415" i="10"/>
  <c r="O414" i="10"/>
  <c r="P414" i="10" s="1"/>
  <c r="N414" i="10"/>
  <c r="M414" i="10"/>
  <c r="L414" i="10"/>
  <c r="K414" i="10"/>
  <c r="J414" i="10"/>
  <c r="I414" i="10"/>
  <c r="H414" i="10"/>
  <c r="O413" i="10"/>
  <c r="N413" i="10"/>
  <c r="M413" i="10"/>
  <c r="L413" i="10"/>
  <c r="J413" i="10"/>
  <c r="I413" i="10"/>
  <c r="H413" i="10"/>
  <c r="O412" i="10"/>
  <c r="P412" i="10" s="1"/>
  <c r="N412" i="10"/>
  <c r="M412" i="10"/>
  <c r="L412" i="10"/>
  <c r="J412" i="10"/>
  <c r="I412" i="10"/>
  <c r="H412" i="10"/>
  <c r="O411" i="10"/>
  <c r="P411" i="10" s="1"/>
  <c r="N411" i="10"/>
  <c r="M411" i="10"/>
  <c r="L411" i="10"/>
  <c r="K411" i="10"/>
  <c r="J411" i="10"/>
  <c r="I411" i="10"/>
  <c r="H411" i="10"/>
  <c r="O410" i="10"/>
  <c r="P410" i="10" s="1"/>
  <c r="N410" i="10"/>
  <c r="M410" i="10"/>
  <c r="L410" i="10"/>
  <c r="J410" i="10"/>
  <c r="I410" i="10"/>
  <c r="H410" i="10"/>
  <c r="O409" i="10"/>
  <c r="P409" i="10" s="1"/>
  <c r="N409" i="10"/>
  <c r="M409" i="10"/>
  <c r="L409" i="10"/>
  <c r="J409" i="10"/>
  <c r="I409" i="10"/>
  <c r="H409" i="10"/>
  <c r="O408" i="10"/>
  <c r="N408" i="10"/>
  <c r="M408" i="10"/>
  <c r="L408" i="10"/>
  <c r="J408" i="10"/>
  <c r="I408" i="10"/>
  <c r="H408" i="10"/>
  <c r="O407" i="10"/>
  <c r="P407" i="10" s="1"/>
  <c r="N407" i="10"/>
  <c r="M407" i="10"/>
  <c r="L407" i="10"/>
  <c r="J407" i="10"/>
  <c r="I407" i="10"/>
  <c r="H407" i="10"/>
  <c r="O406" i="10"/>
  <c r="K406" i="10" s="1"/>
  <c r="N406" i="10"/>
  <c r="M406" i="10"/>
  <c r="L406" i="10"/>
  <c r="J406" i="10"/>
  <c r="I406" i="10"/>
  <c r="H406" i="10"/>
  <c r="O405" i="10"/>
  <c r="P405" i="10" s="1"/>
  <c r="N405" i="10"/>
  <c r="M405" i="10"/>
  <c r="L405" i="10"/>
  <c r="J405" i="10"/>
  <c r="I405" i="10"/>
  <c r="H405" i="10"/>
  <c r="O404" i="10"/>
  <c r="P404" i="10" s="1"/>
  <c r="N404" i="10"/>
  <c r="M404" i="10"/>
  <c r="L404" i="10"/>
  <c r="J404" i="10"/>
  <c r="I404" i="10"/>
  <c r="H404" i="10"/>
  <c r="O403" i="10"/>
  <c r="P403" i="10" s="1"/>
  <c r="N403" i="10"/>
  <c r="M403" i="10"/>
  <c r="L403" i="10"/>
  <c r="J403" i="10"/>
  <c r="I403" i="10"/>
  <c r="H403" i="10"/>
  <c r="O402" i="10"/>
  <c r="P402" i="10" s="1"/>
  <c r="N402" i="10"/>
  <c r="M402" i="10"/>
  <c r="L402" i="10"/>
  <c r="K402" i="10"/>
  <c r="J402" i="10"/>
  <c r="I402" i="10"/>
  <c r="H402" i="10"/>
  <c r="O401" i="10"/>
  <c r="K401" i="10" s="1"/>
  <c r="N401" i="10"/>
  <c r="M401" i="10"/>
  <c r="L401" i="10"/>
  <c r="J401" i="10"/>
  <c r="I401" i="10"/>
  <c r="H401" i="10"/>
  <c r="O400" i="10"/>
  <c r="P400" i="10" s="1"/>
  <c r="N400" i="10"/>
  <c r="M400" i="10"/>
  <c r="L400" i="10"/>
  <c r="J400" i="10"/>
  <c r="I400" i="10"/>
  <c r="H400" i="10"/>
  <c r="O399" i="10"/>
  <c r="P399" i="10" s="1"/>
  <c r="N399" i="10"/>
  <c r="M399" i="10"/>
  <c r="L399" i="10"/>
  <c r="J399" i="10"/>
  <c r="I399" i="10"/>
  <c r="H399" i="10"/>
  <c r="O398" i="10"/>
  <c r="P398" i="10" s="1"/>
  <c r="N398" i="10"/>
  <c r="M398" i="10"/>
  <c r="L398" i="10"/>
  <c r="J398" i="10"/>
  <c r="I398" i="10"/>
  <c r="H398" i="10"/>
  <c r="O397" i="10"/>
  <c r="K397" i="10" s="1"/>
  <c r="N397" i="10"/>
  <c r="M397" i="10"/>
  <c r="L397" i="10"/>
  <c r="J397" i="10"/>
  <c r="I397" i="10"/>
  <c r="H397" i="10"/>
  <c r="O396" i="10"/>
  <c r="P396" i="10" s="1"/>
  <c r="N396" i="10"/>
  <c r="M396" i="10"/>
  <c r="L396" i="10"/>
  <c r="J396" i="10"/>
  <c r="I396" i="10"/>
  <c r="H396" i="10"/>
  <c r="O395" i="10"/>
  <c r="P395" i="10" s="1"/>
  <c r="N395" i="10"/>
  <c r="M395" i="10"/>
  <c r="L395" i="10"/>
  <c r="J395" i="10"/>
  <c r="I395" i="10"/>
  <c r="H395" i="10"/>
  <c r="O394" i="10"/>
  <c r="P394" i="10" s="1"/>
  <c r="N394" i="10"/>
  <c r="M394" i="10"/>
  <c r="L394" i="10"/>
  <c r="J394" i="10"/>
  <c r="I394" i="10"/>
  <c r="H394" i="10"/>
  <c r="O393" i="10"/>
  <c r="P393" i="10" s="1"/>
  <c r="N393" i="10"/>
  <c r="M393" i="10"/>
  <c r="L393" i="10"/>
  <c r="J393" i="10"/>
  <c r="I393" i="10"/>
  <c r="H393" i="10"/>
  <c r="O392" i="10"/>
  <c r="P392" i="10" s="1"/>
  <c r="N392" i="10"/>
  <c r="M392" i="10"/>
  <c r="L392" i="10"/>
  <c r="J392" i="10"/>
  <c r="I392" i="10"/>
  <c r="H392" i="10"/>
  <c r="O391" i="10"/>
  <c r="N391" i="10"/>
  <c r="M391" i="10"/>
  <c r="L391" i="10"/>
  <c r="J391" i="10"/>
  <c r="I391" i="10"/>
  <c r="H391" i="10"/>
  <c r="O390" i="10"/>
  <c r="K390" i="10" s="1"/>
  <c r="N390" i="10"/>
  <c r="M390" i="10"/>
  <c r="L390" i="10"/>
  <c r="J390" i="10"/>
  <c r="I390" i="10"/>
  <c r="H390" i="10"/>
  <c r="O389" i="10"/>
  <c r="K389" i="10" s="1"/>
  <c r="N389" i="10"/>
  <c r="M389" i="10"/>
  <c r="L389" i="10"/>
  <c r="J389" i="10"/>
  <c r="I389" i="10"/>
  <c r="H389" i="10"/>
  <c r="O388" i="10"/>
  <c r="P388" i="10" s="1"/>
  <c r="N388" i="10"/>
  <c r="M388" i="10"/>
  <c r="L388" i="10"/>
  <c r="J388" i="10"/>
  <c r="I388" i="10"/>
  <c r="H388" i="10"/>
  <c r="O387" i="10"/>
  <c r="K387" i="10" s="1"/>
  <c r="N387" i="10"/>
  <c r="M387" i="10"/>
  <c r="L387" i="10"/>
  <c r="J387" i="10"/>
  <c r="I387" i="10"/>
  <c r="H387" i="10"/>
  <c r="O386" i="10"/>
  <c r="P386" i="10" s="1"/>
  <c r="N386" i="10"/>
  <c r="M386" i="10"/>
  <c r="L386" i="10"/>
  <c r="J386" i="10"/>
  <c r="I386" i="10"/>
  <c r="H386" i="10"/>
  <c r="O385" i="10"/>
  <c r="P385" i="10" s="1"/>
  <c r="N385" i="10"/>
  <c r="M385" i="10"/>
  <c r="L385" i="10"/>
  <c r="J385" i="10"/>
  <c r="I385" i="10"/>
  <c r="H385" i="10"/>
  <c r="O384" i="10"/>
  <c r="K384" i="10" s="1"/>
  <c r="N384" i="10"/>
  <c r="M384" i="10"/>
  <c r="L384" i="10"/>
  <c r="J384" i="10"/>
  <c r="I384" i="10"/>
  <c r="H384" i="10"/>
  <c r="O383" i="10"/>
  <c r="P383" i="10" s="1"/>
  <c r="N383" i="10"/>
  <c r="M383" i="10"/>
  <c r="L383" i="10"/>
  <c r="J383" i="10"/>
  <c r="I383" i="10"/>
  <c r="H383" i="10"/>
  <c r="O382" i="10"/>
  <c r="K382" i="10" s="1"/>
  <c r="N382" i="10"/>
  <c r="M382" i="10"/>
  <c r="L382" i="10"/>
  <c r="J382" i="10"/>
  <c r="I382" i="10"/>
  <c r="H382" i="10"/>
  <c r="O381" i="10"/>
  <c r="P381" i="10" s="1"/>
  <c r="N381" i="10"/>
  <c r="M381" i="10"/>
  <c r="L381" i="10"/>
  <c r="J381" i="10"/>
  <c r="I381" i="10"/>
  <c r="H381" i="10"/>
  <c r="O380" i="10"/>
  <c r="P380" i="10" s="1"/>
  <c r="N380" i="10"/>
  <c r="M380" i="10"/>
  <c r="L380" i="10"/>
  <c r="J380" i="10"/>
  <c r="I380" i="10"/>
  <c r="H380" i="10"/>
  <c r="O379" i="10"/>
  <c r="P379" i="10" s="1"/>
  <c r="N379" i="10"/>
  <c r="M379" i="10"/>
  <c r="L379" i="10"/>
  <c r="J379" i="10"/>
  <c r="I379" i="10"/>
  <c r="H379" i="10"/>
  <c r="O378" i="10"/>
  <c r="P378" i="10" s="1"/>
  <c r="N378" i="10"/>
  <c r="M378" i="10"/>
  <c r="L378" i="10"/>
  <c r="J378" i="10"/>
  <c r="I378" i="10"/>
  <c r="H378" i="10"/>
  <c r="O377" i="10"/>
  <c r="P377" i="10" s="1"/>
  <c r="N377" i="10"/>
  <c r="M377" i="10"/>
  <c r="L377" i="10"/>
  <c r="J377" i="10"/>
  <c r="I377" i="10"/>
  <c r="H377" i="10"/>
  <c r="O376" i="10"/>
  <c r="K376" i="10" s="1"/>
  <c r="N376" i="10"/>
  <c r="M376" i="10"/>
  <c r="L376" i="10"/>
  <c r="J376" i="10"/>
  <c r="I376" i="10"/>
  <c r="H376" i="10"/>
  <c r="O375" i="10"/>
  <c r="N375" i="10"/>
  <c r="M375" i="10"/>
  <c r="L375" i="10"/>
  <c r="J375" i="10"/>
  <c r="I375" i="10"/>
  <c r="H375" i="10"/>
  <c r="O374" i="10"/>
  <c r="K374" i="10" s="1"/>
  <c r="N374" i="10"/>
  <c r="M374" i="10"/>
  <c r="L374" i="10"/>
  <c r="J374" i="10"/>
  <c r="I374" i="10"/>
  <c r="H374" i="10"/>
  <c r="O373" i="10"/>
  <c r="K373" i="10" s="1"/>
  <c r="N373" i="10"/>
  <c r="M373" i="10"/>
  <c r="L373" i="10"/>
  <c r="J373" i="10"/>
  <c r="I373" i="10"/>
  <c r="H373" i="10"/>
  <c r="O372" i="10"/>
  <c r="K372" i="10" s="1"/>
  <c r="N372" i="10"/>
  <c r="M372" i="10"/>
  <c r="L372" i="10"/>
  <c r="J372" i="10"/>
  <c r="I372" i="10"/>
  <c r="H372" i="10"/>
  <c r="O371" i="10"/>
  <c r="K371" i="10" s="1"/>
  <c r="N371" i="10"/>
  <c r="M371" i="10"/>
  <c r="L371" i="10"/>
  <c r="J371" i="10"/>
  <c r="I371" i="10"/>
  <c r="H371" i="10"/>
  <c r="O370" i="10"/>
  <c r="K370" i="10" s="1"/>
  <c r="N370" i="10"/>
  <c r="M370" i="10"/>
  <c r="L370" i="10"/>
  <c r="J370" i="10"/>
  <c r="I370" i="10"/>
  <c r="H370" i="10"/>
  <c r="O369" i="10"/>
  <c r="N369" i="10"/>
  <c r="M369" i="10"/>
  <c r="L369" i="10"/>
  <c r="J369" i="10"/>
  <c r="I369" i="10"/>
  <c r="H369" i="10"/>
  <c r="O368" i="10"/>
  <c r="P368" i="10" s="1"/>
  <c r="N368" i="10"/>
  <c r="M368" i="10"/>
  <c r="L368" i="10"/>
  <c r="J368" i="10"/>
  <c r="I368" i="10"/>
  <c r="H368" i="10"/>
  <c r="O367" i="10"/>
  <c r="P367" i="10" s="1"/>
  <c r="N367" i="10"/>
  <c r="M367" i="10"/>
  <c r="L367" i="10"/>
  <c r="K367" i="10"/>
  <c r="J367" i="10"/>
  <c r="I367" i="10"/>
  <c r="H367" i="10"/>
  <c r="O366" i="10"/>
  <c r="P366" i="10" s="1"/>
  <c r="N366" i="10"/>
  <c r="M366" i="10"/>
  <c r="L366" i="10"/>
  <c r="J366" i="10"/>
  <c r="I366" i="10"/>
  <c r="H366" i="10"/>
  <c r="O365" i="10"/>
  <c r="P365" i="10" s="1"/>
  <c r="N365" i="10"/>
  <c r="M365" i="10"/>
  <c r="L365" i="10"/>
  <c r="J365" i="10"/>
  <c r="I365" i="10"/>
  <c r="H365" i="10"/>
  <c r="O364" i="10"/>
  <c r="K364" i="10" s="1"/>
  <c r="N364" i="10"/>
  <c r="M364" i="10"/>
  <c r="L364" i="10"/>
  <c r="J364" i="10"/>
  <c r="I364" i="10"/>
  <c r="H364" i="10"/>
  <c r="O363" i="10"/>
  <c r="P363" i="10" s="1"/>
  <c r="N363" i="10"/>
  <c r="M363" i="10"/>
  <c r="L363" i="10"/>
  <c r="J363" i="10"/>
  <c r="I363" i="10"/>
  <c r="H363" i="10"/>
  <c r="O362" i="10"/>
  <c r="P362" i="10" s="1"/>
  <c r="N362" i="10"/>
  <c r="M362" i="10"/>
  <c r="L362" i="10"/>
  <c r="J362" i="10"/>
  <c r="I362" i="10"/>
  <c r="H362" i="10"/>
  <c r="O361" i="10"/>
  <c r="P361" i="10" s="1"/>
  <c r="N361" i="10"/>
  <c r="M361" i="10"/>
  <c r="L361" i="10"/>
  <c r="J361" i="10"/>
  <c r="I361" i="10"/>
  <c r="H361" i="10"/>
  <c r="O360" i="10"/>
  <c r="P360" i="10" s="1"/>
  <c r="N360" i="10"/>
  <c r="M360" i="10"/>
  <c r="L360" i="10"/>
  <c r="J360" i="10"/>
  <c r="I360" i="10"/>
  <c r="H360" i="10"/>
  <c r="O359" i="10"/>
  <c r="P359" i="10" s="1"/>
  <c r="N359" i="10"/>
  <c r="M359" i="10"/>
  <c r="L359" i="10"/>
  <c r="K359" i="10"/>
  <c r="J359" i="10"/>
  <c r="I359" i="10"/>
  <c r="H359" i="10"/>
  <c r="O358" i="10"/>
  <c r="K358" i="10" s="1"/>
  <c r="N358" i="10"/>
  <c r="M358" i="10"/>
  <c r="L358" i="10"/>
  <c r="J358" i="10"/>
  <c r="I358" i="10"/>
  <c r="H358" i="10"/>
  <c r="O357" i="10"/>
  <c r="K357" i="10" s="1"/>
  <c r="N357" i="10"/>
  <c r="M357" i="10"/>
  <c r="L357" i="10"/>
  <c r="J357" i="10"/>
  <c r="I357" i="10"/>
  <c r="H357" i="10"/>
  <c r="O356" i="10"/>
  <c r="P356" i="10" s="1"/>
  <c r="N356" i="10"/>
  <c r="M356" i="10"/>
  <c r="L356" i="10"/>
  <c r="J356" i="10"/>
  <c r="I356" i="10"/>
  <c r="H356" i="10"/>
  <c r="O355" i="10"/>
  <c r="P355" i="10" s="1"/>
  <c r="N355" i="10"/>
  <c r="M355" i="10"/>
  <c r="L355" i="10"/>
  <c r="J355" i="10"/>
  <c r="I355" i="10"/>
  <c r="H355" i="10"/>
  <c r="O354" i="10"/>
  <c r="K354" i="10" s="1"/>
  <c r="N354" i="10"/>
  <c r="M354" i="10"/>
  <c r="L354" i="10"/>
  <c r="J354" i="10"/>
  <c r="I354" i="10"/>
  <c r="H354" i="10"/>
  <c r="O353" i="10"/>
  <c r="P353" i="10" s="1"/>
  <c r="N353" i="10"/>
  <c r="M353" i="10"/>
  <c r="L353" i="10"/>
  <c r="J353" i="10"/>
  <c r="I353" i="10"/>
  <c r="H353" i="10"/>
  <c r="O352" i="10"/>
  <c r="P352" i="10" s="1"/>
  <c r="N352" i="10"/>
  <c r="M352" i="10"/>
  <c r="L352" i="10"/>
  <c r="J352" i="10"/>
  <c r="I352" i="10"/>
  <c r="H352" i="10"/>
  <c r="O351" i="10"/>
  <c r="P351" i="10" s="1"/>
  <c r="N351" i="10"/>
  <c r="M351" i="10"/>
  <c r="L351" i="10"/>
  <c r="J351" i="10"/>
  <c r="I351" i="10"/>
  <c r="H351" i="10"/>
  <c r="O350" i="10"/>
  <c r="P350" i="10" s="1"/>
  <c r="N350" i="10"/>
  <c r="M350" i="10"/>
  <c r="L350" i="10"/>
  <c r="J350" i="10"/>
  <c r="I350" i="10"/>
  <c r="H350" i="10"/>
  <c r="O349" i="10"/>
  <c r="P349" i="10" s="1"/>
  <c r="N349" i="10"/>
  <c r="M349" i="10"/>
  <c r="L349" i="10"/>
  <c r="J349" i="10"/>
  <c r="I349" i="10"/>
  <c r="H349" i="10"/>
  <c r="O348" i="10"/>
  <c r="P348" i="10" s="1"/>
  <c r="N348" i="10"/>
  <c r="M348" i="10"/>
  <c r="L348" i="10"/>
  <c r="J348" i="10"/>
  <c r="I348" i="10"/>
  <c r="H348" i="10"/>
  <c r="O347" i="10"/>
  <c r="P347" i="10" s="1"/>
  <c r="N347" i="10"/>
  <c r="M347" i="10"/>
  <c r="L347" i="10"/>
  <c r="K347" i="10"/>
  <c r="J347" i="10"/>
  <c r="I347" i="10"/>
  <c r="H347" i="10"/>
  <c r="O346" i="10"/>
  <c r="P346" i="10" s="1"/>
  <c r="N346" i="10"/>
  <c r="M346" i="10"/>
  <c r="L346" i="10"/>
  <c r="J346" i="10"/>
  <c r="I346" i="10"/>
  <c r="H346" i="10"/>
  <c r="O345" i="10"/>
  <c r="P345" i="10" s="1"/>
  <c r="N345" i="10"/>
  <c r="M345" i="10"/>
  <c r="L345" i="10"/>
  <c r="J345" i="10"/>
  <c r="I345" i="10"/>
  <c r="H345" i="10"/>
  <c r="O344" i="10"/>
  <c r="K344" i="10" s="1"/>
  <c r="N344" i="10"/>
  <c r="M344" i="10"/>
  <c r="L344" i="10"/>
  <c r="J344" i="10"/>
  <c r="I344" i="10"/>
  <c r="H344" i="10"/>
  <c r="O343" i="10"/>
  <c r="P343" i="10" s="1"/>
  <c r="N343" i="10"/>
  <c r="M343" i="10"/>
  <c r="L343" i="10"/>
  <c r="J343" i="10"/>
  <c r="I343" i="10"/>
  <c r="H343" i="10"/>
  <c r="O342" i="10"/>
  <c r="K342" i="10" s="1"/>
  <c r="N342" i="10"/>
  <c r="M342" i="10"/>
  <c r="L342" i="10"/>
  <c r="J342" i="10"/>
  <c r="I342" i="10"/>
  <c r="H342" i="10"/>
  <c r="O341" i="10"/>
  <c r="P341" i="10" s="1"/>
  <c r="N341" i="10"/>
  <c r="M341" i="10"/>
  <c r="L341" i="10"/>
  <c r="J341" i="10"/>
  <c r="I341" i="10"/>
  <c r="H341" i="10"/>
  <c r="O340" i="10"/>
  <c r="K340" i="10" s="1"/>
  <c r="N340" i="10"/>
  <c r="M340" i="10"/>
  <c r="L340" i="10"/>
  <c r="J340" i="10"/>
  <c r="I340" i="10"/>
  <c r="H340" i="10"/>
  <c r="O339" i="10"/>
  <c r="P339" i="10" s="1"/>
  <c r="N339" i="10"/>
  <c r="M339" i="10"/>
  <c r="L339" i="10"/>
  <c r="J339" i="10"/>
  <c r="I339" i="10"/>
  <c r="H339" i="10"/>
  <c r="O338" i="10"/>
  <c r="P338" i="10" s="1"/>
  <c r="N338" i="10"/>
  <c r="M338" i="10"/>
  <c r="L338" i="10"/>
  <c r="J338" i="10"/>
  <c r="I338" i="10"/>
  <c r="H338" i="10"/>
  <c r="O337" i="10"/>
  <c r="K337" i="10" s="1"/>
  <c r="N337" i="10"/>
  <c r="M337" i="10"/>
  <c r="L337" i="10"/>
  <c r="J337" i="10"/>
  <c r="I337" i="10"/>
  <c r="H337" i="10"/>
  <c r="O336" i="10"/>
  <c r="P336" i="10" s="1"/>
  <c r="N336" i="10"/>
  <c r="M336" i="10"/>
  <c r="L336" i="10"/>
  <c r="K336" i="10"/>
  <c r="J336" i="10"/>
  <c r="I336" i="10"/>
  <c r="H336" i="10"/>
  <c r="O335" i="10"/>
  <c r="P335" i="10" s="1"/>
  <c r="N335" i="10"/>
  <c r="M335" i="10"/>
  <c r="L335" i="10"/>
  <c r="J335" i="10"/>
  <c r="I335" i="10"/>
  <c r="H335" i="10"/>
  <c r="O334" i="10"/>
  <c r="P334" i="10" s="1"/>
  <c r="N334" i="10"/>
  <c r="M334" i="10"/>
  <c r="L334" i="10"/>
  <c r="J334" i="10"/>
  <c r="I334" i="10"/>
  <c r="H334" i="10"/>
  <c r="O333" i="10"/>
  <c r="P333" i="10" s="1"/>
  <c r="N333" i="10"/>
  <c r="M333" i="10"/>
  <c r="L333" i="10"/>
  <c r="K333" i="10"/>
  <c r="J333" i="10"/>
  <c r="I333" i="10"/>
  <c r="H333" i="10"/>
  <c r="O332" i="10"/>
  <c r="N332" i="10"/>
  <c r="M332" i="10"/>
  <c r="L332" i="10"/>
  <c r="J332" i="10"/>
  <c r="I332" i="10"/>
  <c r="H332" i="10"/>
  <c r="O331" i="10"/>
  <c r="K331" i="10" s="1"/>
  <c r="N331" i="10"/>
  <c r="M331" i="10"/>
  <c r="L331" i="10"/>
  <c r="J331" i="10"/>
  <c r="I331" i="10"/>
  <c r="H331" i="10"/>
  <c r="O330" i="10"/>
  <c r="P330" i="10" s="1"/>
  <c r="N330" i="10"/>
  <c r="M330" i="10"/>
  <c r="L330" i="10"/>
  <c r="J330" i="10"/>
  <c r="I330" i="10"/>
  <c r="H330" i="10"/>
  <c r="O329" i="10"/>
  <c r="P329" i="10" s="1"/>
  <c r="N329" i="10"/>
  <c r="M329" i="10"/>
  <c r="L329" i="10"/>
  <c r="J329" i="10"/>
  <c r="I329" i="10"/>
  <c r="H329" i="10"/>
  <c r="O328" i="10"/>
  <c r="P328" i="10" s="1"/>
  <c r="N328" i="10"/>
  <c r="M328" i="10"/>
  <c r="L328" i="10"/>
  <c r="J328" i="10"/>
  <c r="I328" i="10"/>
  <c r="H328" i="10"/>
  <c r="O327" i="10"/>
  <c r="K327" i="10" s="1"/>
  <c r="N327" i="10"/>
  <c r="M327" i="10"/>
  <c r="L327" i="10"/>
  <c r="J327" i="10"/>
  <c r="I327" i="10"/>
  <c r="H327" i="10"/>
  <c r="O326" i="10"/>
  <c r="K326" i="10" s="1"/>
  <c r="N326" i="10"/>
  <c r="M326" i="10"/>
  <c r="L326" i="10"/>
  <c r="J326" i="10"/>
  <c r="I326" i="10"/>
  <c r="H326" i="10"/>
  <c r="O325" i="10"/>
  <c r="K325" i="10" s="1"/>
  <c r="N325" i="10"/>
  <c r="M325" i="10"/>
  <c r="L325" i="10"/>
  <c r="J325" i="10"/>
  <c r="I325" i="10"/>
  <c r="H325" i="10"/>
  <c r="O324" i="10"/>
  <c r="P324" i="10" s="1"/>
  <c r="N324" i="10"/>
  <c r="M324" i="10"/>
  <c r="L324" i="10"/>
  <c r="K324" i="10"/>
  <c r="J324" i="10"/>
  <c r="I324" i="10"/>
  <c r="H324" i="10"/>
  <c r="O323" i="10"/>
  <c r="P323" i="10" s="1"/>
  <c r="N323" i="10"/>
  <c r="M323" i="10"/>
  <c r="L323" i="10"/>
  <c r="J323" i="10"/>
  <c r="I323" i="10"/>
  <c r="H323" i="10"/>
  <c r="O322" i="10"/>
  <c r="K322" i="10" s="1"/>
  <c r="N322" i="10"/>
  <c r="M322" i="10"/>
  <c r="L322" i="10"/>
  <c r="J322" i="10"/>
  <c r="I322" i="10"/>
  <c r="H322" i="10"/>
  <c r="O321" i="10"/>
  <c r="K321" i="10" s="1"/>
  <c r="N321" i="10"/>
  <c r="M321" i="10"/>
  <c r="L321" i="10"/>
  <c r="J321" i="10"/>
  <c r="I321" i="10"/>
  <c r="H321" i="10"/>
  <c r="O320" i="10"/>
  <c r="K320" i="10" s="1"/>
  <c r="N320" i="10"/>
  <c r="M320" i="10"/>
  <c r="L320" i="10"/>
  <c r="J320" i="10"/>
  <c r="I320" i="10"/>
  <c r="H320" i="10"/>
  <c r="O319" i="10"/>
  <c r="P319" i="10" s="1"/>
  <c r="N319" i="10"/>
  <c r="M319" i="10"/>
  <c r="L319" i="10"/>
  <c r="J319" i="10"/>
  <c r="I319" i="10"/>
  <c r="H319" i="10"/>
  <c r="O318" i="10"/>
  <c r="P318" i="10" s="1"/>
  <c r="N318" i="10"/>
  <c r="M318" i="10"/>
  <c r="L318" i="10"/>
  <c r="J318" i="10"/>
  <c r="I318" i="10"/>
  <c r="H318" i="10"/>
  <c r="O317" i="10"/>
  <c r="P317" i="10" s="1"/>
  <c r="N317" i="10"/>
  <c r="M317" i="10"/>
  <c r="L317" i="10"/>
  <c r="K317" i="10"/>
  <c r="J317" i="10"/>
  <c r="I317" i="10"/>
  <c r="H317" i="10"/>
  <c r="O316" i="10"/>
  <c r="P316" i="10" s="1"/>
  <c r="N316" i="10"/>
  <c r="M316" i="10"/>
  <c r="L316" i="10"/>
  <c r="J316" i="10"/>
  <c r="I316" i="10"/>
  <c r="H316" i="10"/>
  <c r="O315" i="10"/>
  <c r="P315" i="10" s="1"/>
  <c r="N315" i="10"/>
  <c r="M315" i="10"/>
  <c r="L315" i="10"/>
  <c r="J315" i="10"/>
  <c r="I315" i="10"/>
  <c r="H315" i="10"/>
  <c r="O314" i="10"/>
  <c r="P314" i="10" s="1"/>
  <c r="N314" i="10"/>
  <c r="M314" i="10"/>
  <c r="L314" i="10"/>
  <c r="J314" i="10"/>
  <c r="I314" i="10"/>
  <c r="H314" i="10"/>
  <c r="O313" i="10"/>
  <c r="P313" i="10" s="1"/>
  <c r="N313" i="10"/>
  <c r="M313" i="10"/>
  <c r="L313" i="10"/>
  <c r="J313" i="10"/>
  <c r="I313" i="10"/>
  <c r="H313" i="10"/>
  <c r="O312" i="10"/>
  <c r="K312" i="10" s="1"/>
  <c r="N312" i="10"/>
  <c r="M312" i="10"/>
  <c r="L312" i="10"/>
  <c r="J312" i="10"/>
  <c r="I312" i="10"/>
  <c r="H312" i="10"/>
  <c r="O311" i="10"/>
  <c r="P311" i="10" s="1"/>
  <c r="N311" i="10"/>
  <c r="M311" i="10"/>
  <c r="L311" i="10"/>
  <c r="J311" i="10"/>
  <c r="I311" i="10"/>
  <c r="H311" i="10"/>
  <c r="O310" i="10"/>
  <c r="K310" i="10" s="1"/>
  <c r="N310" i="10"/>
  <c r="M310" i="10"/>
  <c r="L310" i="10"/>
  <c r="J310" i="10"/>
  <c r="I310" i="10"/>
  <c r="H310" i="10"/>
  <c r="O309" i="10"/>
  <c r="K309" i="10" s="1"/>
  <c r="N309" i="10"/>
  <c r="M309" i="10"/>
  <c r="L309" i="10"/>
  <c r="J309" i="10"/>
  <c r="I309" i="10"/>
  <c r="H309" i="10"/>
  <c r="O308" i="10"/>
  <c r="K308" i="10" s="1"/>
  <c r="N308" i="10"/>
  <c r="M308" i="10"/>
  <c r="L308" i="10"/>
  <c r="J308" i="10"/>
  <c r="I308" i="10"/>
  <c r="H308" i="10"/>
  <c r="O307" i="10"/>
  <c r="P307" i="10" s="1"/>
  <c r="N307" i="10"/>
  <c r="M307" i="10"/>
  <c r="L307" i="10"/>
  <c r="J307" i="10"/>
  <c r="I307" i="10"/>
  <c r="H307" i="10"/>
  <c r="O306" i="10"/>
  <c r="P306" i="10" s="1"/>
  <c r="N306" i="10"/>
  <c r="M306" i="10"/>
  <c r="L306" i="10"/>
  <c r="J306" i="10"/>
  <c r="I306" i="10"/>
  <c r="H306" i="10"/>
  <c r="O305" i="10"/>
  <c r="P305" i="10" s="1"/>
  <c r="N305" i="10"/>
  <c r="M305" i="10"/>
  <c r="L305" i="10"/>
  <c r="J305" i="10"/>
  <c r="I305" i="10"/>
  <c r="H305" i="10"/>
  <c r="O304" i="10"/>
  <c r="P304" i="10" s="1"/>
  <c r="N304" i="10"/>
  <c r="M304" i="10"/>
  <c r="L304" i="10"/>
  <c r="J304" i="10"/>
  <c r="I304" i="10"/>
  <c r="H304" i="10"/>
  <c r="O303" i="10"/>
  <c r="P303" i="10" s="1"/>
  <c r="N303" i="10"/>
  <c r="M303" i="10"/>
  <c r="L303" i="10"/>
  <c r="J303" i="10"/>
  <c r="I303" i="10"/>
  <c r="H303" i="10"/>
  <c r="O302" i="10"/>
  <c r="N302" i="10"/>
  <c r="M302" i="10"/>
  <c r="L302" i="10"/>
  <c r="J302" i="10"/>
  <c r="I302" i="10"/>
  <c r="H302" i="10"/>
  <c r="O301" i="10"/>
  <c r="P301" i="10" s="1"/>
  <c r="N301" i="10"/>
  <c r="M301" i="10"/>
  <c r="L301" i="10"/>
  <c r="J301" i="10"/>
  <c r="I301" i="10"/>
  <c r="H301" i="10"/>
  <c r="O300" i="10"/>
  <c r="K300" i="10" s="1"/>
  <c r="N300" i="10"/>
  <c r="M300" i="10"/>
  <c r="L300" i="10"/>
  <c r="J300" i="10"/>
  <c r="I300" i="10"/>
  <c r="H300" i="10"/>
  <c r="O299" i="10"/>
  <c r="P299" i="10" s="1"/>
  <c r="N299" i="10"/>
  <c r="M299" i="10"/>
  <c r="L299" i="10"/>
  <c r="J299" i="10"/>
  <c r="I299" i="10"/>
  <c r="H299" i="10"/>
  <c r="O298" i="10"/>
  <c r="P298" i="10" s="1"/>
  <c r="N298" i="10"/>
  <c r="M298" i="10"/>
  <c r="L298" i="10"/>
  <c r="J298" i="10"/>
  <c r="I298" i="10"/>
  <c r="H298" i="10"/>
  <c r="O297" i="10"/>
  <c r="P297" i="10" s="1"/>
  <c r="N297" i="10"/>
  <c r="M297" i="10"/>
  <c r="L297" i="10"/>
  <c r="J297" i="10"/>
  <c r="I297" i="10"/>
  <c r="H297" i="10"/>
  <c r="O296" i="10"/>
  <c r="N296" i="10"/>
  <c r="M296" i="10"/>
  <c r="L296" i="10"/>
  <c r="J296" i="10"/>
  <c r="I296" i="10"/>
  <c r="H296" i="10"/>
  <c r="O295" i="10"/>
  <c r="P295" i="10" s="1"/>
  <c r="N295" i="10"/>
  <c r="M295" i="10"/>
  <c r="L295" i="10"/>
  <c r="J295" i="10"/>
  <c r="I295" i="10"/>
  <c r="H295" i="10"/>
  <c r="O294" i="10"/>
  <c r="K294" i="10" s="1"/>
  <c r="N294" i="10"/>
  <c r="M294" i="10"/>
  <c r="L294" i="10"/>
  <c r="J294" i="10"/>
  <c r="I294" i="10"/>
  <c r="H294" i="10"/>
  <c r="O293" i="10"/>
  <c r="P293" i="10" s="1"/>
  <c r="N293" i="10"/>
  <c r="M293" i="10"/>
  <c r="L293" i="10"/>
  <c r="J293" i="10"/>
  <c r="I293" i="10"/>
  <c r="H293" i="10"/>
  <c r="O292" i="10"/>
  <c r="P292" i="10" s="1"/>
  <c r="N292" i="10"/>
  <c r="M292" i="10"/>
  <c r="L292" i="10"/>
  <c r="J292" i="10"/>
  <c r="I292" i="10"/>
  <c r="H292" i="10"/>
  <c r="O291" i="10"/>
  <c r="K291" i="10" s="1"/>
  <c r="N291" i="10"/>
  <c r="M291" i="10"/>
  <c r="L291" i="10"/>
  <c r="J291" i="10"/>
  <c r="I291" i="10"/>
  <c r="H291" i="10"/>
  <c r="O290" i="10"/>
  <c r="P290" i="10" s="1"/>
  <c r="N290" i="10"/>
  <c r="M290" i="10"/>
  <c r="L290" i="10"/>
  <c r="J290" i="10"/>
  <c r="I290" i="10"/>
  <c r="H290" i="10"/>
  <c r="O289" i="10"/>
  <c r="P289" i="10" s="1"/>
  <c r="N289" i="10"/>
  <c r="M289" i="10"/>
  <c r="L289" i="10"/>
  <c r="J289" i="10"/>
  <c r="I289" i="10"/>
  <c r="H289" i="10"/>
  <c r="O288" i="10"/>
  <c r="P288" i="10" s="1"/>
  <c r="N288" i="10"/>
  <c r="M288" i="10"/>
  <c r="L288" i="10"/>
  <c r="K288" i="10"/>
  <c r="J288" i="10"/>
  <c r="I288" i="10"/>
  <c r="H288" i="10"/>
  <c r="O287" i="10"/>
  <c r="K287" i="10" s="1"/>
  <c r="N287" i="10"/>
  <c r="M287" i="10"/>
  <c r="L287" i="10"/>
  <c r="J287" i="10"/>
  <c r="I287" i="10"/>
  <c r="H287" i="10"/>
  <c r="O286" i="10"/>
  <c r="P286" i="10" s="1"/>
  <c r="N286" i="10"/>
  <c r="M286" i="10"/>
  <c r="L286" i="10"/>
  <c r="J286" i="10"/>
  <c r="I286" i="10"/>
  <c r="H286" i="10"/>
  <c r="O285" i="10"/>
  <c r="P285" i="10" s="1"/>
  <c r="N285" i="10"/>
  <c r="M285" i="10"/>
  <c r="L285" i="10"/>
  <c r="J285" i="10"/>
  <c r="I285" i="10"/>
  <c r="H285" i="10"/>
  <c r="O284" i="10"/>
  <c r="N284" i="10"/>
  <c r="M284" i="10"/>
  <c r="L284" i="10"/>
  <c r="J284" i="10"/>
  <c r="I284" i="10"/>
  <c r="H284" i="10"/>
  <c r="O283" i="10"/>
  <c r="P283" i="10" s="1"/>
  <c r="N283" i="10"/>
  <c r="M283" i="10"/>
  <c r="L283" i="10"/>
  <c r="J283" i="10"/>
  <c r="I283" i="10"/>
  <c r="H283" i="10"/>
  <c r="O282" i="10"/>
  <c r="P282" i="10" s="1"/>
  <c r="N282" i="10"/>
  <c r="M282" i="10"/>
  <c r="L282" i="10"/>
  <c r="J282" i="10"/>
  <c r="I282" i="10"/>
  <c r="H282" i="10"/>
  <c r="O281" i="10"/>
  <c r="P281" i="10" s="1"/>
  <c r="N281" i="10"/>
  <c r="M281" i="10"/>
  <c r="L281" i="10"/>
  <c r="J281" i="10"/>
  <c r="I281" i="10"/>
  <c r="H281" i="10"/>
  <c r="O280" i="10"/>
  <c r="K280" i="10" s="1"/>
  <c r="N280" i="10"/>
  <c r="M280" i="10"/>
  <c r="L280" i="10"/>
  <c r="J280" i="10"/>
  <c r="I280" i="10"/>
  <c r="H280" i="10"/>
  <c r="O279" i="10"/>
  <c r="P279" i="10" s="1"/>
  <c r="N279" i="10"/>
  <c r="M279" i="10"/>
  <c r="L279" i="10"/>
  <c r="J279" i="10"/>
  <c r="I279" i="10"/>
  <c r="H279" i="10"/>
  <c r="O278" i="10"/>
  <c r="K278" i="10" s="1"/>
  <c r="N278" i="10"/>
  <c r="M278" i="10"/>
  <c r="L278" i="10"/>
  <c r="J278" i="10"/>
  <c r="I278" i="10"/>
  <c r="H278" i="10"/>
  <c r="O277" i="10"/>
  <c r="P277" i="10" s="1"/>
  <c r="N277" i="10"/>
  <c r="M277" i="10"/>
  <c r="L277" i="10"/>
  <c r="J277" i="10"/>
  <c r="I277" i="10"/>
  <c r="H277" i="10"/>
  <c r="O276" i="10"/>
  <c r="P276" i="10" s="1"/>
  <c r="N276" i="10"/>
  <c r="M276" i="10"/>
  <c r="L276" i="10"/>
  <c r="J276" i="10"/>
  <c r="I276" i="10"/>
  <c r="H276" i="10"/>
  <c r="O275" i="10"/>
  <c r="K275" i="10" s="1"/>
  <c r="N275" i="10"/>
  <c r="M275" i="10"/>
  <c r="L275" i="10"/>
  <c r="J275" i="10"/>
  <c r="I275" i="10"/>
  <c r="H275" i="10"/>
  <c r="O274" i="10"/>
  <c r="P274" i="10" s="1"/>
  <c r="N274" i="10"/>
  <c r="M274" i="10"/>
  <c r="L274" i="10"/>
  <c r="J274" i="10"/>
  <c r="I274" i="10"/>
  <c r="H274" i="10"/>
  <c r="O273" i="10"/>
  <c r="P273" i="10" s="1"/>
  <c r="N273" i="10"/>
  <c r="M273" i="10"/>
  <c r="L273" i="10"/>
  <c r="J273" i="10"/>
  <c r="I273" i="10"/>
  <c r="H273" i="10"/>
  <c r="O272" i="10"/>
  <c r="P272" i="10" s="1"/>
  <c r="N272" i="10"/>
  <c r="M272" i="10"/>
  <c r="L272" i="10"/>
  <c r="J272" i="10"/>
  <c r="I272" i="10"/>
  <c r="H272" i="10"/>
  <c r="O271" i="10"/>
  <c r="K271" i="10" s="1"/>
  <c r="N271" i="10"/>
  <c r="M271" i="10"/>
  <c r="L271" i="10"/>
  <c r="J271" i="10"/>
  <c r="I271" i="10"/>
  <c r="H271" i="10"/>
  <c r="O270" i="10"/>
  <c r="N270" i="10"/>
  <c r="M270" i="10"/>
  <c r="L270" i="10"/>
  <c r="J270" i="10"/>
  <c r="I270" i="10"/>
  <c r="H270" i="10"/>
  <c r="O269" i="10"/>
  <c r="K269" i="10" s="1"/>
  <c r="N269" i="10"/>
  <c r="M269" i="10"/>
  <c r="L269" i="10"/>
  <c r="J269" i="10"/>
  <c r="I269" i="10"/>
  <c r="H269" i="10"/>
  <c r="O268" i="10"/>
  <c r="P268" i="10" s="1"/>
  <c r="N268" i="10"/>
  <c r="M268" i="10"/>
  <c r="L268" i="10"/>
  <c r="K268" i="10"/>
  <c r="J268" i="10"/>
  <c r="I268" i="10"/>
  <c r="H268" i="10"/>
  <c r="O267" i="10"/>
  <c r="N267" i="10"/>
  <c r="M267" i="10"/>
  <c r="L267" i="10"/>
  <c r="J267" i="10"/>
  <c r="I267" i="10"/>
  <c r="H267" i="10"/>
  <c r="O266" i="10"/>
  <c r="K266" i="10" s="1"/>
  <c r="N266" i="10"/>
  <c r="M266" i="10"/>
  <c r="L266" i="10"/>
  <c r="J266" i="10"/>
  <c r="I266" i="10"/>
  <c r="H266" i="10"/>
  <c r="O265" i="10"/>
  <c r="P265" i="10" s="1"/>
  <c r="N265" i="10"/>
  <c r="M265" i="10"/>
  <c r="L265" i="10"/>
  <c r="J265" i="10"/>
  <c r="I265" i="10"/>
  <c r="H265" i="10"/>
  <c r="O264" i="10"/>
  <c r="P264" i="10" s="1"/>
  <c r="N264" i="10"/>
  <c r="M264" i="10"/>
  <c r="L264" i="10"/>
  <c r="J264" i="10"/>
  <c r="I264" i="10"/>
  <c r="H264" i="10"/>
  <c r="O263" i="10"/>
  <c r="P263" i="10" s="1"/>
  <c r="N263" i="10"/>
  <c r="M263" i="10"/>
  <c r="L263" i="10"/>
  <c r="J263" i="10"/>
  <c r="I263" i="10"/>
  <c r="H263" i="10"/>
  <c r="O262" i="10"/>
  <c r="K262" i="10" s="1"/>
  <c r="N262" i="10"/>
  <c r="M262" i="10"/>
  <c r="L262" i="10"/>
  <c r="J262" i="10"/>
  <c r="I262" i="10"/>
  <c r="H262" i="10"/>
  <c r="O261" i="10"/>
  <c r="P261" i="10" s="1"/>
  <c r="N261" i="10"/>
  <c r="M261" i="10"/>
  <c r="L261" i="10"/>
  <c r="J261" i="10"/>
  <c r="I261" i="10"/>
  <c r="H261" i="10"/>
  <c r="O260" i="10"/>
  <c r="P260" i="10" s="1"/>
  <c r="N260" i="10"/>
  <c r="M260" i="10"/>
  <c r="L260" i="10"/>
  <c r="K260" i="10"/>
  <c r="J260" i="10"/>
  <c r="I260" i="10"/>
  <c r="H260" i="10"/>
  <c r="O259" i="10"/>
  <c r="P259" i="10" s="1"/>
  <c r="N259" i="10"/>
  <c r="M259" i="10"/>
  <c r="L259" i="10"/>
  <c r="J259" i="10"/>
  <c r="I259" i="10"/>
  <c r="H259" i="10"/>
  <c r="O258" i="10"/>
  <c r="P258" i="10" s="1"/>
  <c r="N258" i="10"/>
  <c r="M258" i="10"/>
  <c r="L258" i="10"/>
  <c r="J258" i="10"/>
  <c r="I258" i="10"/>
  <c r="H258" i="10"/>
  <c r="O257" i="10"/>
  <c r="P257" i="10" s="1"/>
  <c r="N257" i="10"/>
  <c r="M257" i="10"/>
  <c r="L257" i="10"/>
  <c r="J257" i="10"/>
  <c r="I257" i="10"/>
  <c r="H257" i="10"/>
  <c r="O256" i="10"/>
  <c r="P256" i="10" s="1"/>
  <c r="N256" i="10"/>
  <c r="M256" i="10"/>
  <c r="L256" i="10"/>
  <c r="J256" i="10"/>
  <c r="I256" i="10"/>
  <c r="H256" i="10"/>
  <c r="O255" i="10"/>
  <c r="P255" i="10" s="1"/>
  <c r="N255" i="10"/>
  <c r="M255" i="10"/>
  <c r="L255" i="10"/>
  <c r="J255" i="10"/>
  <c r="I255" i="10"/>
  <c r="H255" i="10"/>
  <c r="O254" i="10"/>
  <c r="P254" i="10" s="1"/>
  <c r="N254" i="10"/>
  <c r="M254" i="10"/>
  <c r="L254" i="10"/>
  <c r="J254" i="10"/>
  <c r="I254" i="10"/>
  <c r="H254" i="10"/>
  <c r="O253" i="10"/>
  <c r="P253" i="10" s="1"/>
  <c r="N253" i="10"/>
  <c r="M253" i="10"/>
  <c r="L253" i="10"/>
  <c r="J253" i="10"/>
  <c r="I253" i="10"/>
  <c r="H253" i="10"/>
  <c r="O252" i="10"/>
  <c r="N252" i="10"/>
  <c r="M252" i="10"/>
  <c r="L252" i="10"/>
  <c r="J252" i="10"/>
  <c r="I252" i="10"/>
  <c r="H252" i="10"/>
  <c r="O251" i="10"/>
  <c r="N251" i="10"/>
  <c r="M251" i="10"/>
  <c r="L251" i="10"/>
  <c r="J251" i="10"/>
  <c r="I251" i="10"/>
  <c r="H251" i="10"/>
  <c r="O250" i="10"/>
  <c r="P250" i="10" s="1"/>
  <c r="N250" i="10"/>
  <c r="M250" i="10"/>
  <c r="L250" i="10"/>
  <c r="J250" i="10"/>
  <c r="I250" i="10"/>
  <c r="H250" i="10"/>
  <c r="O249" i="10"/>
  <c r="P249" i="10" s="1"/>
  <c r="N249" i="10"/>
  <c r="M249" i="10"/>
  <c r="L249" i="10"/>
  <c r="J249" i="10"/>
  <c r="I249" i="10"/>
  <c r="H249" i="10"/>
  <c r="O248" i="10"/>
  <c r="N248" i="10"/>
  <c r="M248" i="10"/>
  <c r="L248" i="10"/>
  <c r="J248" i="10"/>
  <c r="I248" i="10"/>
  <c r="H248" i="10"/>
  <c r="O247" i="10"/>
  <c r="P247" i="10" s="1"/>
  <c r="N247" i="10"/>
  <c r="M247" i="10"/>
  <c r="L247" i="10"/>
  <c r="J247" i="10"/>
  <c r="I247" i="10"/>
  <c r="H247" i="10"/>
  <c r="O246" i="10"/>
  <c r="K246" i="10" s="1"/>
  <c r="N246" i="10"/>
  <c r="M246" i="10"/>
  <c r="L246" i="10"/>
  <c r="J246" i="10"/>
  <c r="I246" i="10"/>
  <c r="H246" i="10"/>
  <c r="O245" i="10"/>
  <c r="N245" i="10"/>
  <c r="M245" i="10"/>
  <c r="L245" i="10"/>
  <c r="J245" i="10"/>
  <c r="I245" i="10"/>
  <c r="H245" i="10"/>
  <c r="O244" i="10"/>
  <c r="K244" i="10" s="1"/>
  <c r="N244" i="10"/>
  <c r="M244" i="10"/>
  <c r="L244" i="10"/>
  <c r="J244" i="10"/>
  <c r="I244" i="10"/>
  <c r="H244" i="10"/>
  <c r="O243" i="10"/>
  <c r="P243" i="10" s="1"/>
  <c r="N243" i="10"/>
  <c r="M243" i="10"/>
  <c r="L243" i="10"/>
  <c r="J243" i="10"/>
  <c r="I243" i="10"/>
  <c r="H243" i="10"/>
  <c r="O242" i="10"/>
  <c r="P242" i="10" s="1"/>
  <c r="N242" i="10"/>
  <c r="M242" i="10"/>
  <c r="L242" i="10"/>
  <c r="K242" i="10"/>
  <c r="J242" i="10"/>
  <c r="I242" i="10"/>
  <c r="H242" i="10"/>
  <c r="O241" i="10"/>
  <c r="P241" i="10" s="1"/>
  <c r="N241" i="10"/>
  <c r="M241" i="10"/>
  <c r="L241" i="10"/>
  <c r="J241" i="10"/>
  <c r="I241" i="10"/>
  <c r="H241" i="10"/>
  <c r="O240" i="10"/>
  <c r="K240" i="10" s="1"/>
  <c r="N240" i="10"/>
  <c r="M240" i="10"/>
  <c r="L240" i="10"/>
  <c r="J240" i="10"/>
  <c r="I240" i="10"/>
  <c r="H240" i="10"/>
  <c r="O239" i="10"/>
  <c r="P239" i="10" s="1"/>
  <c r="N239" i="10"/>
  <c r="M239" i="10"/>
  <c r="L239" i="10"/>
  <c r="J239" i="10"/>
  <c r="I239" i="10"/>
  <c r="H239" i="10"/>
  <c r="O238" i="10"/>
  <c r="P238" i="10" s="1"/>
  <c r="N238" i="10"/>
  <c r="M238" i="10"/>
  <c r="L238" i="10"/>
  <c r="J238" i="10"/>
  <c r="I238" i="10"/>
  <c r="H238" i="10"/>
  <c r="O237" i="10"/>
  <c r="P237" i="10" s="1"/>
  <c r="N237" i="10"/>
  <c r="M237" i="10"/>
  <c r="L237" i="10"/>
  <c r="J237" i="10"/>
  <c r="I237" i="10"/>
  <c r="H237" i="10"/>
  <c r="O236" i="10"/>
  <c r="P236" i="10" s="1"/>
  <c r="N236" i="10"/>
  <c r="M236" i="10"/>
  <c r="L236" i="10"/>
  <c r="J236" i="10"/>
  <c r="I236" i="10"/>
  <c r="H236" i="10"/>
  <c r="O235" i="10"/>
  <c r="P235" i="10" s="1"/>
  <c r="N235" i="10"/>
  <c r="M235" i="10"/>
  <c r="L235" i="10"/>
  <c r="K235" i="10"/>
  <c r="J235" i="10"/>
  <c r="I235" i="10"/>
  <c r="H235" i="10"/>
  <c r="O234" i="10"/>
  <c r="P234" i="10" s="1"/>
  <c r="N234" i="10"/>
  <c r="M234" i="10"/>
  <c r="L234" i="10"/>
  <c r="J234" i="10"/>
  <c r="I234" i="10"/>
  <c r="H234" i="10"/>
  <c r="O233" i="10"/>
  <c r="N233" i="10"/>
  <c r="M233" i="10"/>
  <c r="L233" i="10"/>
  <c r="J233" i="10"/>
  <c r="I233" i="10"/>
  <c r="H233" i="10"/>
  <c r="O232" i="10"/>
  <c r="P232" i="10" s="1"/>
  <c r="N232" i="10"/>
  <c r="M232" i="10"/>
  <c r="L232" i="10"/>
  <c r="J232" i="10"/>
  <c r="I232" i="10"/>
  <c r="H232" i="10"/>
  <c r="O231" i="10"/>
  <c r="P231" i="10" s="1"/>
  <c r="N231" i="10"/>
  <c r="M231" i="10"/>
  <c r="L231" i="10"/>
  <c r="J231" i="10"/>
  <c r="I231" i="10"/>
  <c r="H231" i="10"/>
  <c r="O230" i="10"/>
  <c r="K230" i="10" s="1"/>
  <c r="N230" i="10"/>
  <c r="M230" i="10"/>
  <c r="L230" i="10"/>
  <c r="J230" i="10"/>
  <c r="I230" i="10"/>
  <c r="H230" i="10"/>
  <c r="O229" i="10"/>
  <c r="K229" i="10" s="1"/>
  <c r="N229" i="10"/>
  <c r="M229" i="10"/>
  <c r="L229" i="10"/>
  <c r="J229" i="10"/>
  <c r="I229" i="10"/>
  <c r="H229" i="10"/>
  <c r="O228" i="10"/>
  <c r="P228" i="10" s="1"/>
  <c r="N228" i="10"/>
  <c r="M228" i="10"/>
  <c r="L228" i="10"/>
  <c r="J228" i="10"/>
  <c r="I228" i="10"/>
  <c r="H228" i="10"/>
  <c r="O227" i="10"/>
  <c r="N227" i="10"/>
  <c r="M227" i="10"/>
  <c r="L227" i="10"/>
  <c r="J227" i="10"/>
  <c r="I227" i="10"/>
  <c r="H227" i="10"/>
  <c r="O226" i="10"/>
  <c r="P226" i="10" s="1"/>
  <c r="N226" i="10"/>
  <c r="M226" i="10"/>
  <c r="L226" i="10"/>
  <c r="K226" i="10"/>
  <c r="J226" i="10"/>
  <c r="I226" i="10"/>
  <c r="H226" i="10"/>
  <c r="O225" i="10"/>
  <c r="P225" i="10" s="1"/>
  <c r="N225" i="10"/>
  <c r="M225" i="10"/>
  <c r="L225" i="10"/>
  <c r="J225" i="10"/>
  <c r="I225" i="10"/>
  <c r="H225" i="10"/>
  <c r="O224" i="10"/>
  <c r="N224" i="10"/>
  <c r="M224" i="10"/>
  <c r="L224" i="10"/>
  <c r="J224" i="10"/>
  <c r="I224" i="10"/>
  <c r="H224" i="10"/>
  <c r="O223" i="10"/>
  <c r="P223" i="10" s="1"/>
  <c r="N223" i="10"/>
  <c r="M223" i="10"/>
  <c r="L223" i="10"/>
  <c r="J223" i="10"/>
  <c r="I223" i="10"/>
  <c r="H223" i="10"/>
  <c r="O222" i="10"/>
  <c r="K222" i="10" s="1"/>
  <c r="N222" i="10"/>
  <c r="M222" i="10"/>
  <c r="L222" i="10"/>
  <c r="J222" i="10"/>
  <c r="I222" i="10"/>
  <c r="H222" i="10"/>
  <c r="O221" i="10"/>
  <c r="P221" i="10" s="1"/>
  <c r="N221" i="10"/>
  <c r="M221" i="10"/>
  <c r="L221" i="10"/>
  <c r="J221" i="10"/>
  <c r="I221" i="10"/>
  <c r="H221" i="10"/>
  <c r="O220" i="10"/>
  <c r="P220" i="10" s="1"/>
  <c r="N220" i="10"/>
  <c r="M220" i="10"/>
  <c r="L220" i="10"/>
  <c r="J220" i="10"/>
  <c r="I220" i="10"/>
  <c r="H220" i="10"/>
  <c r="O219" i="10"/>
  <c r="P219" i="10" s="1"/>
  <c r="N219" i="10"/>
  <c r="M219" i="10"/>
  <c r="L219" i="10"/>
  <c r="J219" i="10"/>
  <c r="I219" i="10"/>
  <c r="H219" i="10"/>
  <c r="O218" i="10"/>
  <c r="P218" i="10" s="1"/>
  <c r="N218" i="10"/>
  <c r="M218" i="10"/>
  <c r="L218" i="10"/>
  <c r="J218" i="10"/>
  <c r="I218" i="10"/>
  <c r="H218" i="10"/>
  <c r="O217" i="10"/>
  <c r="P217" i="10" s="1"/>
  <c r="N217" i="10"/>
  <c r="M217" i="10"/>
  <c r="L217" i="10"/>
  <c r="J217" i="10"/>
  <c r="I217" i="10"/>
  <c r="H217" i="10"/>
  <c r="O216" i="10"/>
  <c r="K216" i="10" s="1"/>
  <c r="N216" i="10"/>
  <c r="M216" i="10"/>
  <c r="L216" i="10"/>
  <c r="J216" i="10"/>
  <c r="I216" i="10"/>
  <c r="H216" i="10"/>
  <c r="O215" i="10"/>
  <c r="P215" i="10" s="1"/>
  <c r="N215" i="10"/>
  <c r="M215" i="10"/>
  <c r="L215" i="10"/>
  <c r="J215" i="10"/>
  <c r="I215" i="10"/>
  <c r="H215" i="10"/>
  <c r="O214" i="10"/>
  <c r="K214" i="10" s="1"/>
  <c r="N214" i="10"/>
  <c r="M214" i="10"/>
  <c r="L214" i="10"/>
  <c r="J214" i="10"/>
  <c r="I214" i="10"/>
  <c r="H214" i="10"/>
  <c r="O213" i="10"/>
  <c r="P213" i="10" s="1"/>
  <c r="N213" i="10"/>
  <c r="M213" i="10"/>
  <c r="L213" i="10"/>
  <c r="J213" i="10"/>
  <c r="I213" i="10"/>
  <c r="H213" i="10"/>
  <c r="O212" i="10"/>
  <c r="K212" i="10" s="1"/>
  <c r="N212" i="10"/>
  <c r="M212" i="10"/>
  <c r="L212" i="10"/>
  <c r="J212" i="10"/>
  <c r="I212" i="10"/>
  <c r="H212" i="10"/>
  <c r="O211" i="10"/>
  <c r="K211" i="10" s="1"/>
  <c r="N211" i="10"/>
  <c r="M211" i="10"/>
  <c r="L211" i="10"/>
  <c r="J211" i="10"/>
  <c r="I211" i="10"/>
  <c r="H211" i="10"/>
  <c r="O210" i="10"/>
  <c r="K210" i="10" s="1"/>
  <c r="N210" i="10"/>
  <c r="M210" i="10"/>
  <c r="L210" i="10"/>
  <c r="J210" i="10"/>
  <c r="I210" i="10"/>
  <c r="H210" i="10"/>
  <c r="O209" i="10"/>
  <c r="P209" i="10" s="1"/>
  <c r="N209" i="10"/>
  <c r="M209" i="10"/>
  <c r="L209" i="10"/>
  <c r="J209" i="10"/>
  <c r="I209" i="10"/>
  <c r="H209" i="10"/>
  <c r="O208" i="10"/>
  <c r="P208" i="10" s="1"/>
  <c r="N208" i="10"/>
  <c r="M208" i="10"/>
  <c r="L208" i="10"/>
  <c r="J208" i="10"/>
  <c r="I208" i="10"/>
  <c r="H208" i="10"/>
  <c r="O207" i="10"/>
  <c r="P207" i="10" s="1"/>
  <c r="N207" i="10"/>
  <c r="M207" i="10"/>
  <c r="L207" i="10"/>
  <c r="J207" i="10"/>
  <c r="I207" i="10"/>
  <c r="H207" i="10"/>
  <c r="O206" i="10"/>
  <c r="P206" i="10" s="1"/>
  <c r="N206" i="10"/>
  <c r="M206" i="10"/>
  <c r="L206" i="10"/>
  <c r="J206" i="10"/>
  <c r="I206" i="10"/>
  <c r="H206" i="10"/>
  <c r="O205" i="10"/>
  <c r="P205" i="10" s="1"/>
  <c r="N205" i="10"/>
  <c r="M205" i="10"/>
  <c r="L205" i="10"/>
  <c r="J205" i="10"/>
  <c r="I205" i="10"/>
  <c r="H205" i="10"/>
  <c r="O204" i="10"/>
  <c r="N204" i="10"/>
  <c r="M204" i="10"/>
  <c r="L204" i="10"/>
  <c r="J204" i="10"/>
  <c r="I204" i="10"/>
  <c r="H204" i="10"/>
  <c r="O203" i="10"/>
  <c r="P203" i="10" s="1"/>
  <c r="N203" i="10"/>
  <c r="M203" i="10"/>
  <c r="L203" i="10"/>
  <c r="J203" i="10"/>
  <c r="I203" i="10"/>
  <c r="H203" i="10"/>
  <c r="O202" i="10"/>
  <c r="P202" i="10" s="1"/>
  <c r="N202" i="10"/>
  <c r="M202" i="10"/>
  <c r="L202" i="10"/>
  <c r="J202" i="10"/>
  <c r="I202" i="10"/>
  <c r="H202" i="10"/>
  <c r="O201" i="10"/>
  <c r="N201" i="10"/>
  <c r="M201" i="10"/>
  <c r="L201" i="10"/>
  <c r="J201" i="10"/>
  <c r="I201" i="10"/>
  <c r="H201" i="10"/>
  <c r="O200" i="10"/>
  <c r="K200" i="10" s="1"/>
  <c r="N200" i="10"/>
  <c r="M200" i="10"/>
  <c r="L200" i="10"/>
  <c r="J200" i="10"/>
  <c r="I200" i="10"/>
  <c r="H200" i="10"/>
  <c r="O199" i="10"/>
  <c r="P199" i="10" s="1"/>
  <c r="N199" i="10"/>
  <c r="M199" i="10"/>
  <c r="L199" i="10"/>
  <c r="J199" i="10"/>
  <c r="I199" i="10"/>
  <c r="H199" i="10"/>
  <c r="O198" i="10"/>
  <c r="N198" i="10"/>
  <c r="M198" i="10"/>
  <c r="L198" i="10"/>
  <c r="J198" i="10"/>
  <c r="I198" i="10"/>
  <c r="H198" i="10"/>
  <c r="O197" i="10"/>
  <c r="K197" i="10" s="1"/>
  <c r="N197" i="10"/>
  <c r="M197" i="10"/>
  <c r="L197" i="10"/>
  <c r="J197" i="10"/>
  <c r="I197" i="10"/>
  <c r="H197" i="10"/>
  <c r="O196" i="10"/>
  <c r="P196" i="10" s="1"/>
  <c r="N196" i="10"/>
  <c r="M196" i="10"/>
  <c r="L196" i="10"/>
  <c r="J196" i="10"/>
  <c r="I196" i="10"/>
  <c r="H196" i="10"/>
  <c r="O195" i="10"/>
  <c r="P195" i="10" s="1"/>
  <c r="N195" i="10"/>
  <c r="M195" i="10"/>
  <c r="L195" i="10"/>
  <c r="J195" i="10"/>
  <c r="I195" i="10"/>
  <c r="H195" i="10"/>
  <c r="O194" i="10"/>
  <c r="P194" i="10" s="1"/>
  <c r="N194" i="10"/>
  <c r="M194" i="10"/>
  <c r="L194" i="10"/>
  <c r="K194" i="10"/>
  <c r="J194" i="10"/>
  <c r="I194" i="10"/>
  <c r="H194" i="10"/>
  <c r="O193" i="10"/>
  <c r="K193" i="10" s="1"/>
  <c r="N193" i="10"/>
  <c r="M193" i="10"/>
  <c r="L193" i="10"/>
  <c r="J193" i="10"/>
  <c r="I193" i="10"/>
  <c r="H193" i="10"/>
  <c r="O192" i="10"/>
  <c r="P192" i="10" s="1"/>
  <c r="N192" i="10"/>
  <c r="M192" i="10"/>
  <c r="L192" i="10"/>
  <c r="J192" i="10"/>
  <c r="I192" i="10"/>
  <c r="H192" i="10"/>
  <c r="O191" i="10"/>
  <c r="P191" i="10" s="1"/>
  <c r="N191" i="10"/>
  <c r="M191" i="10"/>
  <c r="L191" i="10"/>
  <c r="J191" i="10"/>
  <c r="I191" i="10"/>
  <c r="H191" i="10"/>
  <c r="O190" i="10"/>
  <c r="P190" i="10" s="1"/>
  <c r="N190" i="10"/>
  <c r="M190" i="10"/>
  <c r="L190" i="10"/>
  <c r="J190" i="10"/>
  <c r="I190" i="10"/>
  <c r="H190" i="10"/>
  <c r="O189" i="10"/>
  <c r="P189" i="10" s="1"/>
  <c r="N189" i="10"/>
  <c r="M189" i="10"/>
  <c r="L189" i="10"/>
  <c r="J189" i="10"/>
  <c r="I189" i="10"/>
  <c r="H189" i="10"/>
  <c r="O188" i="10"/>
  <c r="P188" i="10" s="1"/>
  <c r="N188" i="10"/>
  <c r="M188" i="10"/>
  <c r="L188" i="10"/>
  <c r="J188" i="10"/>
  <c r="I188" i="10"/>
  <c r="H188" i="10"/>
  <c r="O187" i="10"/>
  <c r="P187" i="10" s="1"/>
  <c r="N187" i="10"/>
  <c r="M187" i="10"/>
  <c r="L187" i="10"/>
  <c r="J187" i="10"/>
  <c r="I187" i="10"/>
  <c r="H187" i="10"/>
  <c r="O186" i="10"/>
  <c r="P186" i="10" s="1"/>
  <c r="N186" i="10"/>
  <c r="M186" i="10"/>
  <c r="L186" i="10"/>
  <c r="J186" i="10"/>
  <c r="I186" i="10"/>
  <c r="H186" i="10"/>
  <c r="O185" i="10"/>
  <c r="P185" i="10" s="1"/>
  <c r="N185" i="10"/>
  <c r="M185" i="10"/>
  <c r="L185" i="10"/>
  <c r="K185" i="10"/>
  <c r="J185" i="10"/>
  <c r="I185" i="10"/>
  <c r="H185" i="10"/>
  <c r="O184" i="10"/>
  <c r="N184" i="10"/>
  <c r="M184" i="10"/>
  <c r="L184" i="10"/>
  <c r="J184" i="10"/>
  <c r="I184" i="10"/>
  <c r="H184" i="10"/>
  <c r="O183" i="10"/>
  <c r="P183" i="10" s="1"/>
  <c r="N183" i="10"/>
  <c r="M183" i="10"/>
  <c r="L183" i="10"/>
  <c r="J183" i="10"/>
  <c r="I183" i="10"/>
  <c r="H183" i="10"/>
  <c r="O182" i="10"/>
  <c r="K182" i="10" s="1"/>
  <c r="N182" i="10"/>
  <c r="M182" i="10"/>
  <c r="L182" i="10"/>
  <c r="J182" i="10"/>
  <c r="I182" i="10"/>
  <c r="H182" i="10"/>
  <c r="O181" i="10"/>
  <c r="P181" i="10" s="1"/>
  <c r="N181" i="10"/>
  <c r="M181" i="10"/>
  <c r="L181" i="10"/>
  <c r="J181" i="10"/>
  <c r="I181" i="10"/>
  <c r="H181" i="10"/>
  <c r="O180" i="10"/>
  <c r="P180" i="10" s="1"/>
  <c r="N180" i="10"/>
  <c r="M180" i="10"/>
  <c r="L180" i="10"/>
  <c r="J180" i="10"/>
  <c r="I180" i="10"/>
  <c r="H180" i="10"/>
  <c r="O179" i="10"/>
  <c r="P179" i="10" s="1"/>
  <c r="N179" i="10"/>
  <c r="M179" i="10"/>
  <c r="L179" i="10"/>
  <c r="J179" i="10"/>
  <c r="I179" i="10"/>
  <c r="H179" i="10"/>
  <c r="O178" i="10"/>
  <c r="K178" i="10" s="1"/>
  <c r="N178" i="10"/>
  <c r="M178" i="10"/>
  <c r="L178" i="10"/>
  <c r="J178" i="10"/>
  <c r="I178" i="10"/>
  <c r="H178" i="10"/>
  <c r="O177" i="10"/>
  <c r="P177" i="10" s="1"/>
  <c r="N177" i="10"/>
  <c r="M177" i="10"/>
  <c r="L177" i="10"/>
  <c r="J177" i="10"/>
  <c r="I177" i="10"/>
  <c r="H177" i="10"/>
  <c r="O176" i="10"/>
  <c r="K176" i="10" s="1"/>
  <c r="N176" i="10"/>
  <c r="M176" i="10"/>
  <c r="L176" i="10"/>
  <c r="J176" i="10"/>
  <c r="I176" i="10"/>
  <c r="H176" i="10"/>
  <c r="O175" i="10"/>
  <c r="P175" i="10" s="1"/>
  <c r="N175" i="10"/>
  <c r="M175" i="10"/>
  <c r="L175" i="10"/>
  <c r="J175" i="10"/>
  <c r="I175" i="10"/>
  <c r="H175" i="10"/>
  <c r="O174" i="10"/>
  <c r="P174" i="10" s="1"/>
  <c r="N174" i="10"/>
  <c r="M174" i="10"/>
  <c r="L174" i="10"/>
  <c r="J174" i="10"/>
  <c r="I174" i="10"/>
  <c r="H174" i="10"/>
  <c r="O173" i="10"/>
  <c r="K173" i="10" s="1"/>
  <c r="N173" i="10"/>
  <c r="M173" i="10"/>
  <c r="L173" i="10"/>
  <c r="J173" i="10"/>
  <c r="I173" i="10"/>
  <c r="H173" i="10"/>
  <c r="O172" i="10"/>
  <c r="N172" i="10"/>
  <c r="M172" i="10"/>
  <c r="L172" i="10"/>
  <c r="J172" i="10"/>
  <c r="I172" i="10"/>
  <c r="H172" i="10"/>
  <c r="O171" i="10"/>
  <c r="K171" i="10" s="1"/>
  <c r="N171" i="10"/>
  <c r="M171" i="10"/>
  <c r="L171" i="10"/>
  <c r="J171" i="10"/>
  <c r="I171" i="10"/>
  <c r="H171" i="10"/>
  <c r="O170" i="10"/>
  <c r="P170" i="10" s="1"/>
  <c r="N170" i="10"/>
  <c r="M170" i="10"/>
  <c r="L170" i="10"/>
  <c r="J170" i="10"/>
  <c r="I170" i="10"/>
  <c r="H170" i="10"/>
  <c r="O169" i="10"/>
  <c r="P169" i="10" s="1"/>
  <c r="N169" i="10"/>
  <c r="M169" i="10"/>
  <c r="L169" i="10"/>
  <c r="J169" i="10"/>
  <c r="I169" i="10"/>
  <c r="H169" i="10"/>
  <c r="O168" i="10"/>
  <c r="P168" i="10" s="1"/>
  <c r="N168" i="10"/>
  <c r="M168" i="10"/>
  <c r="L168" i="10"/>
  <c r="J168" i="10"/>
  <c r="I168" i="10"/>
  <c r="H168" i="10"/>
  <c r="O167" i="10"/>
  <c r="P167" i="10" s="1"/>
  <c r="N167" i="10"/>
  <c r="M167" i="10"/>
  <c r="L167" i="10"/>
  <c r="J167" i="10"/>
  <c r="I167" i="10"/>
  <c r="H167" i="10"/>
  <c r="O166" i="10"/>
  <c r="K166" i="10" s="1"/>
  <c r="N166" i="10"/>
  <c r="M166" i="10"/>
  <c r="L166" i="10"/>
  <c r="J166" i="10"/>
  <c r="I166" i="10"/>
  <c r="H166" i="10"/>
  <c r="O165" i="10"/>
  <c r="K165" i="10" s="1"/>
  <c r="N165" i="10"/>
  <c r="M165" i="10"/>
  <c r="L165" i="10"/>
  <c r="J165" i="10"/>
  <c r="I165" i="10"/>
  <c r="H165" i="10"/>
  <c r="O164" i="10"/>
  <c r="N164" i="10"/>
  <c r="M164" i="10"/>
  <c r="L164" i="10"/>
  <c r="J164" i="10"/>
  <c r="I164" i="10"/>
  <c r="H164" i="10"/>
  <c r="O163" i="10"/>
  <c r="P163" i="10" s="1"/>
  <c r="N163" i="10"/>
  <c r="M163" i="10"/>
  <c r="L163" i="10"/>
  <c r="J163" i="10"/>
  <c r="I163" i="10"/>
  <c r="H163" i="10"/>
  <c r="O162" i="10"/>
  <c r="K162" i="10" s="1"/>
  <c r="N162" i="10"/>
  <c r="M162" i="10"/>
  <c r="L162" i="10"/>
  <c r="J162" i="10"/>
  <c r="I162" i="10"/>
  <c r="H162" i="10"/>
  <c r="O161" i="10"/>
  <c r="P161" i="10" s="1"/>
  <c r="N161" i="10"/>
  <c r="M161" i="10"/>
  <c r="L161" i="10"/>
  <c r="J161" i="10"/>
  <c r="I161" i="10"/>
  <c r="H161" i="10"/>
  <c r="O160" i="10"/>
  <c r="P160" i="10" s="1"/>
  <c r="N160" i="10"/>
  <c r="M160" i="10"/>
  <c r="L160" i="10"/>
  <c r="J160" i="10"/>
  <c r="I160" i="10"/>
  <c r="H160" i="10"/>
  <c r="O159" i="10"/>
  <c r="P159" i="10" s="1"/>
  <c r="N159" i="10"/>
  <c r="M159" i="10"/>
  <c r="L159" i="10"/>
  <c r="J159" i="10"/>
  <c r="I159" i="10"/>
  <c r="H159" i="10"/>
  <c r="O158" i="10"/>
  <c r="K158" i="10" s="1"/>
  <c r="N158" i="10"/>
  <c r="M158" i="10"/>
  <c r="L158" i="10"/>
  <c r="J158" i="10"/>
  <c r="I158" i="10"/>
  <c r="H158" i="10"/>
  <c r="O157" i="10"/>
  <c r="P157" i="10" s="1"/>
  <c r="N157" i="10"/>
  <c r="M157" i="10"/>
  <c r="L157" i="10"/>
  <c r="J157" i="10"/>
  <c r="I157" i="10"/>
  <c r="H157" i="10"/>
  <c r="O156" i="10"/>
  <c r="P156" i="10" s="1"/>
  <c r="N156" i="10"/>
  <c r="M156" i="10"/>
  <c r="L156" i="10"/>
  <c r="J156" i="10"/>
  <c r="I156" i="10"/>
  <c r="H156" i="10"/>
  <c r="O155" i="10"/>
  <c r="N155" i="10"/>
  <c r="M155" i="10"/>
  <c r="L155" i="10"/>
  <c r="J155" i="10"/>
  <c r="I155" i="10"/>
  <c r="H155" i="10"/>
  <c r="O154" i="10"/>
  <c r="P154" i="10" s="1"/>
  <c r="N154" i="10"/>
  <c r="M154" i="10"/>
  <c r="L154" i="10"/>
  <c r="J154" i="10"/>
  <c r="I154" i="10"/>
  <c r="H154" i="10"/>
  <c r="O153" i="10"/>
  <c r="N153" i="10"/>
  <c r="M153" i="10"/>
  <c r="L153" i="10"/>
  <c r="J153" i="10"/>
  <c r="I153" i="10"/>
  <c r="H153" i="10"/>
  <c r="O152" i="10"/>
  <c r="K152" i="10" s="1"/>
  <c r="N152" i="10"/>
  <c r="M152" i="10"/>
  <c r="L152" i="10"/>
  <c r="J152" i="10"/>
  <c r="I152" i="10"/>
  <c r="H152" i="10"/>
  <c r="O151" i="10"/>
  <c r="P151" i="10" s="1"/>
  <c r="N151" i="10"/>
  <c r="M151" i="10"/>
  <c r="L151" i="10"/>
  <c r="K151" i="10"/>
  <c r="J151" i="10"/>
  <c r="I151" i="10"/>
  <c r="H151" i="10"/>
  <c r="O150" i="10"/>
  <c r="K150" i="10" s="1"/>
  <c r="N150" i="10"/>
  <c r="M150" i="10"/>
  <c r="L150" i="10"/>
  <c r="J150" i="10"/>
  <c r="I150" i="10"/>
  <c r="H150" i="10"/>
  <c r="O149" i="10"/>
  <c r="K149" i="10" s="1"/>
  <c r="N149" i="10"/>
  <c r="M149" i="10"/>
  <c r="L149" i="10"/>
  <c r="J149" i="10"/>
  <c r="I149" i="10"/>
  <c r="H149" i="10"/>
  <c r="O148" i="10"/>
  <c r="K148" i="10" s="1"/>
  <c r="N148" i="10"/>
  <c r="M148" i="10"/>
  <c r="L148" i="10"/>
  <c r="J148" i="10"/>
  <c r="I148" i="10"/>
  <c r="H148" i="10"/>
  <c r="O147" i="10"/>
  <c r="N147" i="10"/>
  <c r="M147" i="10"/>
  <c r="L147" i="10"/>
  <c r="J147" i="10"/>
  <c r="I147" i="10"/>
  <c r="H147" i="10"/>
  <c r="O146" i="10"/>
  <c r="P146" i="10" s="1"/>
  <c r="N146" i="10"/>
  <c r="M146" i="10"/>
  <c r="L146" i="10"/>
  <c r="J146" i="10"/>
  <c r="I146" i="10"/>
  <c r="H146" i="10"/>
  <c r="O145" i="10"/>
  <c r="K145" i="10" s="1"/>
  <c r="N145" i="10"/>
  <c r="M145" i="10"/>
  <c r="L145" i="10"/>
  <c r="J145" i="10"/>
  <c r="I145" i="10"/>
  <c r="H145" i="10"/>
  <c r="O144" i="10"/>
  <c r="N144" i="10"/>
  <c r="M144" i="10"/>
  <c r="L144" i="10"/>
  <c r="J144" i="10"/>
  <c r="I144" i="10"/>
  <c r="H144" i="10"/>
  <c r="O143" i="10"/>
  <c r="P143" i="10" s="1"/>
  <c r="N143" i="10"/>
  <c r="M143" i="10"/>
  <c r="L143" i="10"/>
  <c r="J143" i="10"/>
  <c r="I143" i="10"/>
  <c r="H143" i="10"/>
  <c r="O142" i="10"/>
  <c r="K142" i="10" s="1"/>
  <c r="N142" i="10"/>
  <c r="M142" i="10"/>
  <c r="L142" i="10"/>
  <c r="J142" i="10"/>
  <c r="I142" i="10"/>
  <c r="H142" i="10"/>
  <c r="O141" i="10"/>
  <c r="P141" i="10" s="1"/>
  <c r="N141" i="10"/>
  <c r="M141" i="10"/>
  <c r="L141" i="10"/>
  <c r="J141" i="10"/>
  <c r="I141" i="10"/>
  <c r="H141" i="10"/>
  <c r="O140" i="10"/>
  <c r="P140" i="10" s="1"/>
  <c r="N140" i="10"/>
  <c r="M140" i="10"/>
  <c r="L140" i="10"/>
  <c r="J140" i="10"/>
  <c r="I140" i="10"/>
  <c r="H140" i="10"/>
  <c r="O139" i="10"/>
  <c r="P139" i="10" s="1"/>
  <c r="N139" i="10"/>
  <c r="M139" i="10"/>
  <c r="L139" i="10"/>
  <c r="J139" i="10"/>
  <c r="I139" i="10"/>
  <c r="H139" i="10"/>
  <c r="O138" i="10"/>
  <c r="P138" i="10" s="1"/>
  <c r="N138" i="10"/>
  <c r="M138" i="10"/>
  <c r="L138" i="10"/>
  <c r="J138" i="10"/>
  <c r="I138" i="10"/>
  <c r="H138" i="10"/>
  <c r="O137" i="10"/>
  <c r="P137" i="10" s="1"/>
  <c r="N137" i="10"/>
  <c r="M137" i="10"/>
  <c r="L137" i="10"/>
  <c r="J137" i="10"/>
  <c r="I137" i="10"/>
  <c r="H137" i="10"/>
  <c r="O136" i="10"/>
  <c r="P136" i="10" s="1"/>
  <c r="N136" i="10"/>
  <c r="M136" i="10"/>
  <c r="L136" i="10"/>
  <c r="J136" i="10"/>
  <c r="I136" i="10"/>
  <c r="H136" i="10"/>
  <c r="O135" i="10"/>
  <c r="N135" i="10"/>
  <c r="M135" i="10"/>
  <c r="L135" i="10"/>
  <c r="J135" i="10"/>
  <c r="I135" i="10"/>
  <c r="H135" i="10"/>
  <c r="O134" i="10"/>
  <c r="K134" i="10" s="1"/>
  <c r="N134" i="10"/>
  <c r="M134" i="10"/>
  <c r="L134" i="10"/>
  <c r="J134" i="10"/>
  <c r="I134" i="10"/>
  <c r="H134" i="10"/>
  <c r="O133" i="10"/>
  <c r="P133" i="10" s="1"/>
  <c r="N133" i="10"/>
  <c r="M133" i="10"/>
  <c r="L133" i="10"/>
  <c r="J133" i="10"/>
  <c r="I133" i="10"/>
  <c r="H133" i="10"/>
  <c r="O132" i="10"/>
  <c r="N132" i="10"/>
  <c r="M132" i="10"/>
  <c r="L132" i="10"/>
  <c r="J132" i="10"/>
  <c r="I132" i="10"/>
  <c r="H132" i="10"/>
  <c r="O131" i="10"/>
  <c r="K131" i="10" s="1"/>
  <c r="N131" i="10"/>
  <c r="M131" i="10"/>
  <c r="L131" i="10"/>
  <c r="J131" i="10"/>
  <c r="I131" i="10"/>
  <c r="H131" i="10"/>
  <c r="O130" i="10"/>
  <c r="K130" i="10" s="1"/>
  <c r="N130" i="10"/>
  <c r="M130" i="10"/>
  <c r="L130" i="10"/>
  <c r="J130" i="10"/>
  <c r="I130" i="10"/>
  <c r="H130" i="10"/>
  <c r="O129" i="10"/>
  <c r="N129" i="10"/>
  <c r="M129" i="10"/>
  <c r="L129" i="10"/>
  <c r="J129" i="10"/>
  <c r="I129" i="10"/>
  <c r="H129" i="10"/>
  <c r="O128" i="10"/>
  <c r="P128" i="10" s="1"/>
  <c r="N128" i="10"/>
  <c r="M128" i="10"/>
  <c r="L128" i="10"/>
  <c r="J128" i="10"/>
  <c r="I128" i="10"/>
  <c r="H128" i="10"/>
  <c r="O127" i="10"/>
  <c r="K127" i="10" s="1"/>
  <c r="N127" i="10"/>
  <c r="M127" i="10"/>
  <c r="L127" i="10"/>
  <c r="J127" i="10"/>
  <c r="I127" i="10"/>
  <c r="H127" i="10"/>
  <c r="O126" i="10"/>
  <c r="N126" i="10"/>
  <c r="M126" i="10"/>
  <c r="L126" i="10"/>
  <c r="J126" i="10"/>
  <c r="I126" i="10"/>
  <c r="H126" i="10"/>
  <c r="O125" i="10"/>
  <c r="P125" i="10" s="1"/>
  <c r="N125" i="10"/>
  <c r="M125" i="10"/>
  <c r="L125" i="10"/>
  <c r="J125" i="10"/>
  <c r="I125" i="10"/>
  <c r="H125" i="10"/>
  <c r="O124" i="10"/>
  <c r="K124" i="10" s="1"/>
  <c r="N124" i="10"/>
  <c r="M124" i="10"/>
  <c r="L124" i="10"/>
  <c r="J124" i="10"/>
  <c r="I124" i="10"/>
  <c r="H124" i="10"/>
  <c r="O123" i="10"/>
  <c r="P123" i="10" s="1"/>
  <c r="N123" i="10"/>
  <c r="M123" i="10"/>
  <c r="L123" i="10"/>
  <c r="K123" i="10"/>
  <c r="J123" i="10"/>
  <c r="I123" i="10"/>
  <c r="H123" i="10"/>
  <c r="O122" i="10"/>
  <c r="P122" i="10" s="1"/>
  <c r="N122" i="10"/>
  <c r="M122" i="10"/>
  <c r="L122" i="10"/>
  <c r="J122" i="10"/>
  <c r="I122" i="10"/>
  <c r="H122" i="10"/>
  <c r="O121" i="10"/>
  <c r="P121" i="10" s="1"/>
  <c r="N121" i="10"/>
  <c r="M121" i="10"/>
  <c r="L121" i="10"/>
  <c r="J121" i="10"/>
  <c r="I121" i="10"/>
  <c r="H121" i="10"/>
  <c r="O120" i="10"/>
  <c r="K120" i="10" s="1"/>
  <c r="N120" i="10"/>
  <c r="M120" i="10"/>
  <c r="L120" i="10"/>
  <c r="J120" i="10"/>
  <c r="I120" i="10"/>
  <c r="H120" i="10"/>
  <c r="O119" i="10"/>
  <c r="P119" i="10" s="1"/>
  <c r="N119" i="10"/>
  <c r="M119" i="10"/>
  <c r="L119" i="10"/>
  <c r="J119" i="10"/>
  <c r="I119" i="10"/>
  <c r="H119" i="10"/>
  <c r="O118" i="10"/>
  <c r="N118" i="10"/>
  <c r="M118" i="10"/>
  <c r="L118" i="10"/>
  <c r="J118" i="10"/>
  <c r="I118" i="10"/>
  <c r="H118" i="10"/>
  <c r="O117" i="10"/>
  <c r="P117" i="10" s="1"/>
  <c r="N117" i="10"/>
  <c r="M117" i="10"/>
  <c r="L117" i="10"/>
  <c r="J117" i="10"/>
  <c r="I117" i="10"/>
  <c r="H117" i="10"/>
  <c r="O116" i="10"/>
  <c r="P116" i="10" s="1"/>
  <c r="N116" i="10"/>
  <c r="M116" i="10"/>
  <c r="L116" i="10"/>
  <c r="J116" i="10"/>
  <c r="I116" i="10"/>
  <c r="H116" i="10"/>
  <c r="O115" i="10"/>
  <c r="P115" i="10" s="1"/>
  <c r="N115" i="10"/>
  <c r="M115" i="10"/>
  <c r="L115" i="10"/>
  <c r="K115" i="10"/>
  <c r="J115" i="10"/>
  <c r="I115" i="10"/>
  <c r="H115" i="10"/>
  <c r="O114" i="10"/>
  <c r="K114" i="10" s="1"/>
  <c r="N114" i="10"/>
  <c r="M114" i="10"/>
  <c r="L114" i="10"/>
  <c r="J114" i="10"/>
  <c r="I114" i="10"/>
  <c r="H114" i="10"/>
  <c r="O113" i="10"/>
  <c r="K113" i="10" s="1"/>
  <c r="N113" i="10"/>
  <c r="M113" i="10"/>
  <c r="L113" i="10"/>
  <c r="J113" i="10"/>
  <c r="I113" i="10"/>
  <c r="H113" i="10"/>
  <c r="O112" i="10"/>
  <c r="P112" i="10" s="1"/>
  <c r="N112" i="10"/>
  <c r="M112" i="10"/>
  <c r="L112" i="10"/>
  <c r="J112" i="10"/>
  <c r="I112" i="10"/>
  <c r="H112" i="10"/>
  <c r="O111" i="10"/>
  <c r="P111" i="10" s="1"/>
  <c r="N111" i="10"/>
  <c r="M111" i="10"/>
  <c r="L111" i="10"/>
  <c r="J111" i="10"/>
  <c r="I111" i="10"/>
  <c r="H111" i="10"/>
  <c r="O110" i="10"/>
  <c r="P110" i="10" s="1"/>
  <c r="N110" i="10"/>
  <c r="M110" i="10"/>
  <c r="L110" i="10"/>
  <c r="J110" i="10"/>
  <c r="I110" i="10"/>
  <c r="H110" i="10"/>
  <c r="O109" i="10"/>
  <c r="K109" i="10" s="1"/>
  <c r="N109" i="10"/>
  <c r="M109" i="10"/>
  <c r="L109" i="10"/>
  <c r="J109" i="10"/>
  <c r="I109" i="10"/>
  <c r="H109" i="10"/>
  <c r="O108" i="10"/>
  <c r="P108" i="10" s="1"/>
  <c r="N108" i="10"/>
  <c r="M108" i="10"/>
  <c r="L108" i="10"/>
  <c r="J108" i="10"/>
  <c r="I108" i="10"/>
  <c r="H108" i="10"/>
  <c r="O107" i="10"/>
  <c r="K107" i="10" s="1"/>
  <c r="N107" i="10"/>
  <c r="M107" i="10"/>
  <c r="L107" i="10"/>
  <c r="J107" i="10"/>
  <c r="I107" i="10"/>
  <c r="H107" i="10"/>
  <c r="O106" i="10"/>
  <c r="N106" i="10"/>
  <c r="M106" i="10"/>
  <c r="L106" i="10"/>
  <c r="J106" i="10"/>
  <c r="I106" i="10"/>
  <c r="H106" i="10"/>
  <c r="O105" i="10"/>
  <c r="P105" i="10" s="1"/>
  <c r="N105" i="10"/>
  <c r="M105" i="10"/>
  <c r="L105" i="10"/>
  <c r="J105" i="10"/>
  <c r="I105" i="10"/>
  <c r="H105" i="10"/>
  <c r="O104" i="10"/>
  <c r="P104" i="10" s="1"/>
  <c r="N104" i="10"/>
  <c r="M104" i="10"/>
  <c r="L104" i="10"/>
  <c r="J104" i="10"/>
  <c r="I104" i="10"/>
  <c r="H104" i="10"/>
  <c r="O103" i="10"/>
  <c r="N103" i="10"/>
  <c r="M103" i="10"/>
  <c r="L103" i="10"/>
  <c r="J103" i="10"/>
  <c r="I103" i="10"/>
  <c r="H103" i="10"/>
  <c r="O102" i="10"/>
  <c r="K102" i="10" s="1"/>
  <c r="N102" i="10"/>
  <c r="M102" i="10"/>
  <c r="L102" i="10"/>
  <c r="J102" i="10"/>
  <c r="I102" i="10"/>
  <c r="H102" i="10"/>
  <c r="O101" i="10"/>
  <c r="P101" i="10" s="1"/>
  <c r="N101" i="10"/>
  <c r="M101" i="10"/>
  <c r="L101" i="10"/>
  <c r="J101" i="10"/>
  <c r="I101" i="10"/>
  <c r="H101" i="10"/>
  <c r="O100" i="10"/>
  <c r="P100" i="10" s="1"/>
  <c r="N100" i="10"/>
  <c r="M100" i="10"/>
  <c r="L100" i="10"/>
  <c r="J100" i="10"/>
  <c r="I100" i="10"/>
  <c r="H100" i="10"/>
  <c r="O99" i="10"/>
  <c r="P99" i="10" s="1"/>
  <c r="N99" i="10"/>
  <c r="M99" i="10"/>
  <c r="L99" i="10"/>
  <c r="J99" i="10"/>
  <c r="I99" i="10"/>
  <c r="H99" i="10"/>
  <c r="O98" i="10"/>
  <c r="P98" i="10" s="1"/>
  <c r="N98" i="10"/>
  <c r="M98" i="10"/>
  <c r="L98" i="10"/>
  <c r="J98" i="10"/>
  <c r="I98" i="10"/>
  <c r="H98" i="10"/>
  <c r="O97" i="10"/>
  <c r="P97" i="10" s="1"/>
  <c r="N97" i="10"/>
  <c r="M97" i="10"/>
  <c r="L97" i="10"/>
  <c r="J97" i="10"/>
  <c r="I97" i="10"/>
  <c r="H97" i="10"/>
  <c r="O96" i="10"/>
  <c r="P96" i="10" s="1"/>
  <c r="N96" i="10"/>
  <c r="M96" i="10"/>
  <c r="L96" i="10"/>
  <c r="J96" i="10"/>
  <c r="I96" i="10"/>
  <c r="H96" i="10"/>
  <c r="O95" i="10"/>
  <c r="K95" i="10" s="1"/>
  <c r="N95" i="10"/>
  <c r="M95" i="10"/>
  <c r="L95" i="10"/>
  <c r="J95" i="10"/>
  <c r="I95" i="10"/>
  <c r="H95" i="10"/>
  <c r="O94" i="10"/>
  <c r="P94" i="10" s="1"/>
  <c r="N94" i="10"/>
  <c r="M94" i="10"/>
  <c r="L94" i="10"/>
  <c r="J94" i="10"/>
  <c r="I94" i="10"/>
  <c r="H94" i="10"/>
  <c r="O93" i="10"/>
  <c r="P93" i="10" s="1"/>
  <c r="N93" i="10"/>
  <c r="M93" i="10"/>
  <c r="L93" i="10"/>
  <c r="J93" i="10"/>
  <c r="I93" i="10"/>
  <c r="H93" i="10"/>
  <c r="O92" i="10"/>
  <c r="P92" i="10" s="1"/>
  <c r="N92" i="10"/>
  <c r="M92" i="10"/>
  <c r="L92" i="10"/>
  <c r="J92" i="10"/>
  <c r="I92" i="10"/>
  <c r="H92" i="10"/>
  <c r="O91" i="10"/>
  <c r="P91" i="10" s="1"/>
  <c r="N91" i="10"/>
  <c r="M91" i="10"/>
  <c r="L91" i="10"/>
  <c r="J91" i="10"/>
  <c r="I91" i="10"/>
  <c r="H91" i="10"/>
  <c r="O90" i="10"/>
  <c r="P90" i="10" s="1"/>
  <c r="N90" i="10"/>
  <c r="M90" i="10"/>
  <c r="L90" i="10"/>
  <c r="J90" i="10"/>
  <c r="I90" i="10"/>
  <c r="H90" i="10"/>
  <c r="O89" i="10"/>
  <c r="N89" i="10"/>
  <c r="M89" i="10"/>
  <c r="L89" i="10"/>
  <c r="J89" i="10"/>
  <c r="I89" i="10"/>
  <c r="H89" i="10"/>
  <c r="O88" i="10"/>
  <c r="K88" i="10" s="1"/>
  <c r="N88" i="10"/>
  <c r="M88" i="10"/>
  <c r="L88" i="10"/>
  <c r="J88" i="10"/>
  <c r="I88" i="10"/>
  <c r="H88" i="10"/>
  <c r="O87" i="10"/>
  <c r="P87" i="10" s="1"/>
  <c r="N87" i="10"/>
  <c r="M87" i="10"/>
  <c r="L87" i="10"/>
  <c r="J87" i="10"/>
  <c r="I87" i="10"/>
  <c r="H87" i="10"/>
  <c r="O86" i="10"/>
  <c r="K86" i="10" s="1"/>
  <c r="N86" i="10"/>
  <c r="M86" i="10"/>
  <c r="L86" i="10"/>
  <c r="J86" i="10"/>
  <c r="I86" i="10"/>
  <c r="H86" i="10"/>
  <c r="O85" i="10"/>
  <c r="P85" i="10" s="1"/>
  <c r="N85" i="10"/>
  <c r="M85" i="10"/>
  <c r="L85" i="10"/>
  <c r="J85" i="10"/>
  <c r="I85" i="10"/>
  <c r="H85" i="10"/>
  <c r="O84" i="10"/>
  <c r="P84" i="10" s="1"/>
  <c r="N84" i="10"/>
  <c r="M84" i="10"/>
  <c r="L84" i="10"/>
  <c r="J84" i="10"/>
  <c r="I84" i="10"/>
  <c r="H84" i="10"/>
  <c r="O83" i="10"/>
  <c r="P83" i="10" s="1"/>
  <c r="N83" i="10"/>
  <c r="M83" i="10"/>
  <c r="L83" i="10"/>
  <c r="J83" i="10"/>
  <c r="I83" i="10"/>
  <c r="H83" i="10"/>
  <c r="O82" i="10"/>
  <c r="K82" i="10" s="1"/>
  <c r="N82" i="10"/>
  <c r="M82" i="10"/>
  <c r="L82" i="10"/>
  <c r="J82" i="10"/>
  <c r="I82" i="10"/>
  <c r="H82" i="10"/>
  <c r="O81" i="10"/>
  <c r="P81" i="10" s="1"/>
  <c r="N81" i="10"/>
  <c r="M81" i="10"/>
  <c r="L81" i="10"/>
  <c r="J81" i="10"/>
  <c r="I81" i="10"/>
  <c r="H81" i="10"/>
  <c r="O80" i="10"/>
  <c r="K80" i="10" s="1"/>
  <c r="N80" i="10"/>
  <c r="M80" i="10"/>
  <c r="L80" i="10"/>
  <c r="J80" i="10"/>
  <c r="I80" i="10"/>
  <c r="H80" i="10"/>
  <c r="O79" i="10"/>
  <c r="P79" i="10" s="1"/>
  <c r="N79" i="10"/>
  <c r="M79" i="10"/>
  <c r="L79" i="10"/>
  <c r="K79" i="10"/>
  <c r="J79" i="10"/>
  <c r="I79" i="10"/>
  <c r="H79" i="10"/>
  <c r="O78" i="10"/>
  <c r="P78" i="10" s="1"/>
  <c r="N78" i="10"/>
  <c r="M78" i="10"/>
  <c r="L78" i="10"/>
  <c r="J78" i="10"/>
  <c r="I78" i="10"/>
  <c r="H78" i="10"/>
  <c r="O77" i="10"/>
  <c r="P77" i="10" s="1"/>
  <c r="N77" i="10"/>
  <c r="M77" i="10"/>
  <c r="L77" i="10"/>
  <c r="J77" i="10"/>
  <c r="I77" i="10"/>
  <c r="H77" i="10"/>
  <c r="O76" i="10"/>
  <c r="P76" i="10" s="1"/>
  <c r="N76" i="10"/>
  <c r="M76" i="10"/>
  <c r="L76" i="10"/>
  <c r="J76" i="10"/>
  <c r="I76" i="10"/>
  <c r="H76" i="10"/>
  <c r="O75" i="10"/>
  <c r="P75" i="10" s="1"/>
  <c r="N75" i="10"/>
  <c r="M75" i="10"/>
  <c r="L75" i="10"/>
  <c r="J75" i="10"/>
  <c r="I75" i="10"/>
  <c r="H75" i="10"/>
  <c r="O74" i="10"/>
  <c r="N74" i="10"/>
  <c r="M74" i="10"/>
  <c r="L74" i="10"/>
  <c r="J74" i="10"/>
  <c r="I74" i="10"/>
  <c r="H74" i="10"/>
  <c r="O73" i="10"/>
  <c r="N73" i="10"/>
  <c r="M73" i="10"/>
  <c r="L73" i="10"/>
  <c r="J73" i="10"/>
  <c r="I73" i="10"/>
  <c r="H73" i="10"/>
  <c r="O72" i="10"/>
  <c r="P72" i="10" s="1"/>
  <c r="N72" i="10"/>
  <c r="M72" i="10"/>
  <c r="L72" i="10"/>
  <c r="J72" i="10"/>
  <c r="I72" i="10"/>
  <c r="H72" i="10"/>
  <c r="O71" i="10"/>
  <c r="P71" i="10" s="1"/>
  <c r="N71" i="10"/>
  <c r="M71" i="10"/>
  <c r="L71" i="10"/>
  <c r="J71" i="10"/>
  <c r="I71" i="10"/>
  <c r="H71" i="10"/>
  <c r="O70" i="10"/>
  <c r="K70" i="10" s="1"/>
  <c r="N70" i="10"/>
  <c r="M70" i="10"/>
  <c r="L70" i="10"/>
  <c r="J70" i="10"/>
  <c r="I70" i="10"/>
  <c r="H70" i="10"/>
  <c r="O69" i="10"/>
  <c r="K69" i="10" s="1"/>
  <c r="N69" i="10"/>
  <c r="M69" i="10"/>
  <c r="L69" i="10"/>
  <c r="J69" i="10"/>
  <c r="I69" i="10"/>
  <c r="H69" i="10"/>
  <c r="O68" i="10"/>
  <c r="P68" i="10" s="1"/>
  <c r="N68" i="10"/>
  <c r="M68" i="10"/>
  <c r="L68" i="10"/>
  <c r="J68" i="10"/>
  <c r="I68" i="10"/>
  <c r="H68" i="10"/>
  <c r="O67" i="10"/>
  <c r="P67" i="10" s="1"/>
  <c r="N67" i="10"/>
  <c r="M67" i="10"/>
  <c r="L67" i="10"/>
  <c r="J67" i="10"/>
  <c r="I67" i="10"/>
  <c r="H67" i="10"/>
  <c r="O66" i="10"/>
  <c r="P66" i="10" s="1"/>
  <c r="N66" i="10"/>
  <c r="M66" i="10"/>
  <c r="L66" i="10"/>
  <c r="J66" i="10"/>
  <c r="I66" i="10"/>
  <c r="H66" i="10"/>
  <c r="O65" i="10"/>
  <c r="P65" i="10" s="1"/>
  <c r="N65" i="10"/>
  <c r="M65" i="10"/>
  <c r="L65" i="10"/>
  <c r="J65" i="10"/>
  <c r="I65" i="10"/>
  <c r="H65" i="10"/>
  <c r="O64" i="10"/>
  <c r="P64" i="10" s="1"/>
  <c r="N64" i="10"/>
  <c r="M64" i="10"/>
  <c r="L64" i="10"/>
  <c r="J64" i="10"/>
  <c r="I64" i="10"/>
  <c r="H64" i="10"/>
  <c r="O63" i="10"/>
  <c r="P63" i="10" s="1"/>
  <c r="N63" i="10"/>
  <c r="M63" i="10"/>
  <c r="L63" i="10"/>
  <c r="K63" i="10"/>
  <c r="J63" i="10"/>
  <c r="I63" i="10"/>
  <c r="H63" i="10"/>
  <c r="O62" i="10"/>
  <c r="K62" i="10" s="1"/>
  <c r="N62" i="10"/>
  <c r="M62" i="10"/>
  <c r="L62" i="10"/>
  <c r="J62" i="10"/>
  <c r="I62" i="10"/>
  <c r="H62" i="10"/>
  <c r="O61" i="10"/>
  <c r="P61" i="10" s="1"/>
  <c r="N61" i="10"/>
  <c r="M61" i="10"/>
  <c r="L61" i="10"/>
  <c r="J61" i="10"/>
  <c r="I61" i="10"/>
  <c r="H61" i="10"/>
  <c r="O60" i="10"/>
  <c r="P60" i="10" s="1"/>
  <c r="N60" i="10"/>
  <c r="M60" i="10"/>
  <c r="L60" i="10"/>
  <c r="J60" i="10"/>
  <c r="I60" i="10"/>
  <c r="H60" i="10"/>
  <c r="O59" i="10"/>
  <c r="P59" i="10" s="1"/>
  <c r="N59" i="10"/>
  <c r="M59" i="10"/>
  <c r="L59" i="10"/>
  <c r="K59" i="10"/>
  <c r="J59" i="10"/>
  <c r="I59" i="10"/>
  <c r="H59" i="10"/>
  <c r="O58" i="10"/>
  <c r="P58" i="10" s="1"/>
  <c r="N58" i="10"/>
  <c r="M58" i="10"/>
  <c r="L58" i="10"/>
  <c r="J58" i="10"/>
  <c r="I58" i="10"/>
  <c r="H58" i="10"/>
  <c r="O57" i="10"/>
  <c r="P57" i="10" s="1"/>
  <c r="N57" i="10"/>
  <c r="M57" i="10"/>
  <c r="L57" i="10"/>
  <c r="J57" i="10"/>
  <c r="I57" i="10"/>
  <c r="H57" i="10"/>
  <c r="O56" i="10"/>
  <c r="K56" i="10" s="1"/>
  <c r="N56" i="10"/>
  <c r="M56" i="10"/>
  <c r="L56" i="10"/>
  <c r="J56" i="10"/>
  <c r="I56" i="10"/>
  <c r="H56" i="10"/>
  <c r="O55" i="10"/>
  <c r="N55" i="10"/>
  <c r="M55" i="10"/>
  <c r="L55" i="10"/>
  <c r="J55" i="10"/>
  <c r="I55" i="10"/>
  <c r="H55" i="10"/>
  <c r="O54" i="10"/>
  <c r="K54" i="10" s="1"/>
  <c r="N54" i="10"/>
  <c r="M54" i="10"/>
  <c r="L54" i="10"/>
  <c r="J54" i="10"/>
  <c r="I54" i="10"/>
  <c r="H54" i="10"/>
  <c r="O53" i="10"/>
  <c r="P53" i="10" s="1"/>
  <c r="N53" i="10"/>
  <c r="M53" i="10"/>
  <c r="L53" i="10"/>
  <c r="J53" i="10"/>
  <c r="I53" i="10"/>
  <c r="H53" i="10"/>
  <c r="O52" i="10"/>
  <c r="P52" i="10" s="1"/>
  <c r="N52" i="10"/>
  <c r="M52" i="10"/>
  <c r="L52" i="10"/>
  <c r="J52" i="10"/>
  <c r="I52" i="10"/>
  <c r="H52" i="10"/>
  <c r="O51" i="10"/>
  <c r="K51" i="10" s="1"/>
  <c r="N51" i="10"/>
  <c r="M51" i="10"/>
  <c r="L51" i="10"/>
  <c r="J51" i="10"/>
  <c r="I51" i="10"/>
  <c r="H51" i="10"/>
  <c r="O50" i="10"/>
  <c r="P50" i="10" s="1"/>
  <c r="N50" i="10"/>
  <c r="M50" i="10"/>
  <c r="L50" i="10"/>
  <c r="J50" i="10"/>
  <c r="I50" i="10"/>
  <c r="H50" i="10"/>
  <c r="O49" i="10"/>
  <c r="N49" i="10"/>
  <c r="M49" i="10"/>
  <c r="L49" i="10"/>
  <c r="J49" i="10"/>
  <c r="I49" i="10"/>
  <c r="H49" i="10"/>
  <c r="O48" i="10"/>
  <c r="P48" i="10" s="1"/>
  <c r="N48" i="10"/>
  <c r="M48" i="10"/>
  <c r="L48" i="10"/>
  <c r="J48" i="10"/>
  <c r="I48" i="10"/>
  <c r="H48" i="10"/>
  <c r="O47" i="10"/>
  <c r="K47" i="10" s="1"/>
  <c r="N47" i="10"/>
  <c r="M47" i="10"/>
  <c r="L47" i="10"/>
  <c r="J47" i="10"/>
  <c r="I47" i="10"/>
  <c r="H47" i="10"/>
  <c r="O46" i="10"/>
  <c r="N46" i="10"/>
  <c r="M46" i="10"/>
  <c r="L46" i="10"/>
  <c r="J46" i="10"/>
  <c r="I46" i="10"/>
  <c r="H46" i="10"/>
  <c r="O45" i="10"/>
  <c r="P45" i="10" s="1"/>
  <c r="N45" i="10"/>
  <c r="M45" i="10"/>
  <c r="L45" i="10"/>
  <c r="J45" i="10"/>
  <c r="I45" i="10"/>
  <c r="H45" i="10"/>
  <c r="O44" i="10"/>
  <c r="K44" i="10" s="1"/>
  <c r="N44" i="10"/>
  <c r="M44" i="10"/>
  <c r="L44" i="10"/>
  <c r="J44" i="10"/>
  <c r="I44" i="10"/>
  <c r="H44" i="10"/>
  <c r="O43" i="10"/>
  <c r="P43" i="10" s="1"/>
  <c r="N43" i="10"/>
  <c r="M43" i="10"/>
  <c r="L43" i="10"/>
  <c r="J43" i="10"/>
  <c r="I43" i="10"/>
  <c r="H43" i="10"/>
  <c r="O42" i="10"/>
  <c r="P42" i="10" s="1"/>
  <c r="N42" i="10"/>
  <c r="M42" i="10"/>
  <c r="L42" i="10"/>
  <c r="J42" i="10"/>
  <c r="I42" i="10"/>
  <c r="H42" i="10"/>
  <c r="O41" i="10"/>
  <c r="P41" i="10" s="1"/>
  <c r="N41" i="10"/>
  <c r="M41" i="10"/>
  <c r="L41" i="10"/>
  <c r="J41" i="10"/>
  <c r="I41" i="10"/>
  <c r="H41" i="10"/>
  <c r="O40" i="10"/>
  <c r="P40" i="10" s="1"/>
  <c r="N40" i="10"/>
  <c r="M40" i="10"/>
  <c r="L40" i="10"/>
  <c r="J40" i="10"/>
  <c r="I40" i="10"/>
  <c r="H40" i="10"/>
  <c r="O39" i="10"/>
  <c r="P39" i="10" s="1"/>
  <c r="N39" i="10"/>
  <c r="M39" i="10"/>
  <c r="L39" i="10"/>
  <c r="J39" i="10"/>
  <c r="I39" i="10"/>
  <c r="H39" i="10"/>
  <c r="O38" i="10"/>
  <c r="K38" i="10" s="1"/>
  <c r="N38" i="10"/>
  <c r="M38" i="10"/>
  <c r="L38" i="10"/>
  <c r="J38" i="10"/>
  <c r="I38" i="10"/>
  <c r="H38" i="10"/>
  <c r="O37" i="10"/>
  <c r="P37" i="10" s="1"/>
  <c r="N37" i="10"/>
  <c r="M37" i="10"/>
  <c r="L37" i="10"/>
  <c r="J37" i="10"/>
  <c r="I37" i="10"/>
  <c r="H37" i="10"/>
  <c r="O36" i="10"/>
  <c r="P36" i="10" s="1"/>
  <c r="N36" i="10"/>
  <c r="M36" i="10"/>
  <c r="L36" i="10"/>
  <c r="K36" i="10"/>
  <c r="J36" i="10"/>
  <c r="I36" i="10"/>
  <c r="H36" i="10"/>
  <c r="O35" i="10"/>
  <c r="P35" i="10" s="1"/>
  <c r="N35" i="10"/>
  <c r="M35" i="10"/>
  <c r="L35" i="10"/>
  <c r="J35" i="10"/>
  <c r="I35" i="10"/>
  <c r="H35" i="10"/>
  <c r="O34" i="10"/>
  <c r="P34" i="10" s="1"/>
  <c r="N34" i="10"/>
  <c r="M34" i="10"/>
  <c r="L34" i="10"/>
  <c r="J34" i="10"/>
  <c r="I34" i="10"/>
  <c r="H34" i="10"/>
  <c r="O33" i="10"/>
  <c r="K33" i="10" s="1"/>
  <c r="N33" i="10"/>
  <c r="M33" i="10"/>
  <c r="L33" i="10"/>
  <c r="J33" i="10"/>
  <c r="I33" i="10"/>
  <c r="H33" i="10"/>
  <c r="O32" i="10"/>
  <c r="P32" i="10" s="1"/>
  <c r="N32" i="10"/>
  <c r="M32" i="10"/>
  <c r="L32" i="10"/>
  <c r="K32" i="10"/>
  <c r="J32" i="10"/>
  <c r="I32" i="10"/>
  <c r="H32" i="10"/>
  <c r="O31" i="10"/>
  <c r="N31" i="10"/>
  <c r="M31" i="10"/>
  <c r="L31" i="10"/>
  <c r="J31" i="10"/>
  <c r="I31" i="10"/>
  <c r="H31" i="10"/>
  <c r="O30" i="10"/>
  <c r="P30" i="10" s="1"/>
  <c r="N30" i="10"/>
  <c r="M30" i="10"/>
  <c r="L30" i="10"/>
  <c r="K30" i="10"/>
  <c r="J30" i="10"/>
  <c r="I30" i="10"/>
  <c r="H30" i="10"/>
  <c r="O29" i="10"/>
  <c r="K29" i="10" s="1"/>
  <c r="N29" i="10"/>
  <c r="M29" i="10"/>
  <c r="L29" i="10"/>
  <c r="J29" i="10"/>
  <c r="I29" i="10"/>
  <c r="H29" i="10"/>
  <c r="O28" i="10"/>
  <c r="N28" i="10"/>
  <c r="M28" i="10"/>
  <c r="L28" i="10"/>
  <c r="J28" i="10"/>
  <c r="I28" i="10"/>
  <c r="H28" i="10"/>
  <c r="O27" i="10"/>
  <c r="P27" i="10" s="1"/>
  <c r="N27" i="10"/>
  <c r="M27" i="10"/>
  <c r="L27" i="10"/>
  <c r="J27" i="10"/>
  <c r="I27" i="10"/>
  <c r="H27" i="10"/>
  <c r="O26" i="10"/>
  <c r="K26" i="10" s="1"/>
  <c r="N26" i="10"/>
  <c r="M26" i="10"/>
  <c r="L26" i="10"/>
  <c r="J26" i="10"/>
  <c r="I26" i="10"/>
  <c r="H26" i="10"/>
  <c r="O25" i="10"/>
  <c r="P25" i="10" s="1"/>
  <c r="N25" i="10"/>
  <c r="M25" i="10"/>
  <c r="L25" i="10"/>
  <c r="J25" i="10"/>
  <c r="I25" i="10"/>
  <c r="H25" i="10"/>
  <c r="O24" i="10"/>
  <c r="K24" i="10" s="1"/>
  <c r="N24" i="10"/>
  <c r="M24" i="10"/>
  <c r="L24" i="10"/>
  <c r="J24" i="10"/>
  <c r="I24" i="10"/>
  <c r="H24" i="10"/>
  <c r="O23" i="10"/>
  <c r="N23" i="10"/>
  <c r="M23" i="10"/>
  <c r="L23" i="10"/>
  <c r="J23" i="10"/>
  <c r="I23" i="10"/>
  <c r="H23" i="10"/>
  <c r="O22" i="10"/>
  <c r="K22" i="10" s="1"/>
  <c r="N22" i="10"/>
  <c r="M22" i="10"/>
  <c r="L22" i="10"/>
  <c r="J22" i="10"/>
  <c r="I22" i="10"/>
  <c r="H22" i="10"/>
  <c r="O21" i="10"/>
  <c r="P21" i="10" s="1"/>
  <c r="N21" i="10"/>
  <c r="M21" i="10"/>
  <c r="L21" i="10"/>
  <c r="J21" i="10"/>
  <c r="I21" i="10"/>
  <c r="H21" i="10"/>
  <c r="O20" i="10"/>
  <c r="P20" i="10" s="1"/>
  <c r="N20" i="10"/>
  <c r="M20" i="10"/>
  <c r="L20" i="10"/>
  <c r="J20" i="10"/>
  <c r="I20" i="10"/>
  <c r="H20" i="10"/>
  <c r="O19" i="10"/>
  <c r="K19" i="10" s="1"/>
  <c r="N19" i="10"/>
  <c r="M19" i="10"/>
  <c r="L19" i="10"/>
  <c r="J19" i="10"/>
  <c r="I19" i="10"/>
  <c r="H19" i="10"/>
  <c r="O18" i="10"/>
  <c r="P18" i="10" s="1"/>
  <c r="N18" i="10"/>
  <c r="M18" i="10"/>
  <c r="L18" i="10"/>
  <c r="J18" i="10"/>
  <c r="I18" i="10"/>
  <c r="H18" i="10"/>
  <c r="O17" i="10"/>
  <c r="P17" i="10" s="1"/>
  <c r="N17" i="10"/>
  <c r="M17" i="10"/>
  <c r="L17" i="10"/>
  <c r="J17" i="10"/>
  <c r="I17" i="10"/>
  <c r="H17" i="10"/>
  <c r="O16" i="10"/>
  <c r="K16" i="10" s="1"/>
  <c r="N16" i="10"/>
  <c r="M16" i="10"/>
  <c r="L16" i="10"/>
  <c r="J16" i="10"/>
  <c r="I16" i="10"/>
  <c r="H16" i="10"/>
  <c r="O15" i="10"/>
  <c r="K15" i="10" s="1"/>
  <c r="N15" i="10"/>
  <c r="M15" i="10"/>
  <c r="L15" i="10"/>
  <c r="J15" i="10"/>
  <c r="I15" i="10"/>
  <c r="H15" i="10"/>
  <c r="O14" i="10"/>
  <c r="P14" i="10" s="1"/>
  <c r="N14" i="10"/>
  <c r="M14" i="10"/>
  <c r="L14" i="10"/>
  <c r="K14" i="10"/>
  <c r="J14" i="10"/>
  <c r="I14" i="10"/>
  <c r="H14" i="10"/>
  <c r="O13" i="10"/>
  <c r="N13" i="10"/>
  <c r="M13" i="10"/>
  <c r="L13" i="10"/>
  <c r="J13" i="10"/>
  <c r="I13" i="10"/>
  <c r="H13" i="10"/>
  <c r="O12" i="10"/>
  <c r="P12" i="10" s="1"/>
  <c r="N12" i="10"/>
  <c r="M12" i="10"/>
  <c r="L12" i="10"/>
  <c r="J12" i="10"/>
  <c r="I12" i="10"/>
  <c r="H12" i="10"/>
  <c r="O11" i="10"/>
  <c r="P11" i="10" s="1"/>
  <c r="N11" i="10"/>
  <c r="M11" i="10"/>
  <c r="L11" i="10"/>
  <c r="K11" i="10"/>
  <c r="J11" i="10"/>
  <c r="I11" i="10"/>
  <c r="H11" i="10"/>
  <c r="O10" i="10"/>
  <c r="P10" i="10" s="1"/>
  <c r="N10" i="10"/>
  <c r="M10" i="10"/>
  <c r="L10" i="10"/>
  <c r="J10" i="10"/>
  <c r="I10" i="10"/>
  <c r="H10" i="10"/>
  <c r="O9" i="10"/>
  <c r="P9" i="10" s="1"/>
  <c r="N9" i="10"/>
  <c r="M9" i="10"/>
  <c r="L9" i="10"/>
  <c r="J9" i="10"/>
  <c r="I9" i="10"/>
  <c r="H9" i="10"/>
  <c r="O8" i="10"/>
  <c r="P8" i="10" s="1"/>
  <c r="N8" i="10"/>
  <c r="M8" i="10"/>
  <c r="L8" i="10"/>
  <c r="J8" i="10"/>
  <c r="I8" i="10"/>
  <c r="H8" i="10"/>
  <c r="O7" i="10"/>
  <c r="P7" i="10" s="1"/>
  <c r="N7" i="10"/>
  <c r="M7" i="10"/>
  <c r="L7" i="10"/>
  <c r="J7" i="10"/>
  <c r="I7" i="10"/>
  <c r="H7" i="10"/>
  <c r="O6" i="10"/>
  <c r="K6" i="10" s="1"/>
  <c r="N6" i="10"/>
  <c r="M6" i="10"/>
  <c r="L6" i="10"/>
  <c r="J6" i="10"/>
  <c r="I6" i="10"/>
  <c r="H6" i="10"/>
  <c r="O5" i="10"/>
  <c r="P5" i="10" s="1"/>
  <c r="N5" i="10"/>
  <c r="M5" i="10"/>
  <c r="L5" i="10"/>
  <c r="J5" i="10"/>
  <c r="I5" i="10"/>
  <c r="H5" i="10"/>
  <c r="O4" i="10"/>
  <c r="K4" i="10" s="1"/>
  <c r="N4" i="10"/>
  <c r="M4" i="10"/>
  <c r="L4" i="10"/>
  <c r="J4" i="10"/>
  <c r="I4" i="10"/>
  <c r="H4" i="10"/>
  <c r="O3" i="10"/>
  <c r="P3" i="10" s="1"/>
  <c r="N3" i="10"/>
  <c r="M3" i="10"/>
  <c r="L3" i="10"/>
  <c r="J3" i="10"/>
  <c r="I3" i="10"/>
  <c r="H3" i="10"/>
  <c r="O2" i="10"/>
  <c r="P2" i="10" s="1"/>
  <c r="N2" i="10"/>
  <c r="M2" i="10"/>
  <c r="L2" i="10"/>
  <c r="J2" i="10"/>
  <c r="I2" i="10"/>
  <c r="H2" i="10"/>
  <c r="G10" i="4"/>
  <c r="G5" i="4"/>
  <c r="B41" i="4"/>
  <c r="B40" i="4"/>
  <c r="G38" i="4"/>
  <c r="G37" i="4"/>
  <c r="G36" i="4"/>
  <c r="G35" i="4"/>
  <c r="G34" i="4"/>
  <c r="G33" i="4"/>
  <c r="G32" i="4"/>
  <c r="D33" i="4"/>
  <c r="C33" i="4"/>
  <c r="D32" i="4"/>
  <c r="C32" i="4"/>
  <c r="B15" i="4" a="1"/>
  <c r="F10" i="4"/>
  <c r="D5" i="4"/>
  <c r="E10" i="4" s="1"/>
  <c r="B5" i="4"/>
  <c r="P892" i="10" l="1"/>
  <c r="K199" i="10"/>
  <c r="K514" i="10"/>
  <c r="K767" i="10"/>
  <c r="K826" i="10"/>
  <c r="K1025" i="10"/>
  <c r="K105" i="10"/>
  <c r="K177" i="10"/>
  <c r="K353" i="10"/>
  <c r="K398" i="10"/>
  <c r="K840" i="10"/>
  <c r="K899" i="10"/>
  <c r="K34" i="10"/>
  <c r="K119" i="10"/>
  <c r="P308" i="10"/>
  <c r="K110" i="10"/>
  <c r="K380" i="10"/>
  <c r="K313" i="10"/>
  <c r="K642" i="10"/>
  <c r="K723" i="10"/>
  <c r="K52" i="10"/>
  <c r="K259" i="10"/>
  <c r="K394" i="10"/>
  <c r="P1008" i="10"/>
  <c r="P178" i="10"/>
  <c r="K116" i="10"/>
  <c r="K521" i="10"/>
  <c r="K973" i="10"/>
  <c r="K175" i="10"/>
  <c r="K648" i="10"/>
  <c r="P733" i="10"/>
  <c r="K40" i="10"/>
  <c r="K238" i="10"/>
  <c r="K481" i="10"/>
  <c r="K490" i="10"/>
  <c r="P837" i="10"/>
  <c r="K684" i="10"/>
  <c r="K702" i="10"/>
  <c r="K923" i="10"/>
  <c r="K67" i="10"/>
  <c r="K85" i="10"/>
  <c r="K400" i="10"/>
  <c r="K508" i="10"/>
  <c r="K811" i="10"/>
  <c r="K1088" i="10"/>
  <c r="P715" i="10"/>
  <c r="P831" i="10"/>
  <c r="P1006" i="10"/>
  <c r="P948" i="10"/>
  <c r="K532" i="10"/>
  <c r="K828" i="10"/>
  <c r="P890" i="10"/>
  <c r="K1003" i="10"/>
  <c r="P832" i="10"/>
  <c r="K100" i="10"/>
  <c r="K167" i="10"/>
  <c r="K537" i="10"/>
  <c r="P15" i="10"/>
  <c r="K225" i="10"/>
  <c r="K546" i="10"/>
  <c r="K820" i="10"/>
  <c r="K207" i="10"/>
  <c r="K274" i="10"/>
  <c r="K618" i="10"/>
  <c r="K744" i="10"/>
  <c r="K807" i="10"/>
  <c r="K78" i="10"/>
  <c r="K154" i="10"/>
  <c r="K163" i="10"/>
  <c r="K462" i="10"/>
  <c r="K533" i="10"/>
  <c r="K771" i="10"/>
  <c r="K851" i="10"/>
  <c r="K542" i="10"/>
  <c r="K578" i="10"/>
  <c r="K596" i="10"/>
  <c r="K1090" i="10"/>
  <c r="P812" i="10"/>
  <c r="P897" i="10"/>
  <c r="K477" i="10"/>
  <c r="P512" i="10"/>
  <c r="K602" i="10"/>
  <c r="K674" i="10"/>
  <c r="P1023" i="10"/>
  <c r="P176" i="10"/>
  <c r="P266" i="10"/>
  <c r="P342" i="10"/>
  <c r="K410" i="10"/>
  <c r="K791" i="10"/>
  <c r="K35" i="10"/>
  <c r="K285" i="10"/>
  <c r="K334" i="10"/>
  <c r="K138" i="10"/>
  <c r="K330" i="10"/>
  <c r="K174" i="10"/>
  <c r="P423" i="10"/>
  <c r="K464" i="10"/>
  <c r="K473" i="10"/>
  <c r="K818" i="10"/>
  <c r="K898" i="10"/>
  <c r="P974" i="10"/>
  <c r="P983" i="10"/>
  <c r="K1042" i="10"/>
  <c r="K18" i="10"/>
  <c r="K27" i="10"/>
  <c r="K272" i="10"/>
  <c r="K104" i="10"/>
  <c r="P698" i="10"/>
  <c r="K729" i="10"/>
  <c r="K804" i="10"/>
  <c r="K842" i="10"/>
  <c r="P996" i="10"/>
  <c r="K263" i="10"/>
  <c r="K404" i="10"/>
  <c r="K444" i="10"/>
  <c r="P829" i="10"/>
  <c r="P833" i="10"/>
  <c r="K1067" i="10"/>
  <c r="K87" i="10"/>
  <c r="P210" i="10"/>
  <c r="K506" i="10"/>
  <c r="K638" i="10"/>
  <c r="K743" i="10"/>
  <c r="K809" i="10"/>
  <c r="K865" i="10"/>
  <c r="K904" i="10"/>
  <c r="K993" i="10"/>
  <c r="P1076" i="10"/>
  <c r="K1094" i="10"/>
  <c r="K971" i="10"/>
  <c r="K83" i="10"/>
  <c r="K383" i="10"/>
  <c r="K392" i="10"/>
  <c r="P869" i="10"/>
  <c r="P1045" i="10"/>
  <c r="K1050" i="10"/>
  <c r="K682" i="10"/>
  <c r="K752" i="10"/>
  <c r="K48" i="10"/>
  <c r="K264" i="10"/>
  <c r="K277" i="10"/>
  <c r="K528" i="10"/>
  <c r="K634" i="10"/>
  <c r="K967" i="10"/>
  <c r="K1028" i="10"/>
  <c r="K1099" i="10"/>
  <c r="K511" i="10"/>
  <c r="K590" i="10"/>
  <c r="K621" i="10"/>
  <c r="K670" i="10"/>
  <c r="P801" i="10"/>
  <c r="K879" i="10"/>
  <c r="K914" i="10"/>
  <c r="P373" i="10"/>
  <c r="K705" i="10"/>
  <c r="K740" i="10"/>
  <c r="K784" i="10"/>
  <c r="P870" i="10"/>
  <c r="K875" i="10"/>
  <c r="P918" i="10"/>
  <c r="K981" i="10"/>
  <c r="P810" i="10"/>
  <c r="P577" i="10"/>
  <c r="P683" i="10"/>
  <c r="P486" i="10"/>
  <c r="P499" i="10"/>
  <c r="P675" i="10"/>
  <c r="P1012" i="10"/>
  <c r="K50" i="10"/>
  <c r="K72" i="10"/>
  <c r="P124" i="10"/>
  <c r="K213" i="10"/>
  <c r="P415" i="10"/>
  <c r="K456" i="10"/>
  <c r="K547" i="10"/>
  <c r="K680" i="10"/>
  <c r="K803" i="10"/>
  <c r="K969" i="10"/>
  <c r="K1039" i="10"/>
  <c r="P1083" i="10"/>
  <c r="P843" i="10"/>
  <c r="P107" i="10"/>
  <c r="K1075" i="10"/>
  <c r="P287" i="10"/>
  <c r="K112" i="10"/>
  <c r="K143" i="10"/>
  <c r="K368" i="10"/>
  <c r="K474" i="10"/>
  <c r="K487" i="10"/>
  <c r="K500" i="10"/>
  <c r="P534" i="10"/>
  <c r="K676" i="10"/>
  <c r="K689" i="10"/>
  <c r="K711" i="10"/>
  <c r="P845" i="10"/>
  <c r="K1013" i="10"/>
  <c r="K1022" i="10"/>
  <c r="K1026" i="10"/>
  <c r="K724" i="10"/>
  <c r="K894" i="10"/>
  <c r="K938" i="10"/>
  <c r="P406" i="10"/>
  <c r="P595" i="10"/>
  <c r="K355" i="10"/>
  <c r="K7" i="10"/>
  <c r="K205" i="10"/>
  <c r="K412" i="10"/>
  <c r="K539" i="10"/>
  <c r="K768" i="10"/>
  <c r="K1005" i="10"/>
  <c r="K1009" i="10"/>
  <c r="K1062" i="10"/>
  <c r="C11" i="4"/>
  <c r="P62" i="10"/>
  <c r="K218" i="10"/>
  <c r="K496" i="10"/>
  <c r="K552" i="10"/>
  <c r="K570" i="10"/>
  <c r="K170" i="10"/>
  <c r="K42" i="10"/>
  <c r="P526" i="10"/>
  <c r="K808" i="10"/>
  <c r="K535" i="10"/>
  <c r="K650" i="10"/>
  <c r="K659" i="10"/>
  <c r="K764" i="10"/>
  <c r="K846" i="10"/>
  <c r="P337" i="10"/>
  <c r="P741" i="10"/>
  <c r="P766" i="10"/>
  <c r="P927" i="10"/>
  <c r="P453" i="10"/>
  <c r="P158" i="10"/>
  <c r="P529" i="10"/>
  <c r="K1065" i="10"/>
  <c r="K1082" i="10"/>
  <c r="P945" i="10"/>
  <c r="P708" i="10"/>
  <c r="P1052" i="10"/>
  <c r="P325" i="10"/>
  <c r="P449" i="10"/>
  <c r="K360" i="10"/>
  <c r="P592" i="10"/>
  <c r="P746" i="10"/>
  <c r="K789" i="10"/>
  <c r="K847" i="10"/>
  <c r="K1010" i="10"/>
  <c r="P979" i="10"/>
  <c r="K1074" i="10"/>
  <c r="P171" i="10"/>
  <c r="P640" i="10"/>
  <c r="K1040" i="10"/>
  <c r="P720" i="10"/>
  <c r="P737" i="10"/>
  <c r="K159" i="10"/>
  <c r="P197" i="10"/>
  <c r="K559" i="10"/>
  <c r="K189" i="10"/>
  <c r="K343" i="10"/>
  <c r="K407" i="10"/>
  <c r="P428" i="10"/>
  <c r="K442" i="10"/>
  <c r="K471" i="10"/>
  <c r="K475" i="10"/>
  <c r="K509" i="10"/>
  <c r="K513" i="10"/>
  <c r="P742" i="10"/>
  <c r="K802" i="10"/>
  <c r="P980" i="10"/>
  <c r="K202" i="10"/>
  <c r="P244" i="10"/>
  <c r="K258" i="10"/>
  <c r="P300" i="10"/>
  <c r="K305" i="10"/>
  <c r="P322" i="10"/>
  <c r="K463" i="10"/>
  <c r="K467" i="10"/>
  <c r="K555" i="10"/>
  <c r="K641" i="10"/>
  <c r="K667" i="10"/>
  <c r="P687" i="10"/>
  <c r="K946" i="10"/>
  <c r="K43" i="10"/>
  <c r="K60" i="10"/>
  <c r="K90" i="10"/>
  <c r="K99" i="10"/>
  <c r="K335" i="10"/>
  <c r="P390" i="10"/>
  <c r="P679" i="10"/>
  <c r="K692" i="10"/>
  <c r="K751" i="10"/>
  <c r="P924" i="10"/>
  <c r="P972" i="10"/>
  <c r="P436" i="10"/>
  <c r="K501" i="10"/>
  <c r="K585" i="10"/>
  <c r="K589" i="10"/>
  <c r="K593" i="10"/>
  <c r="K747" i="10"/>
  <c r="K835" i="10"/>
  <c r="K929" i="10"/>
  <c r="K994" i="10"/>
  <c r="P331" i="10"/>
  <c r="P459" i="10"/>
  <c r="K1058" i="10"/>
  <c r="K1054" i="10"/>
  <c r="P275" i="10"/>
  <c r="P583" i="10"/>
  <c r="P770" i="10"/>
  <c r="P162" i="10"/>
  <c r="P817" i="10"/>
  <c r="P564" i="10"/>
  <c r="P581" i="10"/>
  <c r="P543" i="10"/>
  <c r="P790" i="10"/>
  <c r="P370" i="10"/>
  <c r="P556" i="10"/>
  <c r="P598" i="10"/>
  <c r="P668" i="10"/>
  <c r="K276" i="10"/>
  <c r="P468" i="10"/>
  <c r="K540" i="10"/>
  <c r="K561" i="10"/>
  <c r="K660" i="10"/>
  <c r="K681" i="10"/>
  <c r="K853" i="10"/>
  <c r="P943" i="10"/>
  <c r="K1004" i="10"/>
  <c r="K1059" i="10"/>
  <c r="P1071" i="10"/>
  <c r="P579" i="10"/>
  <c r="P703" i="10"/>
  <c r="P114" i="10"/>
  <c r="P762" i="10"/>
  <c r="P230" i="10"/>
  <c r="P755" i="10"/>
  <c r="P327" i="10"/>
  <c r="P82" i="10"/>
  <c r="P19" i="10"/>
  <c r="P719" i="10"/>
  <c r="P1016" i="10"/>
  <c r="P148" i="10"/>
  <c r="P448" i="10"/>
  <c r="P548" i="10"/>
  <c r="P574" i="10"/>
  <c r="P384" i="10"/>
  <c r="P880" i="10"/>
  <c r="P271" i="10"/>
  <c r="P722" i="10"/>
  <c r="P852" i="10"/>
  <c r="P848" i="10"/>
  <c r="K58" i="10"/>
  <c r="K234" i="10"/>
  <c r="K329" i="10"/>
  <c r="K465" i="10"/>
  <c r="K665" i="10"/>
  <c r="K825" i="10"/>
  <c r="K858" i="10"/>
  <c r="K1051" i="10"/>
  <c r="P127" i="10"/>
  <c r="P1089" i="10"/>
  <c r="P1093" i="10"/>
  <c r="C10" i="4"/>
  <c r="P16" i="10"/>
  <c r="P545" i="10"/>
  <c r="P796" i="10"/>
  <c r="P382" i="10"/>
  <c r="P211" i="10"/>
  <c r="P629" i="10"/>
  <c r="K3" i="10"/>
  <c r="K101" i="10"/>
  <c r="K749" i="10"/>
  <c r="P24" i="10"/>
  <c r="K71" i="10"/>
  <c r="P212" i="10"/>
  <c r="K281" i="10"/>
  <c r="P401" i="10"/>
  <c r="K910" i="10"/>
  <c r="P935" i="10"/>
  <c r="K1017" i="10"/>
  <c r="K1034" i="10"/>
  <c r="K1068" i="10"/>
  <c r="P774" i="10"/>
  <c r="P587" i="10"/>
  <c r="P29" i="10"/>
  <c r="P130" i="10"/>
  <c r="P165" i="10"/>
  <c r="K247" i="10"/>
  <c r="P358" i="10"/>
  <c r="K84" i="10"/>
  <c r="K273" i="10"/>
  <c r="P354" i="10"/>
  <c r="P461" i="10"/>
  <c r="K953" i="10"/>
  <c r="P173" i="10"/>
  <c r="P47" i="10"/>
  <c r="P269" i="10"/>
  <c r="K455" i="10"/>
  <c r="P466" i="10"/>
  <c r="P482" i="10"/>
  <c r="K495" i="10"/>
  <c r="P510" i="10"/>
  <c r="P562" i="10"/>
  <c r="K654" i="10"/>
  <c r="K658" i="10"/>
  <c r="P701" i="10"/>
  <c r="K713" i="10"/>
  <c r="K717" i="10"/>
  <c r="K776" i="10"/>
  <c r="K788" i="10"/>
  <c r="P815" i="10"/>
  <c r="K839" i="10"/>
  <c r="P850" i="10"/>
  <c r="P874" i="10"/>
  <c r="P926" i="10"/>
  <c r="P966" i="10"/>
  <c r="P978" i="10"/>
  <c r="P1038" i="10"/>
  <c r="K1086" i="10"/>
  <c r="P1030" i="10"/>
  <c r="P145" i="10"/>
  <c r="P376" i="10"/>
  <c r="P214" i="10"/>
  <c r="P222" i="10"/>
  <c r="P321" i="10"/>
  <c r="P340" i="10"/>
  <c r="P372" i="10"/>
  <c r="P387" i="10"/>
  <c r="P427" i="10"/>
  <c r="P431" i="10"/>
  <c r="P518" i="10"/>
  <c r="P594" i="10"/>
  <c r="P610" i="10"/>
  <c r="P626" i="10"/>
  <c r="P954" i="10"/>
  <c r="P962" i="10"/>
  <c r="P982" i="10"/>
  <c r="P986" i="10"/>
  <c r="P854" i="10"/>
  <c r="K8" i="10"/>
  <c r="K20" i="10"/>
  <c r="K156" i="10"/>
  <c r="K179" i="10"/>
  <c r="K195" i="10"/>
  <c r="K203" i="10"/>
  <c r="P246" i="10"/>
  <c r="K282" i="10"/>
  <c r="K290" i="10"/>
  <c r="K314" i="10"/>
  <c r="K349" i="10"/>
  <c r="K365" i="10"/>
  <c r="K424" i="10"/>
  <c r="P575" i="10"/>
  <c r="K591" i="10"/>
  <c r="K623" i="10"/>
  <c r="P709" i="10"/>
  <c r="K765" i="10"/>
  <c r="K785" i="10"/>
  <c r="K891" i="10"/>
  <c r="P902" i="10"/>
  <c r="K919" i="10"/>
  <c r="K931" i="10"/>
  <c r="K1011" i="10"/>
  <c r="K1019" i="10"/>
  <c r="K1031" i="10"/>
  <c r="K64" i="10"/>
  <c r="K160" i="10"/>
  <c r="K255" i="10"/>
  <c r="K298" i="10"/>
  <c r="K318" i="10"/>
  <c r="K345" i="10"/>
  <c r="K377" i="10"/>
  <c r="K615" i="10"/>
  <c r="K619" i="10"/>
  <c r="K706" i="10"/>
  <c r="K725" i="10"/>
  <c r="K855" i="10"/>
  <c r="K859" i="10"/>
  <c r="K895" i="10"/>
  <c r="K939" i="10"/>
  <c r="K1015" i="10"/>
  <c r="P69" i="10"/>
  <c r="K96" i="10"/>
  <c r="K136" i="10"/>
  <c r="K140" i="10"/>
  <c r="K183" i="10"/>
  <c r="K187" i="10"/>
  <c r="K215" i="10"/>
  <c r="K420" i="10"/>
  <c r="K635" i="10"/>
  <c r="K690" i="10"/>
  <c r="K757" i="10"/>
  <c r="P56" i="10"/>
  <c r="K223" i="10"/>
  <c r="K603" i="10"/>
  <c r="P646" i="10"/>
  <c r="P662" i="10"/>
  <c r="K955" i="10"/>
  <c r="K987" i="10"/>
  <c r="P1070" i="10"/>
  <c r="P614" i="10"/>
  <c r="K76" i="10"/>
  <c r="K92" i="10"/>
  <c r="K128" i="10"/>
  <c r="K168" i="10"/>
  <c r="K231" i="10"/>
  <c r="K243" i="10"/>
  <c r="K306" i="10"/>
  <c r="K381" i="10"/>
  <c r="K452" i="10"/>
  <c r="K515" i="10"/>
  <c r="K599" i="10"/>
  <c r="K639" i="10"/>
  <c r="K714" i="10"/>
  <c r="K769" i="10"/>
  <c r="K777" i="10"/>
  <c r="K793" i="10"/>
  <c r="K836" i="10"/>
  <c r="K1047" i="10"/>
  <c r="P294" i="10"/>
  <c r="P781" i="10"/>
  <c r="P883" i="10"/>
  <c r="K57" i="10"/>
  <c r="P80" i="10"/>
  <c r="K484" i="10"/>
  <c r="K488" i="10"/>
  <c r="P627" i="10"/>
  <c r="K663" i="10"/>
  <c r="K912" i="10"/>
  <c r="P1043" i="10"/>
  <c r="P1087" i="10"/>
  <c r="P357" i="10"/>
  <c r="K17" i="10"/>
  <c r="K41" i="10"/>
  <c r="K45" i="10"/>
  <c r="K338" i="10"/>
  <c r="K445" i="10"/>
  <c r="K643" i="10"/>
  <c r="K813" i="10"/>
  <c r="K2" i="10"/>
  <c r="K9" i="10"/>
  <c r="K53" i="10"/>
  <c r="K61" i="10"/>
  <c r="K157" i="10"/>
  <c r="K192" i="10"/>
  <c r="K196" i="10"/>
  <c r="K208" i="10"/>
  <c r="K405" i="10"/>
  <c r="K425" i="10"/>
  <c r="P576" i="10"/>
  <c r="K734" i="10"/>
  <c r="K868" i="10"/>
  <c r="K936" i="10"/>
  <c r="K960" i="10"/>
  <c r="P1055" i="10"/>
  <c r="P109" i="10"/>
  <c r="K25" i="10"/>
  <c r="K37" i="10"/>
  <c r="K385" i="10"/>
  <c r="K393" i="10"/>
  <c r="K409" i="10"/>
  <c r="K417" i="10"/>
  <c r="K441" i="10"/>
  <c r="K580" i="10"/>
  <c r="K730" i="10"/>
  <c r="K738" i="10"/>
  <c r="K754" i="10"/>
  <c r="K872" i="10"/>
  <c r="K916" i="10"/>
  <c r="K968" i="10"/>
  <c r="K976" i="10"/>
  <c r="P120" i="10"/>
  <c r="K5" i="10"/>
  <c r="K21" i="10"/>
  <c r="K77" i="10"/>
  <c r="P88" i="10"/>
  <c r="K180" i="10"/>
  <c r="K256" i="10"/>
  <c r="K283" i="10"/>
  <c r="K295" i="10"/>
  <c r="K346" i="10"/>
  <c r="K350" i="10"/>
  <c r="K362" i="10"/>
  <c r="K378" i="10"/>
  <c r="P397" i="10"/>
  <c r="K433" i="10"/>
  <c r="P504" i="10"/>
  <c r="K520" i="10"/>
  <c r="K612" i="10"/>
  <c r="K616" i="10"/>
  <c r="K624" i="10"/>
  <c r="K636" i="10"/>
  <c r="P671" i="10"/>
  <c r="K782" i="10"/>
  <c r="K786" i="10"/>
  <c r="K884" i="10"/>
  <c r="K932" i="10"/>
  <c r="K65" i="10"/>
  <c r="K81" i="10"/>
  <c r="K97" i="10"/>
  <c r="K133" i="10"/>
  <c r="K141" i="10"/>
  <c r="K161" i="10"/>
  <c r="K220" i="10"/>
  <c r="K228" i="10"/>
  <c r="K299" i="10"/>
  <c r="K303" i="10"/>
  <c r="K628" i="10"/>
  <c r="K656" i="10"/>
  <c r="K707" i="10"/>
  <c r="K798" i="10"/>
  <c r="K896" i="10"/>
  <c r="K940" i="10"/>
  <c r="K956" i="10"/>
  <c r="K988" i="10"/>
  <c r="K1044" i="10"/>
  <c r="K125" i="10"/>
  <c r="K323" i="10"/>
  <c r="K1084" i="10"/>
  <c r="K121" i="10"/>
  <c r="K169" i="10"/>
  <c r="P200" i="10"/>
  <c r="K232" i="10"/>
  <c r="K236" i="10"/>
  <c r="K457" i="10"/>
  <c r="K493" i="10"/>
  <c r="K553" i="10"/>
  <c r="K569" i="10"/>
  <c r="P821" i="10"/>
  <c r="K841" i="10"/>
  <c r="P876" i="10"/>
  <c r="K1056" i="10"/>
  <c r="K1096" i="10"/>
  <c r="K1064" i="10"/>
  <c r="K1100" i="10"/>
  <c r="P216" i="10"/>
  <c r="P944" i="10"/>
  <c r="K253" i="10"/>
  <c r="K292" i="10"/>
  <c r="K316" i="10"/>
  <c r="K339" i="10"/>
  <c r="K386" i="10"/>
  <c r="K418" i="10"/>
  <c r="K426" i="10"/>
  <c r="K446" i="10"/>
  <c r="K609" i="10"/>
  <c r="K727" i="10"/>
  <c r="K731" i="10"/>
  <c r="K857" i="10"/>
  <c r="K861" i="10"/>
  <c r="K877" i="10"/>
  <c r="K917" i="10"/>
  <c r="K937" i="10"/>
  <c r="K961" i="10"/>
  <c r="K1041" i="10"/>
  <c r="P1048" i="10"/>
  <c r="K66" i="10"/>
  <c r="K94" i="10"/>
  <c r="K98" i="10"/>
  <c r="K146" i="10"/>
  <c r="K181" i="10"/>
  <c r="K217" i="10"/>
  <c r="K241" i="10"/>
  <c r="K257" i="10"/>
  <c r="K379" i="10"/>
  <c r="K434" i="10"/>
  <c r="P485" i="10"/>
  <c r="K601" i="10"/>
  <c r="K637" i="10"/>
  <c r="K657" i="10"/>
  <c r="K787" i="10"/>
  <c r="K795" i="10"/>
  <c r="K885" i="10"/>
  <c r="K985" i="10"/>
  <c r="P1037" i="10"/>
  <c r="K1081" i="10"/>
  <c r="P26" i="10"/>
  <c r="P38" i="10"/>
  <c r="P565" i="10"/>
  <c r="K905" i="10"/>
  <c r="K941" i="10"/>
  <c r="P1021" i="10"/>
  <c r="K1049" i="10"/>
  <c r="K1057" i="10"/>
  <c r="K1097" i="10"/>
  <c r="P320" i="10"/>
  <c r="P371" i="10"/>
  <c r="P613" i="10"/>
  <c r="P997" i="10"/>
  <c r="P142" i="10"/>
  <c r="P150" i="10"/>
  <c r="K261" i="10"/>
  <c r="K265" i="10"/>
  <c r="K399" i="10"/>
  <c r="K661" i="10"/>
  <c r="K697" i="10"/>
  <c r="P957" i="10"/>
  <c r="P229" i="10"/>
  <c r="P653" i="10"/>
  <c r="P799" i="10"/>
  <c r="P102" i="10"/>
  <c r="K139" i="10"/>
  <c r="K186" i="10"/>
  <c r="K190" i="10"/>
  <c r="K254" i="10"/>
  <c r="K293" i="10"/>
  <c r="K297" i="10"/>
  <c r="K356" i="10"/>
  <c r="K419" i="10"/>
  <c r="K862" i="10"/>
  <c r="P1061" i="10"/>
  <c r="P1077" i="10"/>
  <c r="P132" i="10"/>
  <c r="K132" i="10"/>
  <c r="K573" i="10"/>
  <c r="K998" i="10"/>
  <c r="P998" i="10"/>
  <c r="K375" i="10"/>
  <c r="P375" i="10"/>
  <c r="P497" i="10"/>
  <c r="K497" i="10"/>
  <c r="K631" i="10"/>
  <c r="P631" i="10"/>
  <c r="P22" i="10"/>
  <c r="P46" i="10"/>
  <c r="K46" i="10"/>
  <c r="K219" i="10"/>
  <c r="P525" i="10"/>
  <c r="P541" i="10"/>
  <c r="K541" i="10"/>
  <c r="P588" i="10"/>
  <c r="K588" i="10"/>
  <c r="P647" i="10"/>
  <c r="K647" i="10"/>
  <c r="P144" i="10"/>
  <c r="K144" i="10"/>
  <c r="P332" i="10"/>
  <c r="K332" i="10"/>
  <c r="K430" i="10"/>
  <c r="P430" i="10"/>
  <c r="P73" i="10"/>
  <c r="K73" i="10"/>
  <c r="K117" i="10"/>
  <c r="K164" i="10"/>
  <c r="P164" i="10"/>
  <c r="P113" i="10"/>
  <c r="P262" i="10"/>
  <c r="P391" i="10"/>
  <c r="K391" i="10"/>
  <c r="P227" i="10"/>
  <c r="K227" i="10"/>
  <c r="P270" i="10"/>
  <c r="K270" i="10"/>
  <c r="P309" i="10"/>
  <c r="P364" i="10"/>
  <c r="P620" i="10"/>
  <c r="P129" i="10"/>
  <c r="K129" i="10"/>
  <c r="P74" i="10"/>
  <c r="K74" i="10"/>
  <c r="P470" i="10"/>
  <c r="K522" i="10"/>
  <c r="K617" i="10"/>
  <c r="P975" i="10"/>
  <c r="P89" i="10"/>
  <c r="K89" i="10"/>
  <c r="P153" i="10"/>
  <c r="K153" i="10"/>
  <c r="P251" i="10"/>
  <c r="K251" i="10"/>
  <c r="K12" i="10"/>
  <c r="P70" i="10"/>
  <c r="P149" i="10"/>
  <c r="P672" i="10"/>
  <c r="K672" i="10"/>
  <c r="P726" i="10"/>
  <c r="P23" i="10"/>
  <c r="K23" i="10"/>
  <c r="K184" i="10"/>
  <c r="P184" i="10"/>
  <c r="K204" i="10"/>
  <c r="P204" i="10"/>
  <c r="K361" i="10"/>
  <c r="K664" i="10"/>
  <c r="P664" i="10"/>
  <c r="P31" i="10"/>
  <c r="K31" i="10"/>
  <c r="P51" i="10"/>
  <c r="K55" i="10"/>
  <c r="P55" i="10"/>
  <c r="P172" i="10"/>
  <c r="K172" i="10"/>
  <c r="P4" i="10"/>
  <c r="K106" i="10"/>
  <c r="P106" i="10"/>
  <c r="P224" i="10"/>
  <c r="K224" i="10"/>
  <c r="K408" i="10"/>
  <c r="P408" i="10"/>
  <c r="P416" i="10"/>
  <c r="K416" i="10"/>
  <c r="K558" i="10"/>
  <c r="P558" i="10"/>
  <c r="P28" i="10"/>
  <c r="K28" i="10"/>
  <c r="P126" i="10"/>
  <c r="K126" i="10"/>
  <c r="P267" i="10"/>
  <c r="K267" i="10"/>
  <c r="P369" i="10"/>
  <c r="K369" i="10"/>
  <c r="P625" i="10"/>
  <c r="K625" i="10"/>
  <c r="K913" i="10"/>
  <c r="K75" i="10"/>
  <c r="K302" i="10"/>
  <c r="P302" i="10"/>
  <c r="K118" i="10"/>
  <c r="P118" i="10"/>
  <c r="P252" i="10"/>
  <c r="K252" i="10"/>
  <c r="K551" i="10"/>
  <c r="P704" i="10"/>
  <c r="K712" i="10"/>
  <c r="K964" i="10"/>
  <c r="P964" i="10"/>
  <c r="P44" i="10"/>
  <c r="P95" i="10"/>
  <c r="P201" i="10"/>
  <c r="K201" i="10"/>
  <c r="P291" i="10"/>
  <c r="K814" i="10"/>
  <c r="P814" i="10"/>
  <c r="P873" i="10"/>
  <c r="K873" i="10"/>
  <c r="P716" i="10"/>
  <c r="K716" i="10"/>
  <c r="K759" i="10"/>
  <c r="P759" i="10"/>
  <c r="K909" i="10"/>
  <c r="P909" i="10"/>
  <c r="K248" i="10"/>
  <c r="P248" i="10"/>
  <c r="P13" i="10"/>
  <c r="K13" i="10"/>
  <c r="K237" i="10"/>
  <c r="P460" i="10"/>
  <c r="K460" i="10"/>
  <c r="P519" i="10"/>
  <c r="K519" i="10"/>
  <c r="K503" i="10"/>
  <c r="P503" i="10"/>
  <c r="P413" i="10"/>
  <c r="K413" i="10"/>
  <c r="P1001" i="10"/>
  <c r="K1001" i="10"/>
  <c r="P155" i="10"/>
  <c r="K155" i="10"/>
  <c r="P233" i="10"/>
  <c r="K233" i="10"/>
  <c r="P492" i="10"/>
  <c r="P693" i="10"/>
  <c r="P280" i="10"/>
  <c r="P669" i="10"/>
  <c r="K669" i="10"/>
  <c r="P103" i="10"/>
  <c r="K103" i="10"/>
  <c r="K284" i="10"/>
  <c r="P284" i="10"/>
  <c r="P49" i="10"/>
  <c r="K49" i="10"/>
  <c r="P182" i="10"/>
  <c r="K198" i="10"/>
  <c r="P198" i="10"/>
  <c r="P437" i="10"/>
  <c r="P544" i="10"/>
  <c r="K544" i="10"/>
  <c r="P748" i="10"/>
  <c r="P240" i="10"/>
  <c r="K135" i="10"/>
  <c r="P135" i="10"/>
  <c r="P131" i="10"/>
  <c r="P147" i="10"/>
  <c r="K147" i="10"/>
  <c r="P245" i="10"/>
  <c r="K245" i="10"/>
  <c r="P296" i="10"/>
  <c r="K296" i="10"/>
  <c r="K489" i="10"/>
  <c r="K536" i="10"/>
  <c r="P536" i="10"/>
  <c r="K949" i="10"/>
  <c r="P949" i="10"/>
  <c r="P193" i="10"/>
  <c r="K328" i="10"/>
  <c r="K745" i="10"/>
  <c r="P33" i="10"/>
  <c r="P6" i="10"/>
  <c r="K686" i="10"/>
  <c r="P686" i="10"/>
  <c r="P800" i="10"/>
  <c r="K800" i="10"/>
  <c r="K584" i="10"/>
  <c r="K792" i="10"/>
  <c r="P792" i="10"/>
  <c r="P906" i="10"/>
  <c r="K906" i="10"/>
  <c r="K1035" i="10"/>
  <c r="P887" i="10"/>
  <c r="P920" i="10"/>
  <c r="P942" i="10"/>
  <c r="P990" i="10"/>
  <c r="P1027" i="10"/>
  <c r="K1020" i="10"/>
  <c r="K844" i="10"/>
  <c r="K928" i="10"/>
  <c r="K1002" i="10"/>
  <c r="K1024" i="10"/>
  <c r="K753" i="10"/>
  <c r="K775" i="10"/>
  <c r="K797" i="10"/>
  <c r="K881" i="10"/>
  <c r="K903" i="10"/>
  <c r="K925" i="10"/>
  <c r="K958" i="10"/>
  <c r="K995" i="10"/>
  <c r="K1032" i="10"/>
  <c r="P310" i="10"/>
  <c r="P438" i="10"/>
  <c r="P566" i="10"/>
  <c r="P694" i="10"/>
  <c r="P822" i="10"/>
  <c r="P950" i="10"/>
  <c r="P965" i="10"/>
  <c r="K93" i="10"/>
  <c r="K111" i="10"/>
  <c r="K122" i="10"/>
  <c r="K191" i="10"/>
  <c r="K209" i="10"/>
  <c r="K249" i="10"/>
  <c r="K289" i="10"/>
  <c r="K307" i="10"/>
  <c r="K351" i="10"/>
  <c r="K395" i="10"/>
  <c r="K435" i="10"/>
  <c r="K479" i="10"/>
  <c r="K523" i="10"/>
  <c r="K563" i="10"/>
  <c r="K607" i="10"/>
  <c r="P632" i="10"/>
  <c r="K651" i="10"/>
  <c r="K691" i="10"/>
  <c r="K735" i="10"/>
  <c r="P760" i="10"/>
  <c r="K779" i="10"/>
  <c r="K819" i="10"/>
  <c r="K863" i="10"/>
  <c r="P888" i="10"/>
  <c r="K907" i="10"/>
  <c r="K947" i="10"/>
  <c r="P991" i="10"/>
  <c r="K999" i="10"/>
  <c r="K1036" i="10"/>
  <c r="K311" i="10"/>
  <c r="K366" i="10"/>
  <c r="K439" i="10"/>
  <c r="K494" i="10"/>
  <c r="K567" i="10"/>
  <c r="K622" i="10"/>
  <c r="K695" i="10"/>
  <c r="K750" i="10"/>
  <c r="K823" i="10"/>
  <c r="K878" i="10"/>
  <c r="K951" i="10"/>
  <c r="K977" i="10"/>
  <c r="P1095" i="10"/>
  <c r="K1095" i="10"/>
  <c r="K483" i="10"/>
  <c r="K505" i="10"/>
  <c r="K527" i="10"/>
  <c r="K538" i="10"/>
  <c r="K611" i="10"/>
  <c r="K633" i="10"/>
  <c r="K655" i="10"/>
  <c r="K666" i="10"/>
  <c r="K739" i="10"/>
  <c r="K761" i="10"/>
  <c r="K783" i="10"/>
  <c r="K794" i="10"/>
  <c r="K867" i="10"/>
  <c r="K889" i="10"/>
  <c r="K911" i="10"/>
  <c r="K922" i="10"/>
  <c r="K970" i="10"/>
  <c r="K992" i="10"/>
  <c r="P1063" i="10"/>
  <c r="K1063" i="10"/>
  <c r="K10" i="10"/>
  <c r="K39" i="10"/>
  <c r="K68" i="10"/>
  <c r="K108" i="10"/>
  <c r="K137" i="10"/>
  <c r="K188" i="10"/>
  <c r="K206" i="10"/>
  <c r="P278" i="10"/>
  <c r="K286" i="10"/>
  <c r="K304" i="10"/>
  <c r="K315" i="10"/>
  <c r="K348" i="10"/>
  <c r="K388" i="10"/>
  <c r="K432" i="10"/>
  <c r="K443" i="10"/>
  <c r="K476" i="10"/>
  <c r="K516" i="10"/>
  <c r="K560" i="10"/>
  <c r="K571" i="10"/>
  <c r="K604" i="10"/>
  <c r="K644" i="10"/>
  <c r="K688" i="10"/>
  <c r="K699" i="10"/>
  <c r="K732" i="10"/>
  <c r="K772" i="10"/>
  <c r="K816" i="10"/>
  <c r="K827" i="10"/>
  <c r="K860" i="10"/>
  <c r="K900" i="10"/>
  <c r="P984" i="10"/>
  <c r="K849" i="10"/>
  <c r="K871" i="10"/>
  <c r="K893" i="10"/>
  <c r="K1007" i="10"/>
  <c r="K1018" i="10"/>
  <c r="K1033" i="10"/>
  <c r="K221" i="10"/>
  <c r="K239" i="10"/>
  <c r="K250" i="10"/>
  <c r="K319" i="10"/>
  <c r="P344" i="10"/>
  <c r="K363" i="10"/>
  <c r="K403" i="10"/>
  <c r="K447" i="10"/>
  <c r="P472" i="10"/>
  <c r="K491" i="10"/>
  <c r="K531" i="10"/>
  <c r="P600" i="10"/>
  <c r="P728" i="10"/>
  <c r="P856" i="10"/>
  <c r="P86" i="10"/>
  <c r="P166" i="10"/>
  <c r="K279" i="10"/>
  <c r="K352" i="10"/>
  <c r="K396" i="10"/>
  <c r="K480" i="10"/>
  <c r="K524" i="10"/>
  <c r="K608" i="10"/>
  <c r="K652" i="10"/>
  <c r="K736" i="10"/>
  <c r="K780" i="10"/>
  <c r="K864" i="10"/>
  <c r="K908" i="10"/>
  <c r="K963" i="10"/>
  <c r="K1000" i="10"/>
  <c r="P1014" i="10"/>
  <c r="P1029" i="10"/>
  <c r="K301" i="10"/>
  <c r="P326" i="10"/>
  <c r="K341" i="10"/>
  <c r="P421" i="10"/>
  <c r="K429" i="10"/>
  <c r="P454" i="10"/>
  <c r="K469" i="10"/>
  <c r="P549" i="10"/>
  <c r="K557" i="10"/>
  <c r="P582" i="10"/>
  <c r="K597" i="10"/>
  <c r="P677" i="10"/>
  <c r="K685" i="10"/>
  <c r="P710" i="10"/>
  <c r="P805" i="10"/>
  <c r="P838" i="10"/>
  <c r="P933" i="10"/>
  <c r="P959" i="10"/>
  <c r="P1092" i="10"/>
  <c r="K1092" i="10"/>
  <c r="P1060" i="10"/>
  <c r="K1060" i="10"/>
  <c r="P152" i="10"/>
  <c r="K91" i="10"/>
  <c r="P374" i="10"/>
  <c r="P502" i="10"/>
  <c r="P630" i="10"/>
  <c r="P758" i="10"/>
  <c r="P886" i="10"/>
  <c r="P989" i="10"/>
  <c r="P54" i="10"/>
  <c r="P134" i="10"/>
  <c r="P312" i="10"/>
  <c r="P440" i="10"/>
  <c r="P568" i="10"/>
  <c r="P696" i="10"/>
  <c r="P824" i="10"/>
  <c r="P952" i="10"/>
  <c r="P389" i="10"/>
  <c r="P422" i="10"/>
  <c r="P517" i="10"/>
  <c r="P550" i="10"/>
  <c r="P645" i="10"/>
  <c r="P678" i="10"/>
  <c r="P773" i="10"/>
  <c r="P806" i="10"/>
  <c r="P901" i="10"/>
  <c r="P934" i="10"/>
  <c r="P1080" i="10"/>
  <c r="P1073" i="10"/>
  <c r="P1066" i="10"/>
  <c r="P1098" i="10"/>
  <c r="K1053" i="10"/>
  <c r="K1085" i="10"/>
  <c r="K1046" i="10"/>
  <c r="K1078" i="10"/>
  <c r="K1079" i="10"/>
  <c r="K1072" i="10"/>
  <c r="K1069" i="10"/>
  <c r="K1101" i="10"/>
  <c r="D34" i="4"/>
  <c r="C34" i="4"/>
  <c r="E5" i="4"/>
  <c r="F5" i="4"/>
  <c r="B15" i="4"/>
  <c r="F24" i="4"/>
  <c r="D18" i="4"/>
  <c r="E24" i="4"/>
  <c r="C18" i="4"/>
  <c r="E16" i="4"/>
  <c r="D24" i="4"/>
  <c r="G17" i="4"/>
  <c r="C22" i="4"/>
  <c r="C24" i="4"/>
  <c r="F17" i="4"/>
  <c r="G23" i="4"/>
  <c r="E17" i="4"/>
  <c r="E26" i="4"/>
  <c r="F23" i="4"/>
  <c r="D17" i="4"/>
  <c r="C23" i="4"/>
  <c r="F22" i="4"/>
  <c r="E23" i="4"/>
  <c r="C17" i="4"/>
  <c r="F18" i="4"/>
  <c r="D23" i="4"/>
  <c r="G16" i="4"/>
  <c r="F16" i="4"/>
  <c r="C26" i="4"/>
  <c r="G22" i="4"/>
  <c r="D16" i="4"/>
  <c r="F19" i="4"/>
  <c r="E22" i="4"/>
  <c r="C16" i="4"/>
  <c r="D22" i="4"/>
  <c r="E18" i="4"/>
  <c r="G21" i="4"/>
  <c r="D21" i="4"/>
  <c r="F21" i="4"/>
  <c r="G24" i="4"/>
  <c r="C25" i="4"/>
  <c r="G18" i="4"/>
  <c r="D25" i="4"/>
  <c r="C19" i="4"/>
  <c r="E25" i="4"/>
  <c r="D19" i="4"/>
  <c r="F25" i="4"/>
  <c r="E19" i="4"/>
  <c r="G25" i="4"/>
  <c r="C20" i="4"/>
  <c r="D20" i="4"/>
  <c r="G26" i="4"/>
  <c r="F26" i="4"/>
  <c r="E20" i="4"/>
  <c r="C27" i="4"/>
  <c r="F20" i="4"/>
  <c r="D27" i="4"/>
  <c r="G20" i="4"/>
  <c r="E27" i="4"/>
  <c r="G19" i="4"/>
  <c r="C21" i="4"/>
  <c r="F27" i="4"/>
  <c r="G27" i="4"/>
  <c r="E21" i="4"/>
  <c r="D10" i="4" l="1"/>
  <c r="B11" i="4"/>
  <c r="B10" i="4"/>
  <c r="F15" i="4"/>
  <c r="G15" i="4"/>
  <c r="E15" i="4"/>
  <c r="D15" i="4"/>
  <c r="C15"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575C80F-43CB-4D9C-ABC6-DD8B99CE880A}" keepAlive="1" name="Query - tblAssociates" description="Connection to the 'tblAssociates' query in the workbook." type="5" refreshedVersion="8" background="1" saveData="1">
    <dbPr connection="Provider=Microsoft.Mashup.OleDb.1;Data Source=$Workbook$;Location=tblAssociates;Extended Properties=&quot;&quot;" command="SELECT * FROM [tblAssociates]"/>
  </connection>
  <connection id="2" xr16:uid="{92CE2F8E-C529-4B1D-936A-0B03AA8424D4}" keepAlive="1" name="Query - tblDocketedComments" description="Connection to the 'tblDocketedComments' query in the workbook." type="5" refreshedVersion="8" background="1" saveData="1">
    <dbPr connection="Provider=Microsoft.Mashup.OleDb.1;Data Source=$Workbook$;Location=tblDocketedComments;Extended Properties=&quot;&quot;" command="SELECT * FROM [tblDocketedComment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<sst xmlns="http://schemas.openxmlformats.org/spreadsheetml/2006/main" count="26034" uniqueCount="5819">
  <si>
    <t>Date</t>
  </si>
  <si>
    <t>Last Name</t>
  </si>
  <si>
    <t>First Name</t>
  </si>
  <si>
    <t>City</t>
  </si>
  <si>
    <t>Zip code</t>
  </si>
  <si>
    <t>Docketed Consumer Comments</t>
  </si>
  <si>
    <t>Rate Plan</t>
  </si>
  <si>
    <t>Cust on MEP</t>
  </si>
  <si>
    <t>Payoff Balance</t>
  </si>
  <si>
    <t>Team Reviewed</t>
  </si>
  <si>
    <t>Last date of Account review</t>
  </si>
  <si>
    <t>Notes</t>
  </si>
  <si>
    <t>ACC Inquiry Sent to CA</t>
  </si>
  <si>
    <t>APS CA Referral</t>
  </si>
  <si>
    <t>Comments</t>
  </si>
  <si>
    <t>Include_Row</t>
  </si>
  <si>
    <t>Abidali</t>
  </si>
  <si>
    <t>Sanar</t>
  </si>
  <si>
    <t>Glendale</t>
  </si>
  <si>
    <t xml:space="preserve">Opposed </t>
  </si>
  <si>
    <t xml:space="preserve">https://images.edocket.azcc.gov/docketpdf/E000044112.pdf
</t>
  </si>
  <si>
    <t>Unable to Locate Acct</t>
  </si>
  <si>
    <t>Paulus</t>
  </si>
  <si>
    <t>Carl</t>
  </si>
  <si>
    <t>Unknown</t>
  </si>
  <si>
    <t>Opposed</t>
  </si>
  <si>
    <t>https://images.edocket.azcc.gov/docketpdf/E000044128.pdf</t>
  </si>
  <si>
    <t>Wall</t>
  </si>
  <si>
    <t>Rae</t>
  </si>
  <si>
    <t>https://images.edocket.azcc.gov/docketpdf/E000044126.pdf</t>
  </si>
  <si>
    <t>R3-47</t>
  </si>
  <si>
    <t>No</t>
  </si>
  <si>
    <t>Yes</t>
  </si>
  <si>
    <t>N</t>
  </si>
  <si>
    <t>Also filed 6/10, 6/12, 6/16</t>
  </si>
  <si>
    <t>Gwiazda</t>
  </si>
  <si>
    <t>Patricia</t>
  </si>
  <si>
    <t>Youngtown</t>
  </si>
  <si>
    <t>https://images.edocket.azcc.gov/docketpdf/E000044147.pdf</t>
  </si>
  <si>
    <t>2074850000</t>
  </si>
  <si>
    <t>RCPw/RTOUE47</t>
  </si>
  <si>
    <t>No - MEP is R3-47 ($65.13)</t>
  </si>
  <si>
    <t xml:space="preserve">MEP Annual Savings - $67.68 - Didn't Contact </t>
  </si>
  <si>
    <t>Phillips</t>
  </si>
  <si>
    <t>Crystal</t>
  </si>
  <si>
    <t xml:space="preserve">Young </t>
  </si>
  <si>
    <t>Beame</t>
  </si>
  <si>
    <t>Sndney</t>
  </si>
  <si>
    <t>Opposed/Senior/fixed income</t>
  </si>
  <si>
    <t>https://images.edocket.azcc.gov/docketpdf/E000044169.pdf</t>
  </si>
  <si>
    <t>8991140195</t>
  </si>
  <si>
    <t>R-BASICL</t>
  </si>
  <si>
    <t>No - MEP R3-47 ($192.78)</t>
  </si>
  <si>
    <t>11/03 - Customer agreed to change to their MEP</t>
  </si>
  <si>
    <t>Estimated savings $225.94/12 = $18.82 potential monthly savings on MEP</t>
  </si>
  <si>
    <t>Scoggins</t>
  </si>
  <si>
    <t>Troy</t>
  </si>
  <si>
    <t>Phoenix</t>
  </si>
  <si>
    <t>https://images.edocket.azcc.gov/docketpdf/E000044282.pdf</t>
  </si>
  <si>
    <t>Unable to locate account with name provided</t>
  </si>
  <si>
    <t>Nuccio</t>
  </si>
  <si>
    <t>Tina</t>
  </si>
  <si>
    <t>Cave Creek</t>
  </si>
  <si>
    <t>https://images.edocket.azcc.gov/docketpdf/E000044298.pdf</t>
  </si>
  <si>
    <t>Henkel</t>
  </si>
  <si>
    <t>Dean</t>
  </si>
  <si>
    <t>https://images.edocket.azcc.gov/docketpdf/E000044312.pdf</t>
  </si>
  <si>
    <t>R-XS</t>
  </si>
  <si>
    <t>Palmer</t>
  </si>
  <si>
    <t>William</t>
  </si>
  <si>
    <t>https://images.edocket.azcc.gov/docketpdf/E000044514.pdf</t>
  </si>
  <si>
    <t>Not able to locate specific account</t>
  </si>
  <si>
    <t>Paulsen</t>
  </si>
  <si>
    <t>Jodi</t>
  </si>
  <si>
    <t>7938430000</t>
  </si>
  <si>
    <t>EPR-6w/ET-1</t>
  </si>
  <si>
    <t>Not able to Compare</t>
  </si>
  <si>
    <t>Berto</t>
  </si>
  <si>
    <t>Kim &amp; Dave</t>
  </si>
  <si>
    <t>Chino Valley</t>
  </si>
  <si>
    <t>https://images.edocket.azcc.gov/docketpdf/E000044536.pdf</t>
  </si>
  <si>
    <t>Misamore</t>
  </si>
  <si>
    <t>Bruce</t>
  </si>
  <si>
    <t>Sedona</t>
  </si>
  <si>
    <t>Inactive Acct</t>
  </si>
  <si>
    <t>Shroyer</t>
  </si>
  <si>
    <t>Mary Lynne</t>
  </si>
  <si>
    <t>Sun City</t>
  </si>
  <si>
    <t>https://images.edocket.azcc.gov/docketpdf/E000044648.pdf</t>
  </si>
  <si>
    <t>Driscoll</t>
  </si>
  <si>
    <t>David &amp; Donna</t>
  </si>
  <si>
    <t>https://images.edocket.azcc.gov/docketpdf/E000044766.pdf</t>
  </si>
  <si>
    <t>6242500593</t>
  </si>
  <si>
    <t xml:space="preserve"> No - MEP R3-47($151.35)</t>
  </si>
  <si>
    <t>Prior ACC Complaint customer - Solar customer does not want to be on demand rate.</t>
  </si>
  <si>
    <t>Hix</t>
  </si>
  <si>
    <t>Debbie</t>
  </si>
  <si>
    <t>https://images.edocket.azcc.gov/docketpdf/E000044775.pdf
https://images.edocket.azcc.gov/docketpdf/E000044791.pdf</t>
  </si>
  <si>
    <t>Filed 2x on 6/16 (Thompson and Myers), Not able to locate specific account</t>
  </si>
  <si>
    <t>Montana</t>
  </si>
  <si>
    <t>Casitas</t>
  </si>
  <si>
    <t>https://images.edocket.azcc.gov/docketpdf/E000044777.pdf</t>
  </si>
  <si>
    <t>https://images.edocket.azcc.gov/docketpdf/E000044776.pdf</t>
  </si>
  <si>
    <t>Filed on 5/18 and 6/16</t>
  </si>
  <si>
    <t>Carpio</t>
  </si>
  <si>
    <t>Tania</t>
  </si>
  <si>
    <t>Surprise</t>
  </si>
  <si>
    <t>https://images.edocket.azcc.gov/docketpdf/E000044799.pdf</t>
  </si>
  <si>
    <t>Mansour</t>
  </si>
  <si>
    <t>Joe</t>
  </si>
  <si>
    <t xml:space="preserve">Neal </t>
  </si>
  <si>
    <t>Michelle</t>
  </si>
  <si>
    <t>1565756559</t>
  </si>
  <si>
    <t>Couillard</t>
  </si>
  <si>
    <t>Andre</t>
  </si>
  <si>
    <t>https://images.edocket.azcc.gov/docketpdf/E000044842.pdf</t>
  </si>
  <si>
    <t>Filed 2x on 6/18</t>
  </si>
  <si>
    <t>Witte</t>
  </si>
  <si>
    <t>Jessica</t>
  </si>
  <si>
    <t>Scottsdale</t>
  </si>
  <si>
    <t>R-BASIC</t>
  </si>
  <si>
    <t>Figueroa</t>
  </si>
  <si>
    <t>Enrique</t>
  </si>
  <si>
    <t>Gilbert</t>
  </si>
  <si>
    <t>Wheatley</t>
  </si>
  <si>
    <t>Heather</t>
  </si>
  <si>
    <t>Millbranth</t>
  </si>
  <si>
    <t>Mark</t>
  </si>
  <si>
    <t>Wilson</t>
  </si>
  <si>
    <t>John</t>
  </si>
  <si>
    <t>Carefree</t>
  </si>
  <si>
    <t>https://images.edocket.azcc.gov/docketpdf/E000044846.pdf</t>
  </si>
  <si>
    <t>Geyer</t>
  </si>
  <si>
    <t>Jared</t>
  </si>
  <si>
    <t>7528633936</t>
  </si>
  <si>
    <t xml:space="preserve">No </t>
  </si>
  <si>
    <t>No MEP R3-47 ($36.88)</t>
  </si>
  <si>
    <t>Estimated savings $37.01/12 = $3.08 potential monthly savings on MEP</t>
  </si>
  <si>
    <t>Snyder</t>
  </si>
  <si>
    <t>Steven</t>
  </si>
  <si>
    <t>4262494925</t>
  </si>
  <si>
    <t>No MEP R-XS ($110.29)</t>
  </si>
  <si>
    <t xml:space="preserve">11/03 - LM </t>
  </si>
  <si>
    <t>Estimated savings $43.66/12 = $3.63 potential monthly savings on MEP</t>
  </si>
  <si>
    <t>Buehler</t>
  </si>
  <si>
    <t>https://images.edocket.azcc.gov/docketpdf/E000044840.pdf</t>
  </si>
  <si>
    <t>Kaplan</t>
  </si>
  <si>
    <t>Wayne</t>
  </si>
  <si>
    <t>4273250000</t>
  </si>
  <si>
    <t>Delgado</t>
  </si>
  <si>
    <t>Amber</t>
  </si>
  <si>
    <t>8714231000</t>
  </si>
  <si>
    <t>Changed rate to MEP on 10/6</t>
  </si>
  <si>
    <t>Estimated savings $68.27/12 - $5.69 potential monthly savings on MEP</t>
  </si>
  <si>
    <t>Reyes</t>
  </si>
  <si>
    <t>Saporito</t>
  </si>
  <si>
    <t>Annette</t>
  </si>
  <si>
    <t>7980600000</t>
  </si>
  <si>
    <t xml:space="preserve">RTOUE47  </t>
  </si>
  <si>
    <t>No R3-47 ($439.74)</t>
  </si>
  <si>
    <t>Estimated savings $433.16/12 = $36.09 potential monthly savings on MEP</t>
  </si>
  <si>
    <t>Miller</t>
  </si>
  <si>
    <t>D</t>
  </si>
  <si>
    <t>Goodyear</t>
  </si>
  <si>
    <t>Opposed, thinks Budget billing is a scam</t>
  </si>
  <si>
    <t>https://images.edocket.azcc.gov/docketpdf/0000214768.pdf</t>
  </si>
  <si>
    <t>Gray</t>
  </si>
  <si>
    <t>Tim</t>
  </si>
  <si>
    <t>Buckeye</t>
  </si>
  <si>
    <t>https://images.edocket.azcc.gov/docketpdf/E000044863.pdf</t>
  </si>
  <si>
    <t>Garcia</t>
  </si>
  <si>
    <t>Amy</t>
  </si>
  <si>
    <t>Merlino</t>
  </si>
  <si>
    <t>Teri</t>
  </si>
  <si>
    <t>Escamilla</t>
  </si>
  <si>
    <t>Nephesh</t>
  </si>
  <si>
    <t>https://images.edocket.azcc.gov/docketpdf/E000044866.pdf</t>
  </si>
  <si>
    <t>van Dalen</t>
  </si>
  <si>
    <t>Danielle</t>
  </si>
  <si>
    <t>8025299133</t>
  </si>
  <si>
    <t>Crandall</t>
  </si>
  <si>
    <t>Rodreguez</t>
  </si>
  <si>
    <t>Alexis</t>
  </si>
  <si>
    <t>Schilling</t>
  </si>
  <si>
    <t xml:space="preserve">David  </t>
  </si>
  <si>
    <t>0799340889</t>
  </si>
  <si>
    <t>No-Mep R3-47($87.55)</t>
  </si>
  <si>
    <t>Luther</t>
  </si>
  <si>
    <t>Jonathan</t>
  </si>
  <si>
    <t>9229380000</t>
  </si>
  <si>
    <t>RTOUE47</t>
  </si>
  <si>
    <t>No-MEP R3-47($5.29)</t>
  </si>
  <si>
    <t>McKenzie</t>
  </si>
  <si>
    <t>Christine</t>
  </si>
  <si>
    <t>Porter</t>
  </si>
  <si>
    <t>Kristal</t>
  </si>
  <si>
    <t>Peoria</t>
  </si>
  <si>
    <t>7501590000</t>
  </si>
  <si>
    <t xml:space="preserve">Yes </t>
  </si>
  <si>
    <t>Fullerton</t>
  </si>
  <si>
    <t>Dale</t>
  </si>
  <si>
    <t>Gill</t>
  </si>
  <si>
    <t>Thomas</t>
  </si>
  <si>
    <t>Multiple Cust Found</t>
  </si>
  <si>
    <t>McGibbon</t>
  </si>
  <si>
    <t>Charles</t>
  </si>
  <si>
    <t>https://images.edocket.azcc.gov/docketpdf/E000044947.pdf</t>
  </si>
  <si>
    <t>4707610000</t>
  </si>
  <si>
    <t>Wolski</t>
  </si>
  <si>
    <t xml:space="preserve">Chris </t>
  </si>
  <si>
    <t>Ancha</t>
  </si>
  <si>
    <t>Bob</t>
  </si>
  <si>
    <t>https://images.edocket.azcc.gov/docketpdf/E000044979.pdf</t>
  </si>
  <si>
    <t>Sanchez</t>
  </si>
  <si>
    <t>Isabella</t>
  </si>
  <si>
    <t>https://images.edocket.azcc.gov/docketpdf/E000045059.pdf</t>
  </si>
  <si>
    <t>1164092226</t>
  </si>
  <si>
    <t>Estimated savings $42.27/12 = $3.52 potential monthly savings on MEP</t>
  </si>
  <si>
    <t>Hardy</t>
  </si>
  <si>
    <t>James</t>
  </si>
  <si>
    <t>https://images.edocket.azcc.gov/docketpdf/E000045067.pdf</t>
  </si>
  <si>
    <t>Franklin</t>
  </si>
  <si>
    <t>Jeff</t>
  </si>
  <si>
    <t>Hertzfield</t>
  </si>
  <si>
    <t>Carol</t>
  </si>
  <si>
    <t>https://images.edocket.azcc.gov/docketpdf/E000045130.pdf</t>
  </si>
  <si>
    <t>Beiser</t>
  </si>
  <si>
    <t>Antoinette</t>
  </si>
  <si>
    <t>https://images.edocket.azcc.gov/docketpdf/E000045169.pdf</t>
  </si>
  <si>
    <t>7150589750</t>
  </si>
  <si>
    <t>No MEP R3-47($267.12)</t>
  </si>
  <si>
    <t>11/03 - No answer and no voicemail</t>
  </si>
  <si>
    <t>Underwood</t>
  </si>
  <si>
    <t>Revis</t>
  </si>
  <si>
    <t>Litchfield Park</t>
  </si>
  <si>
    <t>https://images.edocket.azcc.gov/docketpdf/E000045209.pdf</t>
  </si>
  <si>
    <t>9558930000</t>
  </si>
  <si>
    <t>EPR-6w/E-12</t>
  </si>
  <si>
    <t>Info Not Avail</t>
  </si>
  <si>
    <t>Hacker</t>
  </si>
  <si>
    <t>Dennis</t>
  </si>
  <si>
    <t>Pole Attachments</t>
  </si>
  <si>
    <t>https://images.edocket.azcc.gov/docketpdf/E000045207.pdf</t>
  </si>
  <si>
    <t>7633370000</t>
  </si>
  <si>
    <t>RCPw/R3-47</t>
  </si>
  <si>
    <t>Dushoff</t>
  </si>
  <si>
    <t>Rachel</t>
  </si>
  <si>
    <t>Corrales, NM</t>
  </si>
  <si>
    <t>https://images.edocket.azcc.gov/docketpdf/E000045226.pdf</t>
  </si>
  <si>
    <t>Wiehl</t>
  </si>
  <si>
    <t>Sarah</t>
  </si>
  <si>
    <t>Opposed / Greed</t>
  </si>
  <si>
    <t>Rizzi</t>
  </si>
  <si>
    <t>https://images.edocket.azcc.gov/docketpdf/E000045267.pdf</t>
  </si>
  <si>
    <t>AMI Opt Out</t>
  </si>
  <si>
    <t>Prescott Valley</t>
  </si>
  <si>
    <t>Starr</t>
  </si>
  <si>
    <t>Valerie</t>
  </si>
  <si>
    <t>Payson</t>
  </si>
  <si>
    <t>https://images.edocket.azcc.gov/docketpdf/E000045309.pdf</t>
  </si>
  <si>
    <t>8135798464</t>
  </si>
  <si>
    <t>No MEP R3-47 ($337.28)</t>
  </si>
  <si>
    <t>Estimated savings $432.84/12 = $36.07 potential monthly savings on MEP</t>
  </si>
  <si>
    <t>Hill</t>
  </si>
  <si>
    <t>Teresa</t>
  </si>
  <si>
    <t>Senior/Fixed Income/ Data Centers</t>
  </si>
  <si>
    <t>https://images.edocket.azcc.gov/docketpdf/E000045376.pdf</t>
  </si>
  <si>
    <t>5307300000</t>
  </si>
  <si>
    <t>No MEP R-XS ($136.97)</t>
  </si>
  <si>
    <t>11/03 - Customer will callback at a more convenient time to discuss MEP</t>
  </si>
  <si>
    <t>Seabrook</t>
  </si>
  <si>
    <t>https://images.edocket.azcc.gov/docketpdf/E000045426.pdf</t>
  </si>
  <si>
    <t>3616936085</t>
  </si>
  <si>
    <t>No MEP R-BASIC ($170.13)</t>
  </si>
  <si>
    <t>Will be automatically reassigned soon</t>
  </si>
  <si>
    <t>Grube</t>
  </si>
  <si>
    <t>Get more nuclear online</t>
  </si>
  <si>
    <t>Sternberg</t>
  </si>
  <si>
    <t>Karen</t>
  </si>
  <si>
    <t>Comments are about water rates</t>
  </si>
  <si>
    <t>https://images.edocket.azcc.gov/docketpdf/E000045814.pdf</t>
  </si>
  <si>
    <t>4285810000</t>
  </si>
  <si>
    <t xml:space="preserve">R-XS </t>
  </si>
  <si>
    <t>Comments are about water rate increases</t>
  </si>
  <si>
    <t>Waterman</t>
  </si>
  <si>
    <t>Kathleen</t>
  </si>
  <si>
    <t>Coleman</t>
  </si>
  <si>
    <t>Maricopa</t>
  </si>
  <si>
    <t xml:space="preserve">Neutral </t>
  </si>
  <si>
    <t>https://images.edocket.azcc.gov/docketpdf/E000046007.pdf</t>
  </si>
  <si>
    <t>Hines</t>
  </si>
  <si>
    <t>Rohna</t>
  </si>
  <si>
    <t>https://images.edocket.azcc.gov/docketpdf/E000046100.pdf</t>
  </si>
  <si>
    <t>9376851000</t>
  </si>
  <si>
    <t>No MEP R-XS($77.28)</t>
  </si>
  <si>
    <t>Lovato</t>
  </si>
  <si>
    <t>Tiffany</t>
  </si>
  <si>
    <t>https://images.edocket.azcc.gov/docketpdf/E000046155.pdf</t>
  </si>
  <si>
    <t>DeLano</t>
  </si>
  <si>
    <t>opposed</t>
  </si>
  <si>
    <t>King</t>
  </si>
  <si>
    <t>Debra</t>
  </si>
  <si>
    <t>Wray</t>
  </si>
  <si>
    <t>Brett</t>
  </si>
  <si>
    <t>Form letter</t>
  </si>
  <si>
    <t>Read</t>
  </si>
  <si>
    <t>David</t>
  </si>
  <si>
    <t xml:space="preserve">Peoria </t>
  </si>
  <si>
    <t>First</t>
  </si>
  <si>
    <t>Lakisha</t>
  </si>
  <si>
    <t>Huynh</t>
  </si>
  <si>
    <t>Nam</t>
  </si>
  <si>
    <t xml:space="preserve">Walker </t>
  </si>
  <si>
    <t>Simmons</t>
  </si>
  <si>
    <t>Jennifer</t>
  </si>
  <si>
    <t>2882986476</t>
  </si>
  <si>
    <t>No MEP R3-47 ($61.45)</t>
  </si>
  <si>
    <t>Wood</t>
  </si>
  <si>
    <t>Ethan</t>
  </si>
  <si>
    <t>Keller</t>
  </si>
  <si>
    <t>7692260000</t>
  </si>
  <si>
    <t>Vint</t>
  </si>
  <si>
    <t>Shannon</t>
  </si>
  <si>
    <t>Corey</t>
  </si>
  <si>
    <t>6584830202</t>
  </si>
  <si>
    <t>No MEP R3-47 ($1,048.14)</t>
  </si>
  <si>
    <t xml:space="preserve">10/02 - LM </t>
  </si>
  <si>
    <t>Alexander</t>
  </si>
  <si>
    <t>Jacob</t>
  </si>
  <si>
    <t>Poe</t>
  </si>
  <si>
    <t>Leighton</t>
  </si>
  <si>
    <t>5855923100</t>
  </si>
  <si>
    <t>No MEP RTOUE47($74.06)</t>
  </si>
  <si>
    <t>Charapata</t>
  </si>
  <si>
    <t>Maxwell</t>
  </si>
  <si>
    <t>No-MEP R3-47(23.66)</t>
  </si>
  <si>
    <t>Lafond</t>
  </si>
  <si>
    <t>Ciara</t>
  </si>
  <si>
    <t>7245245699</t>
  </si>
  <si>
    <t>O'Gorman</t>
  </si>
  <si>
    <t>Erin</t>
  </si>
  <si>
    <t>No-MEP R3-47($141.01)</t>
  </si>
  <si>
    <t>Lara</t>
  </si>
  <si>
    <t>Gerardo</t>
  </si>
  <si>
    <t>6799425771</t>
  </si>
  <si>
    <t>No MEP R3-47(249.30)</t>
  </si>
  <si>
    <t>10/02 - LM - COR initiated rate change to MEP on 10/23</t>
  </si>
  <si>
    <t>Howell</t>
  </si>
  <si>
    <t>Chris</t>
  </si>
  <si>
    <t>6635023227</t>
  </si>
  <si>
    <t>No MEP R3-47($2.91)</t>
  </si>
  <si>
    <t>Torres</t>
  </si>
  <si>
    <t>Kyle</t>
  </si>
  <si>
    <t>9505905227</t>
  </si>
  <si>
    <t>No MEP R3-47($18.99)</t>
  </si>
  <si>
    <t>Tighe</t>
  </si>
  <si>
    <t>Paul</t>
  </si>
  <si>
    <t>9937021000</t>
  </si>
  <si>
    <t>Ward</t>
  </si>
  <si>
    <t>7949496672</t>
  </si>
  <si>
    <t>Anderson</t>
  </si>
  <si>
    <t>Nash</t>
  </si>
  <si>
    <t>Destiny</t>
  </si>
  <si>
    <t>Chandler</t>
  </si>
  <si>
    <t>8712521000</t>
  </si>
  <si>
    <t>Wilkymacky</t>
  </si>
  <si>
    <t>Abby</t>
  </si>
  <si>
    <t>2584149193</t>
  </si>
  <si>
    <t>Melendez</t>
  </si>
  <si>
    <t>Jose</t>
  </si>
  <si>
    <t>3811821000</t>
  </si>
  <si>
    <t>No MEP R3-47 ($128.91)</t>
  </si>
  <si>
    <t>Crosbie</t>
  </si>
  <si>
    <t>0814350000</t>
  </si>
  <si>
    <t>Kong</t>
  </si>
  <si>
    <t>Joseph</t>
  </si>
  <si>
    <t>Tolinos</t>
  </si>
  <si>
    <t>Jacinta</t>
  </si>
  <si>
    <t>Findley</t>
  </si>
  <si>
    <t>Moses</t>
  </si>
  <si>
    <t>7949331000</t>
  </si>
  <si>
    <t>Frozen Rate</t>
  </si>
  <si>
    <t>COR has spoken to CX several times in the last few weeks and been advised of assitance options and extended PA</t>
  </si>
  <si>
    <t>Schmidt</t>
  </si>
  <si>
    <t>Bryan</t>
  </si>
  <si>
    <t>4676231000</t>
  </si>
  <si>
    <t>Bernardi</t>
  </si>
  <si>
    <t>Patrick</t>
  </si>
  <si>
    <t xml:space="preserve">Prescott  </t>
  </si>
  <si>
    <t>6570141000</t>
  </si>
  <si>
    <t>Scharroo</t>
  </si>
  <si>
    <t>George</t>
  </si>
  <si>
    <t>6924836428</t>
  </si>
  <si>
    <t>Not eligible yet (needs 3 months)</t>
  </si>
  <si>
    <t>Nava</t>
  </si>
  <si>
    <t>Alfredo</t>
  </si>
  <si>
    <t>1717959515</t>
  </si>
  <si>
    <t>No MEP-R3-47($66.86)</t>
  </si>
  <si>
    <t>Hay</t>
  </si>
  <si>
    <t>Leanne</t>
  </si>
  <si>
    <t>1147845609</t>
  </si>
  <si>
    <t>No MEP R3-47($261.63)</t>
  </si>
  <si>
    <t>Harmon</t>
  </si>
  <si>
    <t>Austin</t>
  </si>
  <si>
    <t>Arizona City</t>
  </si>
  <si>
    <t>9462295527</t>
  </si>
  <si>
    <t>No MAEP R-BASIC($56.50)</t>
  </si>
  <si>
    <t>Mangerie</t>
  </si>
  <si>
    <t>Chelsea</t>
  </si>
  <si>
    <t>7850451000</t>
  </si>
  <si>
    <t>EPR-6w/ET-2</t>
  </si>
  <si>
    <t>Flores</t>
  </si>
  <si>
    <t>Ashley</t>
  </si>
  <si>
    <t>Farr</t>
  </si>
  <si>
    <t>Amanda</t>
  </si>
  <si>
    <t>No MEP R3-47(463.60)</t>
  </si>
  <si>
    <t>Healey</t>
  </si>
  <si>
    <t>Patrizia</t>
  </si>
  <si>
    <t>Mateos</t>
  </si>
  <si>
    <t>Melissa</t>
  </si>
  <si>
    <t>El Mirage</t>
  </si>
  <si>
    <t>Strauss</t>
  </si>
  <si>
    <t xml:space="preserve">N </t>
  </si>
  <si>
    <t>Campbell</t>
  </si>
  <si>
    <t>Bauman</t>
  </si>
  <si>
    <t>Raymie</t>
  </si>
  <si>
    <t>Bradley</t>
  </si>
  <si>
    <t>9091172317</t>
  </si>
  <si>
    <t>Frazier</t>
  </si>
  <si>
    <t>Brandon</t>
  </si>
  <si>
    <t>73064220000</t>
  </si>
  <si>
    <t>Hale</t>
  </si>
  <si>
    <t>Catherine</t>
  </si>
  <si>
    <t>3411891368</t>
  </si>
  <si>
    <t>Norton</t>
  </si>
  <si>
    <t>Colin</t>
  </si>
  <si>
    <t>4659820000</t>
  </si>
  <si>
    <t>No-MEP R3-47($453.80)</t>
  </si>
  <si>
    <t xml:space="preserve">10/2 Spoke with customer and provided information regarding MEP. He wanted to review the details online. Also provided the information is available on his bill each month. Offered our number if he had any questions. </t>
  </si>
  <si>
    <t>Rogers</t>
  </si>
  <si>
    <t>Wittmann</t>
  </si>
  <si>
    <t>Lindsey</t>
  </si>
  <si>
    <t>26172433356</t>
  </si>
  <si>
    <t>Herrmann</t>
  </si>
  <si>
    <t>Jeremiah</t>
  </si>
  <si>
    <t>Koduri</t>
  </si>
  <si>
    <t>Divya</t>
  </si>
  <si>
    <t>4242991952</t>
  </si>
  <si>
    <t>Cody</t>
  </si>
  <si>
    <t>2773271262</t>
  </si>
  <si>
    <t>Lyngaas</t>
  </si>
  <si>
    <t>Owen</t>
  </si>
  <si>
    <t>2371502355</t>
  </si>
  <si>
    <t>Peluso</t>
  </si>
  <si>
    <t>4056801020</t>
  </si>
  <si>
    <t>Scaminaci</t>
  </si>
  <si>
    <t>Todd</t>
  </si>
  <si>
    <t>6322573684</t>
  </si>
  <si>
    <t>Edgar</t>
  </si>
  <si>
    <t>Bailey</t>
  </si>
  <si>
    <t>Isaiah</t>
  </si>
  <si>
    <t>6460103590</t>
  </si>
  <si>
    <t>Nadolski</t>
  </si>
  <si>
    <t>Andrew</t>
  </si>
  <si>
    <t>4452990070</t>
  </si>
  <si>
    <t>Hernandex</t>
  </si>
  <si>
    <t>Aldo</t>
  </si>
  <si>
    <t>Vargo</t>
  </si>
  <si>
    <t xml:space="preserve">Daniel </t>
  </si>
  <si>
    <t>Harding</t>
  </si>
  <si>
    <t>Anthony</t>
  </si>
  <si>
    <t>Wasserman</t>
  </si>
  <si>
    <t>Michael</t>
  </si>
  <si>
    <t>4048489946</t>
  </si>
  <si>
    <t>No MEP R3-47($123.47)</t>
  </si>
  <si>
    <t>10/9 - Left VM</t>
  </si>
  <si>
    <t>O'Toole</t>
  </si>
  <si>
    <t>Dan</t>
  </si>
  <si>
    <t>Nicosia</t>
  </si>
  <si>
    <t>Marcella</t>
  </si>
  <si>
    <t>1750915214</t>
  </si>
  <si>
    <t>Assaraf</t>
  </si>
  <si>
    <t>Sandy</t>
  </si>
  <si>
    <t>4133921000</t>
  </si>
  <si>
    <t>Roudette</t>
  </si>
  <si>
    <t>6230194725</t>
  </si>
  <si>
    <t>Assistance?</t>
  </si>
  <si>
    <t>Knorr</t>
  </si>
  <si>
    <t>Tyler</t>
  </si>
  <si>
    <t>Jones-Weinert</t>
  </si>
  <si>
    <t>Esho</t>
  </si>
  <si>
    <t>https://images.edocket.azcc.gov/docketpdf/0000215113.pdf</t>
  </si>
  <si>
    <t>2806465032</t>
  </si>
  <si>
    <t>Shuck</t>
  </si>
  <si>
    <t>Ken</t>
  </si>
  <si>
    <t>Flagstaff</t>
  </si>
  <si>
    <t>Would be a hardship</t>
  </si>
  <si>
    <t>https://images.edocket.azcc.gov/docketpdf/E000046190.pdf</t>
  </si>
  <si>
    <t>4871279597</t>
  </si>
  <si>
    <t>Gardner</t>
  </si>
  <si>
    <t>Karece</t>
  </si>
  <si>
    <t>4436732938</t>
  </si>
  <si>
    <t>No MEP R3-47($216.65)</t>
  </si>
  <si>
    <t>10/2 - Left VM</t>
  </si>
  <si>
    <t>Hampton</t>
  </si>
  <si>
    <t>5172470768</t>
  </si>
  <si>
    <t>Premjee</t>
  </si>
  <si>
    <t>Jayesh</t>
  </si>
  <si>
    <t>Financial burden</t>
  </si>
  <si>
    <t>4073651000</t>
  </si>
  <si>
    <t>No MEP R3-47($176.22)</t>
  </si>
  <si>
    <t>Spoke w/customer- he will think about it and either call back or change online</t>
  </si>
  <si>
    <t>Soledad</t>
  </si>
  <si>
    <t>Ramon</t>
  </si>
  <si>
    <t>Avondale</t>
  </si>
  <si>
    <t>6354570000</t>
  </si>
  <si>
    <t>Spanish preference customer</t>
  </si>
  <si>
    <t>Ramirez</t>
  </si>
  <si>
    <t>Apodaca</t>
  </si>
  <si>
    <t>Simpson</t>
  </si>
  <si>
    <t>Adam</t>
  </si>
  <si>
    <t>1541553890</t>
  </si>
  <si>
    <t>Marr</t>
  </si>
  <si>
    <t>Michaela</t>
  </si>
  <si>
    <t>9149301000</t>
  </si>
  <si>
    <t>Hatch</t>
  </si>
  <si>
    <t>Geoffrey</t>
  </si>
  <si>
    <t>8789670000</t>
  </si>
  <si>
    <t>Sutton</t>
  </si>
  <si>
    <t>Terry</t>
  </si>
  <si>
    <t>Casa Grande</t>
  </si>
  <si>
    <t>4665180000</t>
  </si>
  <si>
    <t>R-2</t>
  </si>
  <si>
    <t>Klein</t>
  </si>
  <si>
    <t>Christian</t>
  </si>
  <si>
    <t>9867756348</t>
  </si>
  <si>
    <t>Skinner</t>
  </si>
  <si>
    <t>Edward</t>
  </si>
  <si>
    <t>Desert</t>
  </si>
  <si>
    <t>Christopher</t>
  </si>
  <si>
    <t>Becker</t>
  </si>
  <si>
    <t>Nicholas</t>
  </si>
  <si>
    <t>4619651000</t>
  </si>
  <si>
    <t>Shoop</t>
  </si>
  <si>
    <t>Jordan</t>
  </si>
  <si>
    <t>0066499647</t>
  </si>
  <si>
    <t>Reta</t>
  </si>
  <si>
    <t>Nikki</t>
  </si>
  <si>
    <t>Bednarz</t>
  </si>
  <si>
    <t>Taylor</t>
  </si>
  <si>
    <t>4983424677</t>
  </si>
  <si>
    <t>No MEP R3-47($129.92)</t>
  </si>
  <si>
    <t>Left VM 10/03/2025</t>
  </si>
  <si>
    <t>Kovar</t>
  </si>
  <si>
    <t>No rate hikes</t>
  </si>
  <si>
    <t>5273951000</t>
  </si>
  <si>
    <t>Lamb</t>
  </si>
  <si>
    <t>2204984346</t>
  </si>
  <si>
    <t>Edwards</t>
  </si>
  <si>
    <t>Dylan</t>
  </si>
  <si>
    <t>Munuswamy</t>
  </si>
  <si>
    <t>Dinesh</t>
  </si>
  <si>
    <t>5930390000</t>
  </si>
  <si>
    <t>Mandloi</t>
  </si>
  <si>
    <t>Anurag</t>
  </si>
  <si>
    <t>1742331189</t>
  </si>
  <si>
    <t>Kelly</t>
  </si>
  <si>
    <t>9268845654</t>
  </si>
  <si>
    <t>Sahoo</t>
  </si>
  <si>
    <t>Prakash</t>
  </si>
  <si>
    <t>Does not support</t>
  </si>
  <si>
    <t>5872670000</t>
  </si>
  <si>
    <t>Lichtner</t>
  </si>
  <si>
    <t>1567963536</t>
  </si>
  <si>
    <t>No MEP R3-47($45.27)</t>
  </si>
  <si>
    <t>Linnane</t>
  </si>
  <si>
    <t>Betsy</t>
  </si>
  <si>
    <t>Pela</t>
  </si>
  <si>
    <t>Allison</t>
  </si>
  <si>
    <t>Punishing solar customers</t>
  </si>
  <si>
    <t>7770645738</t>
  </si>
  <si>
    <t>Elliston</t>
  </si>
  <si>
    <t>Juanita</t>
  </si>
  <si>
    <t>2931588244</t>
  </si>
  <si>
    <t>Kroytoro</t>
  </si>
  <si>
    <t>Eli</t>
  </si>
  <si>
    <t>5428778750</t>
  </si>
  <si>
    <t>McCallum</t>
  </si>
  <si>
    <t>Robert</t>
  </si>
  <si>
    <t xml:space="preserve">Cannot afford/retired </t>
  </si>
  <si>
    <t>9593560000</t>
  </si>
  <si>
    <t>Kontryn</t>
  </si>
  <si>
    <t xml:space="preserve">Sara </t>
  </si>
  <si>
    <t>3405320000</t>
  </si>
  <si>
    <t>No MEP R3-47($91.81)</t>
  </si>
  <si>
    <t>Petersen</t>
  </si>
  <si>
    <t>Bergstrom</t>
  </si>
  <si>
    <t>Shailey</t>
  </si>
  <si>
    <t>Apt electric bill is as high as her parent home in Tucson</t>
  </si>
  <si>
    <t>7477798096</t>
  </si>
  <si>
    <t>No MEP R-BASIC(170.69)</t>
  </si>
  <si>
    <t>Left VM 10/03/2025 - Will be automatically reassigned to Tier 2 soon</t>
  </si>
  <si>
    <t>Richard</t>
  </si>
  <si>
    <t>2605161000</t>
  </si>
  <si>
    <t>No Multiple SAs not on MEP</t>
  </si>
  <si>
    <t>Weaver</t>
  </si>
  <si>
    <t>Make data centers pay more not people who are struggling</t>
  </si>
  <si>
    <t>9938175305</t>
  </si>
  <si>
    <t>Gutierrez</t>
  </si>
  <si>
    <t>Francisco</t>
  </si>
  <si>
    <t>Yuma</t>
  </si>
  <si>
    <t>1560131000</t>
  </si>
  <si>
    <t>No MEP R3-47($92.74)</t>
  </si>
  <si>
    <t>Unable to leave VM- Mailbox full 10/03/25</t>
  </si>
  <si>
    <t>Buros</t>
  </si>
  <si>
    <t>Nicole</t>
  </si>
  <si>
    <t>Ramakrishnan</t>
  </si>
  <si>
    <t>Shyam Sundar</t>
  </si>
  <si>
    <t>Unnecessary financial strain</t>
  </si>
  <si>
    <t>9679340000</t>
  </si>
  <si>
    <t>Vandiver</t>
  </si>
  <si>
    <t>Kaneshea</t>
  </si>
  <si>
    <t>Already having a hard time affording electric bill</t>
  </si>
  <si>
    <t>5347487924</t>
  </si>
  <si>
    <t>Martin-Pinon</t>
  </si>
  <si>
    <t>Olivia</t>
  </si>
  <si>
    <t>Tempe</t>
  </si>
  <si>
    <t>Fajardo</t>
  </si>
  <si>
    <t>9687504618</t>
  </si>
  <si>
    <t>Mohapatra</t>
  </si>
  <si>
    <t>Sangram</t>
  </si>
  <si>
    <t>4557041000</t>
  </si>
  <si>
    <t>No MEP R3-47($197.05)</t>
  </si>
  <si>
    <t>Purohit</t>
  </si>
  <si>
    <t>Amit Kumar</t>
  </si>
  <si>
    <t>3105621000</t>
  </si>
  <si>
    <t>Valenzuela</t>
  </si>
  <si>
    <t>Elena</t>
  </si>
  <si>
    <t>Theis</t>
  </si>
  <si>
    <t>Madison</t>
  </si>
  <si>
    <t>49371600000</t>
  </si>
  <si>
    <t>Lee</t>
  </si>
  <si>
    <t>Have to choose between lights and groceries</t>
  </si>
  <si>
    <t>Davis</t>
  </si>
  <si>
    <t>Lance</t>
  </si>
  <si>
    <t>Hupka</t>
  </si>
  <si>
    <t>Tanner</t>
  </si>
  <si>
    <t>8701977261</t>
  </si>
  <si>
    <t>Lopez</t>
  </si>
  <si>
    <t>Brian</t>
  </si>
  <si>
    <t>Somerton</t>
  </si>
  <si>
    <t>Monopoly</t>
  </si>
  <si>
    <t>Chacon</t>
  </si>
  <si>
    <t>Luis</t>
  </si>
  <si>
    <t>Dims</t>
  </si>
  <si>
    <t xml:space="preserve">Cannot afford </t>
  </si>
  <si>
    <t>Coudriet</t>
  </si>
  <si>
    <t>Lise</t>
  </si>
  <si>
    <t xml:space="preserve">Will cause hardships </t>
  </si>
  <si>
    <t>5411325149</t>
  </si>
  <si>
    <t>No MEP R3-47(755.73)</t>
  </si>
  <si>
    <r>
      <t xml:space="preserve">Left VM 10/03/2025 - Initiated rate change to MEP on 10/10 </t>
    </r>
    <r>
      <rPr>
        <sz val="9"/>
        <color rgb="FFFF0000"/>
        <rFont val="Arial Nova Cond"/>
        <family val="2"/>
      </rPr>
      <t>- MAY NEED MORE ASSISTANCE</t>
    </r>
  </si>
  <si>
    <t>Murillo</t>
  </si>
  <si>
    <t>Deep</t>
  </si>
  <si>
    <t>Varun</t>
  </si>
  <si>
    <t>4664521000</t>
  </si>
  <si>
    <t>Skidmore</t>
  </si>
  <si>
    <t>Marie</t>
  </si>
  <si>
    <t>Not affordable</t>
  </si>
  <si>
    <t>1037080000</t>
  </si>
  <si>
    <t>Floyd</t>
  </si>
  <si>
    <t>Casey</t>
  </si>
  <si>
    <t>7246270000</t>
  </si>
  <si>
    <t>Chandrasekaran</t>
  </si>
  <si>
    <t>Vamsikrishna</t>
  </si>
  <si>
    <t>Families struggling/APS strong profits</t>
  </si>
  <si>
    <t>Jaime</t>
  </si>
  <si>
    <t>Johnson</t>
  </si>
  <si>
    <t>Rion</t>
  </si>
  <si>
    <t>Medeiros</t>
  </si>
  <si>
    <t>Morganstien</t>
  </si>
  <si>
    <t>Alan</t>
  </si>
  <si>
    <t>Citizens carrying cost of demand driven by data centers</t>
  </si>
  <si>
    <t xml:space="preserve">Gurram </t>
  </si>
  <si>
    <t>Tanooj Kumar Reddy</t>
  </si>
  <si>
    <t>7001761000</t>
  </si>
  <si>
    <t>No MEP R3-47($194.29)</t>
  </si>
  <si>
    <t>Vogt</t>
  </si>
  <si>
    <t>Gary</t>
  </si>
  <si>
    <t>Sun City West</t>
  </si>
  <si>
    <t>APS profits high/fixed income, will strain budget</t>
  </si>
  <si>
    <t>7345723859</t>
  </si>
  <si>
    <t>Edens</t>
  </si>
  <si>
    <t>Colleen</t>
  </si>
  <si>
    <t>Fixed income/don't raise it much</t>
  </si>
  <si>
    <t>McKnight</t>
  </si>
  <si>
    <t>Joshua</t>
  </si>
  <si>
    <t>Heck</t>
  </si>
  <si>
    <t>Traci</t>
  </si>
  <si>
    <t>Paying $100s for house at 80 degrees</t>
  </si>
  <si>
    <t>9712385989</t>
  </si>
  <si>
    <t>Karna</t>
  </si>
  <si>
    <t>Easton</t>
  </si>
  <si>
    <t>Greedy / inflation outpaces income increases</t>
  </si>
  <si>
    <t>Dhamotharan</t>
  </si>
  <si>
    <t>Madhavan</t>
  </si>
  <si>
    <t>6558990000</t>
  </si>
  <si>
    <t>Champion</t>
  </si>
  <si>
    <t>Vicki</t>
  </si>
  <si>
    <t>APS charges more than SRP</t>
  </si>
  <si>
    <t>Multiple Accounts</t>
  </si>
  <si>
    <t>RTOUE47//ET-2 W/EPR6</t>
  </si>
  <si>
    <t>No MEP R3-47 ($127.42)</t>
  </si>
  <si>
    <t xml:space="preserve">Ty </t>
  </si>
  <si>
    <t>8773518025</t>
  </si>
  <si>
    <t>filed 2x on this day</t>
  </si>
  <si>
    <t>Willett</t>
  </si>
  <si>
    <t>5425180000</t>
  </si>
  <si>
    <t>Navarrette</t>
  </si>
  <si>
    <t>Adriana</t>
  </si>
  <si>
    <t>Schwartz</t>
  </si>
  <si>
    <t>Doesn't deserve another rate increase</t>
  </si>
  <si>
    <t>0726041000</t>
  </si>
  <si>
    <t>Nance</t>
  </si>
  <si>
    <t>Stacy</t>
  </si>
  <si>
    <t>No more increases, already paycheck to paycheck</t>
  </si>
  <si>
    <t>2439620000</t>
  </si>
  <si>
    <t>Beatty</t>
  </si>
  <si>
    <t>Cottonwood</t>
  </si>
  <si>
    <t>Unacceptable financial burden</t>
  </si>
  <si>
    <t>0217135178</t>
  </si>
  <si>
    <t>Embrey</t>
  </si>
  <si>
    <t xml:space="preserve">Fixed income </t>
  </si>
  <si>
    <t>0110711000</t>
  </si>
  <si>
    <t>Oakley</t>
  </si>
  <si>
    <t>Abraham</t>
  </si>
  <si>
    <t>8799324553</t>
  </si>
  <si>
    <t>Grow</t>
  </si>
  <si>
    <t>Scott</t>
  </si>
  <si>
    <t>Bill has gone up every year</t>
  </si>
  <si>
    <t>0072923417</t>
  </si>
  <si>
    <t>Sillivan</t>
  </si>
  <si>
    <t>Negatively impact ability to pay bills</t>
  </si>
  <si>
    <t>Satawa</t>
  </si>
  <si>
    <t>6591717645</t>
  </si>
  <si>
    <t>Portillo</t>
  </si>
  <si>
    <t>Jesus</t>
  </si>
  <si>
    <t>Messner</t>
  </si>
  <si>
    <t>Matthew</t>
  </si>
  <si>
    <t>Data centers shouldn't be residents cross to bear</t>
  </si>
  <si>
    <t>7297283438</t>
  </si>
  <si>
    <t>Megan</t>
  </si>
  <si>
    <t>Barely afford it now</t>
  </si>
  <si>
    <t>Crowley</t>
  </si>
  <si>
    <t>Kendell</t>
  </si>
  <si>
    <t>5849875191</t>
  </si>
  <si>
    <t>N o MEP R-XS(136.68)</t>
  </si>
  <si>
    <t>Left VM 10/03/2025 - Initiated rate change on 10/19</t>
  </si>
  <si>
    <t>Wasylenko</t>
  </si>
  <si>
    <t>Emily</t>
  </si>
  <si>
    <t>8720343919</t>
  </si>
  <si>
    <t>Pernatozzi</t>
  </si>
  <si>
    <t>Lauren</t>
  </si>
  <si>
    <t xml:space="preserve">Data centers </t>
  </si>
  <si>
    <t>7849027455</t>
  </si>
  <si>
    <t>Hansen</t>
  </si>
  <si>
    <t>4225001000</t>
  </si>
  <si>
    <t>Millwee</t>
  </si>
  <si>
    <t>Elizabeth</t>
  </si>
  <si>
    <t>Corona</t>
  </si>
  <si>
    <t>Samuel</t>
  </si>
  <si>
    <t>Reynnaud</t>
  </si>
  <si>
    <t xml:space="preserve">Gordon </t>
  </si>
  <si>
    <t>Martinez Valdez</t>
  </si>
  <si>
    <t>Diana</t>
  </si>
  <si>
    <t>Stop the rising prices</t>
  </si>
  <si>
    <t>Salameh</t>
  </si>
  <si>
    <t>Samira</t>
  </si>
  <si>
    <t>3462131000</t>
  </si>
  <si>
    <t>Carter</t>
  </si>
  <si>
    <t>Katie</t>
  </si>
  <si>
    <t>Huge burden /  limited income</t>
  </si>
  <si>
    <t>Kotagiri</t>
  </si>
  <si>
    <t>Sanjay</t>
  </si>
  <si>
    <t>Kanch</t>
  </si>
  <si>
    <t>Abhi</t>
  </si>
  <si>
    <t>Benchwick</t>
  </si>
  <si>
    <t>Outrageous</t>
  </si>
  <si>
    <t>Amoroso</t>
  </si>
  <si>
    <t>Terri</t>
  </si>
  <si>
    <t>Berumen</t>
  </si>
  <si>
    <t>Justice</t>
  </si>
  <si>
    <t xml:space="preserve">Outraged </t>
  </si>
  <si>
    <t>Michaud</t>
  </si>
  <si>
    <t>Nada</t>
  </si>
  <si>
    <t>Stop increasing rates</t>
  </si>
  <si>
    <t>Wellen</t>
  </si>
  <si>
    <t>Bev</t>
  </si>
  <si>
    <t>No more rate hikes</t>
  </si>
  <si>
    <t>Brutinel</t>
  </si>
  <si>
    <t>Shea</t>
  </si>
  <si>
    <t>Prescott</t>
  </si>
  <si>
    <t>Lipfert</t>
  </si>
  <si>
    <t>Hozian</t>
  </si>
  <si>
    <t>Cathy</t>
  </si>
  <si>
    <t>APS is greedy and evil</t>
  </si>
  <si>
    <t>Hendrickson</t>
  </si>
  <si>
    <t>Ria</t>
  </si>
  <si>
    <t>Romanek</t>
  </si>
  <si>
    <t>No MEP RTOUE ($45.35)</t>
  </si>
  <si>
    <t>Eddy</t>
  </si>
  <si>
    <t>Kaylah</t>
  </si>
  <si>
    <t>Selvaraj</t>
  </si>
  <si>
    <t>LaFevre</t>
  </si>
  <si>
    <t>Ryan</t>
  </si>
  <si>
    <t>Patel</t>
  </si>
  <si>
    <t>Kevin</t>
  </si>
  <si>
    <t>No MEP R3-47($402.81)</t>
  </si>
  <si>
    <t>Johnston</t>
  </si>
  <si>
    <t>Kendra</t>
  </si>
  <si>
    <t>Antonio</t>
  </si>
  <si>
    <t>Gross</t>
  </si>
  <si>
    <t>Cindy</t>
  </si>
  <si>
    <t>Gomez</t>
  </si>
  <si>
    <t>Amias</t>
  </si>
  <si>
    <t>Dubner</t>
  </si>
  <si>
    <t>Daren</t>
  </si>
  <si>
    <t>Struggling to pay bills &amp; to find renters willing to pay rates</t>
  </si>
  <si>
    <t>Schroeder</t>
  </si>
  <si>
    <t>People are suffering financially</t>
  </si>
  <si>
    <t>No MEP R3-47 ($369.17)</t>
  </si>
  <si>
    <t>COR made rate change on 9/18</t>
  </si>
  <si>
    <t>De Fina</t>
  </si>
  <si>
    <t>Ellana</t>
  </si>
  <si>
    <t>No MEP R3-47($43.55)</t>
  </si>
  <si>
    <t xml:space="preserve">Hays </t>
  </si>
  <si>
    <t>Timoth</t>
  </si>
  <si>
    <t>Ana</t>
  </si>
  <si>
    <t>Making it harder for middle class</t>
  </si>
  <si>
    <t>Messmer</t>
  </si>
  <si>
    <t>Widow on limited income</t>
  </si>
  <si>
    <t>No MEP R3-47($87.48)</t>
  </si>
  <si>
    <t>Harmes</t>
  </si>
  <si>
    <t>Kim</t>
  </si>
  <si>
    <t>Fixed income and august bill was $588</t>
  </si>
  <si>
    <t>Crane</t>
  </si>
  <si>
    <t>Frank</t>
  </si>
  <si>
    <t>Anthem</t>
  </si>
  <si>
    <t>No MEP RTOUE47($28.13)</t>
  </si>
  <si>
    <t>McReynolds</t>
  </si>
  <si>
    <t>No MEP R3-47($158.60)</t>
  </si>
  <si>
    <t>Meraz</t>
  </si>
  <si>
    <t>Victor</t>
  </si>
  <si>
    <t>Already expensive enough</t>
  </si>
  <si>
    <t>Repaka</t>
  </si>
  <si>
    <t>Veerraju</t>
  </si>
  <si>
    <t>No MEP R3-47($18.51)</t>
  </si>
  <si>
    <t>Rood</t>
  </si>
  <si>
    <t>Families struggling</t>
  </si>
  <si>
    <t>Garrick</t>
  </si>
  <si>
    <t>Jacqueline</t>
  </si>
  <si>
    <t>Zack</t>
  </si>
  <si>
    <t>Priess</t>
  </si>
  <si>
    <t>Felipe</t>
  </si>
  <si>
    <t>Meyer</t>
  </si>
  <si>
    <t>Randell</t>
  </si>
  <si>
    <t>Opposed to FRM</t>
  </si>
  <si>
    <t>Wetch</t>
  </si>
  <si>
    <t>Kristine</t>
  </si>
  <si>
    <t>Cannot afford if the rates go higher</t>
  </si>
  <si>
    <t>Farmer</t>
  </si>
  <si>
    <t>Eric</t>
  </si>
  <si>
    <t>Deleon</t>
  </si>
  <si>
    <t>Doneen</t>
  </si>
  <si>
    <t>Zuniga</t>
  </si>
  <si>
    <t>Dante</t>
  </si>
  <si>
    <t>Hoffman</t>
  </si>
  <si>
    <t>Rebecca</t>
  </si>
  <si>
    <t>Bambulum</t>
  </si>
  <si>
    <t>Grace</t>
  </si>
  <si>
    <t>Globe</t>
  </si>
  <si>
    <t>No MEP R-BASIC ($102.86)</t>
  </si>
  <si>
    <t>Gonzalez</t>
  </si>
  <si>
    <t>Kadence</t>
  </si>
  <si>
    <t>No MEP R3-47($36.09)</t>
  </si>
  <si>
    <t>Brown</t>
  </si>
  <si>
    <t>Theodore</t>
  </si>
  <si>
    <t>No MEP R-BASIC ($49.11)</t>
  </si>
  <si>
    <t>Cherukumilli</t>
  </si>
  <si>
    <t>Kameswar Naveen</t>
  </si>
  <si>
    <t>Clasby</t>
  </si>
  <si>
    <t>Brendan</t>
  </si>
  <si>
    <t>Roy</t>
  </si>
  <si>
    <t>Jackson</t>
  </si>
  <si>
    <t>Pranesh</t>
  </si>
  <si>
    <t>Vinay</t>
  </si>
  <si>
    <t>No MEP R-BASIC ($95.94)</t>
  </si>
  <si>
    <t>Cunico</t>
  </si>
  <si>
    <t>Shayla</t>
  </si>
  <si>
    <t>Castre</t>
  </si>
  <si>
    <t>No MEP R3-47($63.87)</t>
  </si>
  <si>
    <t>Jade</t>
  </si>
  <si>
    <t>Rumery</t>
  </si>
  <si>
    <t>Ashlee</t>
  </si>
  <si>
    <t>No MEP R3-47($20.52)</t>
  </si>
  <si>
    <t>Tobey</t>
  </si>
  <si>
    <t>Patino</t>
  </si>
  <si>
    <t>Sean</t>
  </si>
  <si>
    <t>Pugliese</t>
  </si>
  <si>
    <t>Jeffrey</t>
  </si>
  <si>
    <t>Kolli</t>
  </si>
  <si>
    <t>Raquel</t>
  </si>
  <si>
    <t>Too high</t>
  </si>
  <si>
    <t>McChesney</t>
  </si>
  <si>
    <t>Unneeded money grab</t>
  </si>
  <si>
    <t>Rall</t>
  </si>
  <si>
    <t>Draeque</t>
  </si>
  <si>
    <t>No MEP R-XS($104.50)</t>
  </si>
  <si>
    <t>Left VM 10/03/2025 - Will be automatically reassigned to Tier 1 soon</t>
  </si>
  <si>
    <t>Dandasi</t>
  </si>
  <si>
    <t>Fargher</t>
  </si>
  <si>
    <t>No MEP R-XS ($126.43)</t>
  </si>
  <si>
    <t>Will be automatically reassigned to Tier 1 soon</t>
  </si>
  <si>
    <t>Sutinen</t>
  </si>
  <si>
    <t>Family struggling to make ends meet</t>
  </si>
  <si>
    <t>Fix</t>
  </si>
  <si>
    <t>Cunningham</t>
  </si>
  <si>
    <t>Barbara</t>
  </si>
  <si>
    <t>Too much</t>
  </si>
  <si>
    <t>Rakesh</t>
  </si>
  <si>
    <t>Priya</t>
  </si>
  <si>
    <t>Vishnu</t>
  </si>
  <si>
    <t>Renberg</t>
  </si>
  <si>
    <t>Pannila</t>
  </si>
  <si>
    <t>Samudi</t>
  </si>
  <si>
    <t>Stop being greedy</t>
  </si>
  <si>
    <t>No MEP R-XS ($22.77)</t>
  </si>
  <si>
    <t xml:space="preserve">Angelsante </t>
  </si>
  <si>
    <t>Didier</t>
  </si>
  <si>
    <t>Laurel</t>
  </si>
  <si>
    <t>Solar Partner Program</t>
  </si>
  <si>
    <t>Ranganathan</t>
  </si>
  <si>
    <t>Vengadesh</t>
  </si>
  <si>
    <t>S</t>
  </si>
  <si>
    <t>Ben</t>
  </si>
  <si>
    <t>Czyzewicz</t>
  </si>
  <si>
    <t>Savannah</t>
  </si>
  <si>
    <t>Freeman</t>
  </si>
  <si>
    <t>Branden</t>
  </si>
  <si>
    <t xml:space="preserve">Breining </t>
  </si>
  <si>
    <t>No MEP R-BASIC($196.33)</t>
  </si>
  <si>
    <t>Number not in service</t>
  </si>
  <si>
    <t>Rajkaran</t>
  </si>
  <si>
    <t>Rupesh</t>
  </si>
  <si>
    <t>No MEP R-XS(19.31)</t>
  </si>
  <si>
    <t>2 SAs on account should be automatically reassigned to Tier 1 soon</t>
  </si>
  <si>
    <t>Caldwell</t>
  </si>
  <si>
    <t>Ollerton</t>
  </si>
  <si>
    <t>Senior / Fixed Income</t>
  </si>
  <si>
    <t>Ohare</t>
  </si>
  <si>
    <t>Nukala</t>
  </si>
  <si>
    <t>Vijay</t>
  </si>
  <si>
    <t>REV47</t>
  </si>
  <si>
    <t>Virigineni</t>
  </si>
  <si>
    <t>Udayakumar</t>
  </si>
  <si>
    <t>Carrillo</t>
  </si>
  <si>
    <t>Schmoldt</t>
  </si>
  <si>
    <t>Lia</t>
  </si>
  <si>
    <t>Reber</t>
  </si>
  <si>
    <t>Brad</t>
  </si>
  <si>
    <t>Sarocka</t>
  </si>
  <si>
    <t>Doninique</t>
  </si>
  <si>
    <t>Fountain Hills</t>
  </si>
  <si>
    <t>Greedy companies</t>
  </si>
  <si>
    <t>Osteen</t>
  </si>
  <si>
    <t>No MEP R3-47($174.04)</t>
  </si>
  <si>
    <t xml:space="preserve">OBC 10/06/2025 COR declined changing to MEP </t>
  </si>
  <si>
    <t xml:space="preserve">Small </t>
  </si>
  <si>
    <t>Senior / everything is too much money</t>
  </si>
  <si>
    <t>Swinson</t>
  </si>
  <si>
    <t>Tony</t>
  </si>
  <si>
    <t>Kote</t>
  </si>
  <si>
    <t>Raghavendra</t>
  </si>
  <si>
    <t>Chakka</t>
  </si>
  <si>
    <t>Sriramulu</t>
  </si>
  <si>
    <t>No MEP R3-47(105.89)</t>
  </si>
  <si>
    <t>Left VM 10/06/2025// COR CB AND STATED HE WILL THINK ABOUT CHANGING PLANS</t>
  </si>
  <si>
    <t>Vasanthakumar</t>
  </si>
  <si>
    <t>Amar</t>
  </si>
  <si>
    <t>Stopped services 10/27</t>
  </si>
  <si>
    <t>Nunez</t>
  </si>
  <si>
    <t>Maria</t>
  </si>
  <si>
    <t>Calcaterra</t>
  </si>
  <si>
    <t>Drew</t>
  </si>
  <si>
    <t>Jenkins</t>
  </si>
  <si>
    <t>Camille</t>
  </si>
  <si>
    <t>Spend more on electricity than food</t>
  </si>
  <si>
    <t>Lawler</t>
  </si>
  <si>
    <t>Donna</t>
  </si>
  <si>
    <t>Huskey</t>
  </si>
  <si>
    <t>Raymond</t>
  </si>
  <si>
    <t>Peter</t>
  </si>
  <si>
    <t>Ikeler</t>
  </si>
  <si>
    <t>No MEP R-BASIC ($40.75)</t>
  </si>
  <si>
    <t>Samuels</t>
  </si>
  <si>
    <t>Shaun</t>
  </si>
  <si>
    <t>No MEP RTOUE ($2.35)</t>
  </si>
  <si>
    <t>Bahoura</t>
  </si>
  <si>
    <t>Jayne</t>
  </si>
  <si>
    <t>Bolanos</t>
  </si>
  <si>
    <t>Irene</t>
  </si>
  <si>
    <t>Have to choose between eating every day or paying bills</t>
  </si>
  <si>
    <t>Zagoryanu</t>
  </si>
  <si>
    <t>Marius</t>
  </si>
  <si>
    <t>Phan</t>
  </si>
  <si>
    <t>Detrimental to many households</t>
  </si>
  <si>
    <t>Porchia</t>
  </si>
  <si>
    <t>Dominic</t>
  </si>
  <si>
    <t>Josh</t>
  </si>
  <si>
    <t>Niles</t>
  </si>
  <si>
    <t>Romero</t>
  </si>
  <si>
    <t>Cristobal</t>
  </si>
  <si>
    <t>Chokkalingam</t>
  </si>
  <si>
    <t>Sankar</t>
  </si>
  <si>
    <t>Already paying huge amount</t>
  </si>
  <si>
    <t>Khandelwal</t>
  </si>
  <si>
    <t>Vivek</t>
  </si>
  <si>
    <t>Swanson</t>
  </si>
  <si>
    <t>Zachary</t>
  </si>
  <si>
    <t>Vallinayagam</t>
  </si>
  <si>
    <t>Subramanian</t>
  </si>
  <si>
    <t>Vivekananthan</t>
  </si>
  <si>
    <t>Amarnath</t>
  </si>
  <si>
    <t>Smith</t>
  </si>
  <si>
    <t>Greedy</t>
  </si>
  <si>
    <t>Nelson</t>
  </si>
  <si>
    <t>Opposed, struggling</t>
  </si>
  <si>
    <t>1731130049</t>
  </si>
  <si>
    <t>Trudell</t>
  </si>
  <si>
    <t>Stephanie</t>
  </si>
  <si>
    <t>No rate increase</t>
  </si>
  <si>
    <t>Scarano</t>
  </si>
  <si>
    <t>Nick</t>
  </si>
  <si>
    <t>Shaikh</t>
  </si>
  <si>
    <t>Mohammed</t>
  </si>
  <si>
    <t>Ali</t>
  </si>
  <si>
    <t>Hawkins</t>
  </si>
  <si>
    <t>Sabrina</t>
  </si>
  <si>
    <t>Punishing residential property owners</t>
  </si>
  <si>
    <t>Brahmecha</t>
  </si>
  <si>
    <t>Swapnil</t>
  </si>
  <si>
    <t>Ponnoli</t>
  </si>
  <si>
    <t>Rukmini</t>
  </si>
  <si>
    <t>Opposed to rate increase</t>
  </si>
  <si>
    <t>No MEP R3-47(226.25)</t>
  </si>
  <si>
    <t>Decided to change to R3-47</t>
  </si>
  <si>
    <t>Terwadkar</t>
  </si>
  <si>
    <t>Aniket</t>
  </si>
  <si>
    <t>Thangavelu</t>
  </si>
  <si>
    <t>Nandha</t>
  </si>
  <si>
    <t>Ruiz</t>
  </si>
  <si>
    <t>Berenice</t>
  </si>
  <si>
    <t>Negatively impact customers</t>
  </si>
  <si>
    <t>No MEP R3-47 ($17.24)</t>
  </si>
  <si>
    <t>Ravikumar</t>
  </si>
  <si>
    <t>Vinoth Kumar</t>
  </si>
  <si>
    <t>Already suffering from job loss and tariff impact</t>
  </si>
  <si>
    <t>No MEP R3-47(220.87)</t>
  </si>
  <si>
    <t>10/06/2025 Left VM, cor  conf he wants to change plans, reviewed other resources- e3,crisis,liheap,project share</t>
  </si>
  <si>
    <t>Dlugosz</t>
  </si>
  <si>
    <t>A</t>
  </si>
  <si>
    <t>Ganesan</t>
  </si>
  <si>
    <t>Mithu</t>
  </si>
  <si>
    <t>No MEP R3-47($10.65)</t>
  </si>
  <si>
    <t>J</t>
  </si>
  <si>
    <t>Ramu</t>
  </si>
  <si>
    <t>No comment</t>
  </si>
  <si>
    <t xml:space="preserve">Martinez  </t>
  </si>
  <si>
    <t>Hardship</t>
  </si>
  <si>
    <t>Syed</t>
  </si>
  <si>
    <t>Meherudding</t>
  </si>
  <si>
    <t>Jimenez</t>
  </si>
  <si>
    <t>Arilene</t>
  </si>
  <si>
    <t>Singth</t>
  </si>
  <si>
    <t>Gaurav</t>
  </si>
  <si>
    <t>Robinson</t>
  </si>
  <si>
    <t>Arfa</t>
  </si>
  <si>
    <t>Douglas</t>
  </si>
  <si>
    <t>Against any rate hike</t>
  </si>
  <si>
    <t>Kalkowsli</t>
  </si>
  <si>
    <t>Chambers</t>
  </si>
  <si>
    <t>Dedra</t>
  </si>
  <si>
    <t>Waddell</t>
  </si>
  <si>
    <t>Greedy monopoly</t>
  </si>
  <si>
    <t>Kalra</t>
  </si>
  <si>
    <t>Kamini</t>
  </si>
  <si>
    <t>Faulkner</t>
  </si>
  <si>
    <t>Retired/Fixed income</t>
  </si>
  <si>
    <t>Stephenson Nunes</t>
  </si>
  <si>
    <t>Heidi</t>
  </si>
  <si>
    <t>Households can't afford this</t>
  </si>
  <si>
    <t>No MEP R3-47($104.12)</t>
  </si>
  <si>
    <t>10/06/2025 Left Vm</t>
  </si>
  <si>
    <t>Babcock</t>
  </si>
  <si>
    <t>Kristen</t>
  </si>
  <si>
    <t>Welch</t>
  </si>
  <si>
    <t>Arthur</t>
  </si>
  <si>
    <t>Commercial users in data space should take on increase</t>
  </si>
  <si>
    <t>Langdon</t>
  </si>
  <si>
    <t>Jamie</t>
  </si>
  <si>
    <t>No MEP R3-47 (50.52</t>
  </si>
  <si>
    <t>Requiested rate change online 11/1</t>
  </si>
  <si>
    <t>Damm-O'Donnell</t>
  </si>
  <si>
    <t>Suzanne</t>
  </si>
  <si>
    <t>Cather</t>
  </si>
  <si>
    <t>No MEP R3-47($163.02)</t>
  </si>
  <si>
    <t>10/06/2025Left VM -COR initiated rate change online 10/6</t>
  </si>
  <si>
    <t>Pfeil</t>
  </si>
  <si>
    <t>Carole</t>
  </si>
  <si>
    <t>Beyond what is affordable</t>
  </si>
  <si>
    <t>Walsh</t>
  </si>
  <si>
    <t>Richell</t>
  </si>
  <si>
    <t>No MEP R3-47($98.19)</t>
  </si>
  <si>
    <t>10/06/2025 Left VM</t>
  </si>
  <si>
    <t>Dicerni</t>
  </si>
  <si>
    <t>Nguyen</t>
  </si>
  <si>
    <t>Minh</t>
  </si>
  <si>
    <t>Nacim</t>
  </si>
  <si>
    <t>No MEP R3-47($184.81)</t>
  </si>
  <si>
    <t>No MEP R3-47($80.80)</t>
  </si>
  <si>
    <t>Valencia</t>
  </si>
  <si>
    <t>No MEP R-BASIC ($11.26)</t>
  </si>
  <si>
    <t>Junior</t>
  </si>
  <si>
    <t>Barton</t>
  </si>
  <si>
    <t>Bill $700 a month with AC at 83 right now</t>
  </si>
  <si>
    <t>Filed ACC complaint regarding unbundled charges in 2021</t>
  </si>
  <si>
    <t>Obe</t>
  </si>
  <si>
    <t>Tirupati</t>
  </si>
  <si>
    <t>Kiran</t>
  </si>
  <si>
    <t>Maleno</t>
  </si>
  <si>
    <t>Ysbeck</t>
  </si>
  <si>
    <t>Katherine</t>
  </si>
  <si>
    <t>It is hard enough right now</t>
  </si>
  <si>
    <t>Barnes</t>
  </si>
  <si>
    <t xml:space="preserve">Need to manage their costs </t>
  </si>
  <si>
    <t>Sawant</t>
  </si>
  <si>
    <t>Ajay</t>
  </si>
  <si>
    <t>Dautia</t>
  </si>
  <si>
    <t>Lark</t>
  </si>
  <si>
    <t>Can't afford high electric bills</t>
  </si>
  <si>
    <t>Samora</t>
  </si>
  <si>
    <t>Layne</t>
  </si>
  <si>
    <t>Monopoly, break up company</t>
  </si>
  <si>
    <t>Degado</t>
  </si>
  <si>
    <t>Bill is already high enough</t>
  </si>
  <si>
    <t>Edala</t>
  </si>
  <si>
    <t>Suneel</t>
  </si>
  <si>
    <t>Bonnett</t>
  </si>
  <si>
    <t>Ebel</t>
  </si>
  <si>
    <t>Lawrence</t>
  </si>
  <si>
    <t>No MEP R3-47($216.68)</t>
  </si>
  <si>
    <t>Cor will review comp tool online and decide later</t>
  </si>
  <si>
    <t>Covarrubias</t>
  </si>
  <si>
    <t>Natalia</t>
  </si>
  <si>
    <t>San Luis</t>
  </si>
  <si>
    <t>Murphy</t>
  </si>
  <si>
    <t xml:space="preserve">Charles </t>
  </si>
  <si>
    <t>Wickenburg</t>
  </si>
  <si>
    <t>Merkle</t>
  </si>
  <si>
    <t>Fielder</t>
  </si>
  <si>
    <t>Veronica</t>
  </si>
  <si>
    <t>E3 questions?</t>
  </si>
  <si>
    <t>Habrouck</t>
  </si>
  <si>
    <t>Candace</t>
  </si>
  <si>
    <t>Robyn</t>
  </si>
  <si>
    <t>No MEP R-BASIC ($33.40)</t>
  </si>
  <si>
    <t>Wells</t>
  </si>
  <si>
    <t>Bill already too high</t>
  </si>
  <si>
    <t>Huston</t>
  </si>
  <si>
    <t>10/3 requested rate change to REV</t>
  </si>
  <si>
    <t>Sobarzo</t>
  </si>
  <si>
    <t>April</t>
  </si>
  <si>
    <t>Moinet</t>
  </si>
  <si>
    <t>Alyssa</t>
  </si>
  <si>
    <t>Opposed (page 288)</t>
  </si>
  <si>
    <t>MacPherson</t>
  </si>
  <si>
    <t>Denis</t>
  </si>
  <si>
    <t>https://images.edocket.azcc.gov/docketpdf/E000046204.pdf</t>
  </si>
  <si>
    <t>4222480000</t>
  </si>
  <si>
    <t xml:space="preserve">Z </t>
  </si>
  <si>
    <t>Stebe</t>
  </si>
  <si>
    <t>Osorio</t>
  </si>
  <si>
    <t>Juan E &amp; Helen</t>
  </si>
  <si>
    <t>Retired/Hurt Financially</t>
  </si>
  <si>
    <t>2964440000</t>
  </si>
  <si>
    <t>Gregersen</t>
  </si>
  <si>
    <t>3208550000</t>
  </si>
  <si>
    <t>Hileman</t>
  </si>
  <si>
    <t>4748252186</t>
  </si>
  <si>
    <t>Townsend</t>
  </si>
  <si>
    <t>Shawna</t>
  </si>
  <si>
    <t>6860890000</t>
  </si>
  <si>
    <t>Darfus</t>
  </si>
  <si>
    <t xml:space="preserve">Doug </t>
  </si>
  <si>
    <t>Strain on family</t>
  </si>
  <si>
    <t>5790100875</t>
  </si>
  <si>
    <t>Whitney</t>
  </si>
  <si>
    <t>7818070439</t>
  </si>
  <si>
    <t>Berkowitz</t>
  </si>
  <si>
    <t>Lynn</t>
  </si>
  <si>
    <t>Haslett</t>
  </si>
  <si>
    <t>7464750000</t>
  </si>
  <si>
    <t>Pamela</t>
  </si>
  <si>
    <t>6497921796</t>
  </si>
  <si>
    <t>Sanders</t>
  </si>
  <si>
    <t>Cagle</t>
  </si>
  <si>
    <t>5132068013</t>
  </si>
  <si>
    <t>Duell</t>
  </si>
  <si>
    <t>3455401000</t>
  </si>
  <si>
    <t>Roberts</t>
  </si>
  <si>
    <t>Aria</t>
  </si>
  <si>
    <t>7983231354</t>
  </si>
  <si>
    <t>Schuit</t>
  </si>
  <si>
    <t>2243371013</t>
  </si>
  <si>
    <t>Zinn</t>
  </si>
  <si>
    <t>Extortion/Monopoly</t>
  </si>
  <si>
    <t>9340408913</t>
  </si>
  <si>
    <t>Zick-Heath</t>
  </si>
  <si>
    <t>Kathy</t>
  </si>
  <si>
    <t>Wolfe</t>
  </si>
  <si>
    <t>Phillip</t>
  </si>
  <si>
    <t>5986916429</t>
  </si>
  <si>
    <t>Losty</t>
  </si>
  <si>
    <t>Sheila</t>
  </si>
  <si>
    <t>Marz</t>
  </si>
  <si>
    <t>Illene</t>
  </si>
  <si>
    <t>Buruato</t>
  </si>
  <si>
    <t>Tolleson</t>
  </si>
  <si>
    <t>Fajaddo</t>
  </si>
  <si>
    <t>B</t>
  </si>
  <si>
    <t>Noelle</t>
  </si>
  <si>
    <t>Kukkapalli</t>
  </si>
  <si>
    <t>Vasu</t>
  </si>
  <si>
    <t>9875751000</t>
  </si>
  <si>
    <t>N MEP TOU-E ($165.17)</t>
  </si>
  <si>
    <t xml:space="preserve">COR switched to suggest RTOUE47 </t>
  </si>
  <si>
    <t>Sangeetha</t>
  </si>
  <si>
    <t>4425211190</t>
  </si>
  <si>
    <t>Jaiswal</t>
  </si>
  <si>
    <t>Karishma</t>
  </si>
  <si>
    <t>Gottipati</t>
  </si>
  <si>
    <t>Srinivasa</t>
  </si>
  <si>
    <t>6079940000</t>
  </si>
  <si>
    <t>No MEP R3-47 ($295.59)</t>
  </si>
  <si>
    <t>Penny</t>
  </si>
  <si>
    <t>Leigh</t>
  </si>
  <si>
    <t>4878430000</t>
  </si>
  <si>
    <t>Krishnamoorthy</t>
  </si>
  <si>
    <t>Prabhu</t>
  </si>
  <si>
    <t>Kilcup</t>
  </si>
  <si>
    <t>Myckenzie</t>
  </si>
  <si>
    <t>Koripella</t>
  </si>
  <si>
    <t>Ravi</t>
  </si>
  <si>
    <t>5835127577</t>
  </si>
  <si>
    <t>Kuppuswamy</t>
  </si>
  <si>
    <t>Balaji</t>
  </si>
  <si>
    <t>9757441000</t>
  </si>
  <si>
    <t>Not available yet</t>
  </si>
  <si>
    <t>COR requested rate change to R3-47 on 10/1</t>
  </si>
  <si>
    <t>Reddy</t>
  </si>
  <si>
    <t>Pavan</t>
  </si>
  <si>
    <t>Ziller</t>
  </si>
  <si>
    <t>7502531000</t>
  </si>
  <si>
    <t>No MEP R3-47 ($90.87)</t>
  </si>
  <si>
    <t>Rajasekharan</t>
  </si>
  <si>
    <t>Girish</t>
  </si>
  <si>
    <t>Rajan</t>
  </si>
  <si>
    <t>6050230000</t>
  </si>
  <si>
    <t>NA</t>
  </si>
  <si>
    <t>MEP does not appear on bill due to 'flagged for irregular usage' - Ashley is looking into it.</t>
  </si>
  <si>
    <t>Vanos</t>
  </si>
  <si>
    <t>Kimberly</t>
  </si>
  <si>
    <t>5719941000</t>
  </si>
  <si>
    <t>Arrowsmith</t>
  </si>
  <si>
    <t>Kelsey</t>
  </si>
  <si>
    <t>0987457107</t>
  </si>
  <si>
    <t>No MEP R3-47 ($701.02)</t>
  </si>
  <si>
    <t>10/6 Left VM</t>
  </si>
  <si>
    <t>Hina</t>
  </si>
  <si>
    <t>Yadav</t>
  </si>
  <si>
    <t>Ashish</t>
  </si>
  <si>
    <t>3043741000</t>
  </si>
  <si>
    <t>Ahmad</t>
  </si>
  <si>
    <t>Ammara</t>
  </si>
  <si>
    <t>1316621000</t>
  </si>
  <si>
    <t>No MEP R3-47 ($55.98)</t>
  </si>
  <si>
    <t>Chinta</t>
  </si>
  <si>
    <t>Bhavanishankar</t>
  </si>
  <si>
    <t>7992160000</t>
  </si>
  <si>
    <t>Rauschkolb</t>
  </si>
  <si>
    <t>4026025798</t>
  </si>
  <si>
    <t>No MEP R3-47 ($30.33)</t>
  </si>
  <si>
    <t>Justin</t>
  </si>
  <si>
    <t>6379311000</t>
  </si>
  <si>
    <t>Fugiel</t>
  </si>
  <si>
    <t>Kirsten</t>
  </si>
  <si>
    <t>0843128737</t>
  </si>
  <si>
    <t>Brower</t>
  </si>
  <si>
    <t>Randall</t>
  </si>
  <si>
    <t>3675324926</t>
  </si>
  <si>
    <t>Willems</t>
  </si>
  <si>
    <t>3143419434</t>
  </si>
  <si>
    <t>Shivachalianda Vijayakumar</t>
  </si>
  <si>
    <t>Pooja Ponnamma</t>
  </si>
  <si>
    <t>Panda</t>
  </si>
  <si>
    <t>Nishnu Prasad</t>
  </si>
  <si>
    <t>Anna</t>
  </si>
  <si>
    <t>Pradeep</t>
  </si>
  <si>
    <t>2624811000</t>
  </si>
  <si>
    <t>Albrecht</t>
  </si>
  <si>
    <t>Rivarde</t>
  </si>
  <si>
    <t>Renee</t>
  </si>
  <si>
    <t>4290041000</t>
  </si>
  <si>
    <t>Beierle</t>
  </si>
  <si>
    <t>Vladut</t>
  </si>
  <si>
    <t xml:space="preserve">White </t>
  </si>
  <si>
    <t>0187524477</t>
  </si>
  <si>
    <t>Vidyasahar</t>
  </si>
  <si>
    <t>Prasad</t>
  </si>
  <si>
    <t>Boersma</t>
  </si>
  <si>
    <t>Patti</t>
  </si>
  <si>
    <t>6966001000</t>
  </si>
  <si>
    <t>Arpaia</t>
  </si>
  <si>
    <t>Mary</t>
  </si>
  <si>
    <t>1842320000</t>
  </si>
  <si>
    <t>No MEP R3-47 ($165.42)</t>
  </si>
  <si>
    <t>Pandit</t>
  </si>
  <si>
    <t>Najaraj</t>
  </si>
  <si>
    <t>4348840000</t>
  </si>
  <si>
    <t>Erra</t>
  </si>
  <si>
    <t>Mohan</t>
  </si>
  <si>
    <t>3553261000</t>
  </si>
  <si>
    <t>No MEP R3-47 ($86.44)</t>
  </si>
  <si>
    <t>Mallory</t>
  </si>
  <si>
    <t>Evan</t>
  </si>
  <si>
    <t>1080850989</t>
  </si>
  <si>
    <t>RCPw/R-2</t>
  </si>
  <si>
    <t>Stanley</t>
  </si>
  <si>
    <t>Alesia</t>
  </si>
  <si>
    <t>5784101000</t>
  </si>
  <si>
    <t>No MEP R3-47 ($159.25)</t>
  </si>
  <si>
    <t>Kuri</t>
  </si>
  <si>
    <t>8302625379</t>
  </si>
  <si>
    <t>Gonuguntla</t>
  </si>
  <si>
    <t>Gopinath</t>
  </si>
  <si>
    <t>Mahato</t>
  </si>
  <si>
    <t>Partha</t>
  </si>
  <si>
    <t>0364421000</t>
  </si>
  <si>
    <t>Klug</t>
  </si>
  <si>
    <t>Cameron</t>
  </si>
  <si>
    <t>2046439451</t>
  </si>
  <si>
    <t>Cuadras</t>
  </si>
  <si>
    <t>JoVon</t>
  </si>
  <si>
    <t>3862538912</t>
  </si>
  <si>
    <t>No MEP R3-47 ($348.67)</t>
  </si>
  <si>
    <t>10/6 Spoke with customer, he's interested to learn more and wanted to review his online account. Offered our phone number if he'd like to discuss it further.</t>
  </si>
  <si>
    <t>Monteleone</t>
  </si>
  <si>
    <t>Opposed/will cause hardships</t>
  </si>
  <si>
    <t>0974119043</t>
  </si>
  <si>
    <t>N MEP R3-47 ($273.17)</t>
  </si>
  <si>
    <t>Moosman</t>
  </si>
  <si>
    <t>Louis-Jacques</t>
  </si>
  <si>
    <t>Melanie</t>
  </si>
  <si>
    <t>Pahuja</t>
  </si>
  <si>
    <t>Himanshu</t>
  </si>
  <si>
    <t>8849042993</t>
  </si>
  <si>
    <t>No MEP R3-47 ($461.51)</t>
  </si>
  <si>
    <t>Bedadala</t>
  </si>
  <si>
    <t>Harinatha</t>
  </si>
  <si>
    <t>1275245123</t>
  </si>
  <si>
    <t>Clow</t>
  </si>
  <si>
    <t>4095200000</t>
  </si>
  <si>
    <t>No MEP R3-47 ($517.20)</t>
  </si>
  <si>
    <t>10/6 Tried to leave VM - mailbox full, 11/12 tried again and number is not in service</t>
  </si>
  <si>
    <t>Chintalapuri</t>
  </si>
  <si>
    <t>RCPw/REV47</t>
  </si>
  <si>
    <t xml:space="preserve">Ram </t>
  </si>
  <si>
    <t>Ajit Kumar</t>
  </si>
  <si>
    <t>Jaycox</t>
  </si>
  <si>
    <t>Sharon</t>
  </si>
  <si>
    <t>Opposed/Households struggling</t>
  </si>
  <si>
    <t>Noriega</t>
  </si>
  <si>
    <t>Mario</t>
  </si>
  <si>
    <t>Opposed/pure greed</t>
  </si>
  <si>
    <t>Hogan</t>
  </si>
  <si>
    <t>Sonnentag</t>
  </si>
  <si>
    <t xml:space="preserve">Shawn </t>
  </si>
  <si>
    <t>Peeples Valley</t>
  </si>
  <si>
    <t>Stenzel</t>
  </si>
  <si>
    <t>LeRoy</t>
  </si>
  <si>
    <t>Ellis</t>
  </si>
  <si>
    <t>Strongly against</t>
  </si>
  <si>
    <t>McDonale</t>
  </si>
  <si>
    <t>Ellyn</t>
  </si>
  <si>
    <t>Form Letter</t>
  </si>
  <si>
    <t>Neukom</t>
  </si>
  <si>
    <t xml:space="preserve">David </t>
  </si>
  <si>
    <t xml:space="preserve">Senior/Fixed Income </t>
  </si>
  <si>
    <t>No MEP R3-47($173.42)</t>
  </si>
  <si>
    <t>Niehaus</t>
  </si>
  <si>
    <t>No MEP R3-47($281.20)</t>
  </si>
  <si>
    <t>Carlson</t>
  </si>
  <si>
    <t>Lorri</t>
  </si>
  <si>
    <t>Sather</t>
  </si>
  <si>
    <t>Vance</t>
  </si>
  <si>
    <t>Prather</t>
  </si>
  <si>
    <t>Maldonado</t>
  </si>
  <si>
    <t>Sebastian</t>
  </si>
  <si>
    <t>No MEP R-BASIC($219.04)</t>
  </si>
  <si>
    <t>Sidney</t>
  </si>
  <si>
    <t>R-2 SOLAR PARTNER</t>
  </si>
  <si>
    <t>Benkert</t>
  </si>
  <si>
    <t>Jess</t>
  </si>
  <si>
    <t>Lukson</t>
  </si>
  <si>
    <t>Fred &amp; Carolyn</t>
  </si>
  <si>
    <t>1405160798</t>
  </si>
  <si>
    <t>Williams</t>
  </si>
  <si>
    <t>Nichole</t>
  </si>
  <si>
    <t>4130294914</t>
  </si>
  <si>
    <t>Y</t>
  </si>
  <si>
    <t>Malladi</t>
  </si>
  <si>
    <t>Ravindranath</t>
  </si>
  <si>
    <t>9555640000</t>
  </si>
  <si>
    <t>Padurang</t>
  </si>
  <si>
    <t>Sainath</t>
  </si>
  <si>
    <t>Falkenberg</t>
  </si>
  <si>
    <t>https://images.edocket.azcc.gov/docketpdf/E000046206.pdf</t>
  </si>
  <si>
    <t>Bucklin</t>
  </si>
  <si>
    <t>Kathryn</t>
  </si>
  <si>
    <t>Nordhaugen</t>
  </si>
  <si>
    <t>Kristian</t>
  </si>
  <si>
    <t>No MEP R3-47($65.32)</t>
  </si>
  <si>
    <t>Tridle</t>
  </si>
  <si>
    <t>Opposed/fixed income</t>
  </si>
  <si>
    <t>Nathaniel</t>
  </si>
  <si>
    <t>Adler</t>
  </si>
  <si>
    <t>Outlandish/Opposed</t>
  </si>
  <si>
    <t>Hollander</t>
  </si>
  <si>
    <t>No MEP R3-47($10.54)</t>
  </si>
  <si>
    <t>Granado</t>
  </si>
  <si>
    <t>Isabel</t>
  </si>
  <si>
    <t>Eloy</t>
  </si>
  <si>
    <t>Horta</t>
  </si>
  <si>
    <t>Emilio</t>
  </si>
  <si>
    <t>Tremblay</t>
  </si>
  <si>
    <t>No MEP R-XS ($209.15)</t>
  </si>
  <si>
    <t xml:space="preserve">10/10 - Spoke to customer about MEP - will review online before deciding to switch </t>
  </si>
  <si>
    <t>Skiff</t>
  </si>
  <si>
    <t>Alaura</t>
  </si>
  <si>
    <t>Opposed, just had a rate increase</t>
  </si>
  <si>
    <t>Bates</t>
  </si>
  <si>
    <t>DeFilippo</t>
  </si>
  <si>
    <t>Michele</t>
  </si>
  <si>
    <t>Householder</t>
  </si>
  <si>
    <t>Too high of an increase</t>
  </si>
  <si>
    <t>No MEP R-BASIC($60.78)</t>
  </si>
  <si>
    <t>Macias</t>
  </si>
  <si>
    <t>Alicia</t>
  </si>
  <si>
    <t>Rates high enough</t>
  </si>
  <si>
    <t>Cyr</t>
  </si>
  <si>
    <t>Malachi</t>
  </si>
  <si>
    <t>Krogmann</t>
  </si>
  <si>
    <t>Rachael</t>
  </si>
  <si>
    <t>Marvella</t>
  </si>
  <si>
    <t>Springer</t>
  </si>
  <si>
    <t>Gillihan</t>
  </si>
  <si>
    <t>Julie</t>
  </si>
  <si>
    <t>Frances</t>
  </si>
  <si>
    <t>Srinivasan</t>
  </si>
  <si>
    <t>Karthikeyan</t>
  </si>
  <si>
    <t>No MEP R3-47($156.54)</t>
  </si>
  <si>
    <t>10/9 - Account  has already been changed to MEP before call was made</t>
  </si>
  <si>
    <t>Powers</t>
  </si>
  <si>
    <t>Fox</t>
  </si>
  <si>
    <t>Noah</t>
  </si>
  <si>
    <t>Ahern</t>
  </si>
  <si>
    <t>Devin</t>
  </si>
  <si>
    <t>Parsons</t>
  </si>
  <si>
    <t>Gervasio</t>
  </si>
  <si>
    <t>Pedro</t>
  </si>
  <si>
    <t>Aboud</t>
  </si>
  <si>
    <t>Pederson</t>
  </si>
  <si>
    <t>Halie</t>
  </si>
  <si>
    <t>Swift</t>
  </si>
  <si>
    <t>Bill</t>
  </si>
  <si>
    <t>Stinson</t>
  </si>
  <si>
    <t>Assistance</t>
  </si>
  <si>
    <t>Bishop</t>
  </si>
  <si>
    <t>Rebert</t>
  </si>
  <si>
    <t>No MEP R-XS( $250.58)</t>
  </si>
  <si>
    <t>Gram</t>
  </si>
  <si>
    <t>Multiple SAs</t>
  </si>
  <si>
    <t>Marshall</t>
  </si>
  <si>
    <t>Allen</t>
  </si>
  <si>
    <t>No MEP R3-47($36.70)</t>
  </si>
  <si>
    <t>Liddell</t>
  </si>
  <si>
    <t>Lianne</t>
  </si>
  <si>
    <t>Vestl</t>
  </si>
  <si>
    <t xml:space="preserve">Sun City </t>
  </si>
  <si>
    <t>Rees</t>
  </si>
  <si>
    <t>Vestal</t>
  </si>
  <si>
    <t>Opposed, usage is not high, it is normal in AZ extreme climate</t>
  </si>
  <si>
    <t>No MEP R3-47 ($888.73)</t>
  </si>
  <si>
    <t>Coble</t>
  </si>
  <si>
    <t>https://images.edocket.azcc.gov/docketpdf/E000046198.pdf</t>
  </si>
  <si>
    <t>Wallace</t>
  </si>
  <si>
    <t>Raetta</t>
  </si>
  <si>
    <t>https://images.edocket.azcc.gov/docketpdf/E000046196.pdf</t>
  </si>
  <si>
    <t>Moore</t>
  </si>
  <si>
    <t>Mike</t>
  </si>
  <si>
    <t>Alvarez</t>
  </si>
  <si>
    <t>Melody</t>
  </si>
  <si>
    <t>Woehl</t>
  </si>
  <si>
    <t>Timothy</t>
  </si>
  <si>
    <t>No MEP R3-47(630.50)</t>
  </si>
  <si>
    <t>Belt</t>
  </si>
  <si>
    <t>Steve</t>
  </si>
  <si>
    <t>Beall</t>
  </si>
  <si>
    <t>Gus</t>
  </si>
  <si>
    <t>Also filed this notice https://images.edocket.azcc.gov/docketpdf/E000046202.pdf</t>
  </si>
  <si>
    <t>McLeod</t>
  </si>
  <si>
    <t>Hereford</t>
  </si>
  <si>
    <t>Manning</t>
  </si>
  <si>
    <t>https://images.edocket.azcc.gov/docketpdf/E000046212.pdf</t>
  </si>
  <si>
    <t>Mannella</t>
  </si>
  <si>
    <t>https://images.edocket.azcc.gov/docketpdf/E000046230.pdf</t>
  </si>
  <si>
    <t>Monaco</t>
  </si>
  <si>
    <t>Carpenter</t>
  </si>
  <si>
    <t>Bonny</t>
  </si>
  <si>
    <t>Out of hand</t>
  </si>
  <si>
    <t>Delaney</t>
  </si>
  <si>
    <t>No MEP R-BASIC(110.71)</t>
  </si>
  <si>
    <t>10/06/2025 left VM</t>
  </si>
  <si>
    <t>Price</t>
  </si>
  <si>
    <t>No MEP R-BASIC(31.45)</t>
  </si>
  <si>
    <t>Votypka</t>
  </si>
  <si>
    <t>Lindsay</t>
  </si>
  <si>
    <t>No MEP R-BASIC($19.26)</t>
  </si>
  <si>
    <t>Glanzer</t>
  </si>
  <si>
    <t>Addison</t>
  </si>
  <si>
    <t>Facing financial hardship</t>
  </si>
  <si>
    <t>Sundarachar</t>
  </si>
  <si>
    <t>Hema</t>
  </si>
  <si>
    <t>1687826451</t>
  </si>
  <si>
    <t>No MEP R3-47(3.29)</t>
  </si>
  <si>
    <t>Stecker</t>
  </si>
  <si>
    <t>Stacey</t>
  </si>
  <si>
    <t>Shank</t>
  </si>
  <si>
    <t>Judd</t>
  </si>
  <si>
    <t>Short</t>
  </si>
  <si>
    <t>Gregory</t>
  </si>
  <si>
    <t>Kom</t>
  </si>
  <si>
    <t>Venu</t>
  </si>
  <si>
    <t>Flam</t>
  </si>
  <si>
    <t>Sara</t>
  </si>
  <si>
    <t>Laszczak</t>
  </si>
  <si>
    <t>No R-XS($56.43)</t>
  </si>
  <si>
    <t>Lewis</t>
  </si>
  <si>
    <t>Blocker</t>
  </si>
  <si>
    <t>No MEP R3-47(439.76)</t>
  </si>
  <si>
    <t>COR will review with his wife before changing the rate plan - 11/3 Customer initiated rate change</t>
  </si>
  <si>
    <t>Kwon</t>
  </si>
  <si>
    <t>Sacrison</t>
  </si>
  <si>
    <t>No MEP R3-47($221.11)</t>
  </si>
  <si>
    <t>Edalski</t>
  </si>
  <si>
    <t>Hernandez</t>
  </si>
  <si>
    <t xml:space="preserve">Monopoly,  </t>
  </si>
  <si>
    <t>Pierce</t>
  </si>
  <si>
    <t>Coleen</t>
  </si>
  <si>
    <t>Sedillo</t>
  </si>
  <si>
    <t>0998552497</t>
  </si>
  <si>
    <t>NO MEP R-BASICL ($75.86)</t>
  </si>
  <si>
    <t>Joe Anthony</t>
  </si>
  <si>
    <t>Roe</t>
  </si>
  <si>
    <t>Richey</t>
  </si>
  <si>
    <t>Getting ridiculous</t>
  </si>
  <si>
    <t>Esman</t>
  </si>
  <si>
    <t>Dava</t>
  </si>
  <si>
    <t>Unfair and discriminatory</t>
  </si>
  <si>
    <t xml:space="preserve">He </t>
  </si>
  <si>
    <t>Luke</t>
  </si>
  <si>
    <t>Duensing</t>
  </si>
  <si>
    <t>Naik</t>
  </si>
  <si>
    <t>Pradad</t>
  </si>
  <si>
    <t>Day</t>
  </si>
  <si>
    <t>Ravyn</t>
  </si>
  <si>
    <t>Larry</t>
  </si>
  <si>
    <t>Mahony</t>
  </si>
  <si>
    <t>Monica</t>
  </si>
  <si>
    <t>Jara</t>
  </si>
  <si>
    <t>Briney</t>
  </si>
  <si>
    <t>Dave</t>
  </si>
  <si>
    <t>Daniel</t>
  </si>
  <si>
    <t>No MEP R3-47($82.55)</t>
  </si>
  <si>
    <t>Nabity</t>
  </si>
  <si>
    <t>Mariah</t>
  </si>
  <si>
    <t>No MEP R-XS ($43.07)</t>
  </si>
  <si>
    <t>Lund</t>
  </si>
  <si>
    <t>Jason</t>
  </si>
  <si>
    <t>Scheigert</t>
  </si>
  <si>
    <t>Turner-Warren</t>
  </si>
  <si>
    <t>Tenneh</t>
  </si>
  <si>
    <t>Zeman</t>
  </si>
  <si>
    <t>Cher</t>
  </si>
  <si>
    <t>Scheele</t>
  </si>
  <si>
    <t>Geiger</t>
  </si>
  <si>
    <t>McGehean</t>
  </si>
  <si>
    <t xml:space="preserve">Singh </t>
  </si>
  <si>
    <t>Soni</t>
  </si>
  <si>
    <t>Too high already, opposed</t>
  </si>
  <si>
    <t>Lyell</t>
  </si>
  <si>
    <t>Kasha</t>
  </si>
  <si>
    <t>Insane increase</t>
  </si>
  <si>
    <t>Pratik</t>
  </si>
  <si>
    <t>Rahul</t>
  </si>
  <si>
    <t>Bodempudi</t>
  </si>
  <si>
    <t>Vinod</t>
  </si>
  <si>
    <t>Corianne</t>
  </si>
  <si>
    <t>Syring</t>
  </si>
  <si>
    <t>Lani</t>
  </si>
  <si>
    <t>Van Marter</t>
  </si>
  <si>
    <t>Gulotta</t>
  </si>
  <si>
    <t>Caballero Sosa</t>
  </si>
  <si>
    <t>Gabriel</t>
  </si>
  <si>
    <t>Harrison</t>
  </si>
  <si>
    <t>Chelsie</t>
  </si>
  <si>
    <t>Detrimental to our financial stability</t>
  </si>
  <si>
    <t>C</t>
  </si>
  <si>
    <t>Casas</t>
  </si>
  <si>
    <t>Nidya</t>
  </si>
  <si>
    <t>Disabled veteran on fixed income</t>
  </si>
  <si>
    <t>Berry</t>
  </si>
  <si>
    <t>Mason</t>
  </si>
  <si>
    <t>No MEP R3-47 ($90.56)</t>
  </si>
  <si>
    <t>Bartley</t>
  </si>
  <si>
    <t>Leslie</t>
  </si>
  <si>
    <t xml:space="preserve">Unfair  </t>
  </si>
  <si>
    <t>Lawson</t>
  </si>
  <si>
    <t>Ficarra</t>
  </si>
  <si>
    <t>No MEP R-XS ($58.00)</t>
  </si>
  <si>
    <t>Ramos</t>
  </si>
  <si>
    <t>No MEP R3-47($230.57)</t>
  </si>
  <si>
    <t>Spanish CX Team Lead attempted to call customer with number on file, number is no longer in service</t>
  </si>
  <si>
    <t>Ismail</t>
  </si>
  <si>
    <t>Zakaria</t>
  </si>
  <si>
    <t>Quain-Kollar</t>
  </si>
  <si>
    <t>R3-47//R-XS</t>
  </si>
  <si>
    <t>Carson</t>
  </si>
  <si>
    <t>Loren</t>
  </si>
  <si>
    <t>Opposed, already paying grid access</t>
  </si>
  <si>
    <t>Hanel</t>
  </si>
  <si>
    <t>Beverly</t>
  </si>
  <si>
    <t>Data centers pay less that residential</t>
  </si>
  <si>
    <t>Cross</t>
  </si>
  <si>
    <t>No MEP R3-47($32.46)</t>
  </si>
  <si>
    <t>Hermida</t>
  </si>
  <si>
    <t>Anne</t>
  </si>
  <si>
    <t>Matelski</t>
  </si>
  <si>
    <t>No MEP R3-47($149.40)</t>
  </si>
  <si>
    <t>Brooksby</t>
  </si>
  <si>
    <t>Impossible to keep up with</t>
  </si>
  <si>
    <t>Humphrey</t>
  </si>
  <si>
    <t>Talon</t>
  </si>
  <si>
    <t>Erickson</t>
  </si>
  <si>
    <t>Caitlin</t>
  </si>
  <si>
    <t>Mesa</t>
  </si>
  <si>
    <t>Scallorns</t>
  </si>
  <si>
    <t>Melodie</t>
  </si>
  <si>
    <t>Hoffa</t>
  </si>
  <si>
    <t>Geoffery</t>
  </si>
  <si>
    <t>Testo</t>
  </si>
  <si>
    <t>No MEP R-XS ($49.64)</t>
  </si>
  <si>
    <t>McAdams</t>
  </si>
  <si>
    <t>Levi</t>
  </si>
  <si>
    <t>Brunetti</t>
  </si>
  <si>
    <t>Unfair</t>
  </si>
  <si>
    <t>No MEP R-BASIC($187.87)</t>
  </si>
  <si>
    <t>10/06/2025 Number is not in service - Initiated rate change on 10/17</t>
  </si>
  <si>
    <t>Court</t>
  </si>
  <si>
    <t>Charge companies running massive data centers instead</t>
  </si>
  <si>
    <t>Pera</t>
  </si>
  <si>
    <t>Natalie</t>
  </si>
  <si>
    <t>No MEP R3-47 ($108.13)</t>
  </si>
  <si>
    <t>Rate change already in place as of 9/18</t>
  </si>
  <si>
    <t>Stroup</t>
  </si>
  <si>
    <t>Fortson</t>
  </si>
  <si>
    <t>Walker</t>
  </si>
  <si>
    <t>Clint</t>
  </si>
  <si>
    <t>Glass</t>
  </si>
  <si>
    <t>Louis</t>
  </si>
  <si>
    <t>Beltz</t>
  </si>
  <si>
    <t>Sherri</t>
  </si>
  <si>
    <t>Strongly opposed</t>
  </si>
  <si>
    <t>Sies</t>
  </si>
  <si>
    <t>Negative impact on our household</t>
  </si>
  <si>
    <t>Fatima</t>
  </si>
  <si>
    <t>Out of line</t>
  </si>
  <si>
    <t>Unjustified, unethical and unnecessary</t>
  </si>
  <si>
    <t>Pennington</t>
  </si>
  <si>
    <t>Maurice</t>
  </si>
  <si>
    <t>Devarapu</t>
  </si>
  <si>
    <t>Kondal</t>
  </si>
  <si>
    <t>Kennedy</t>
  </si>
  <si>
    <t>No MEP R-XS ($287.81)</t>
  </si>
  <si>
    <t>COR initiated rate change on 11/2</t>
  </si>
  <si>
    <t>Spicola</t>
  </si>
  <si>
    <t>Opposed, will worsen financial stress</t>
  </si>
  <si>
    <t>Enough with the rate hikes</t>
  </si>
  <si>
    <t>5976850000</t>
  </si>
  <si>
    <t>No MEP R3-47($271.50)</t>
  </si>
  <si>
    <t>COR will check aps.com comp tool and potentially change plans there</t>
  </si>
  <si>
    <t>Anbakagan</t>
  </si>
  <si>
    <t>Dharmaraja</t>
  </si>
  <si>
    <t>Maheshwari</t>
  </si>
  <si>
    <t>Vishal</t>
  </si>
  <si>
    <t>Abitz</t>
  </si>
  <si>
    <t>Enough is enough</t>
  </si>
  <si>
    <t>No MEP R3-47($426.81)</t>
  </si>
  <si>
    <t>10/6/2025 left vm</t>
  </si>
  <si>
    <t>Chaffin</t>
  </si>
  <si>
    <t>Dustin</t>
  </si>
  <si>
    <t>Not a good economic decision</t>
  </si>
  <si>
    <t>Henderson</t>
  </si>
  <si>
    <t>No MEP R-BASIC($140.27)</t>
  </si>
  <si>
    <t xml:space="preserve">Cor will review w/aps comp tool online and decided </t>
  </si>
  <si>
    <t>Feldman</t>
  </si>
  <si>
    <t>Opposed, abusing their power</t>
  </si>
  <si>
    <t>Siddavatam</t>
  </si>
  <si>
    <t>Govardhan Reddy</t>
  </si>
  <si>
    <t>No MEP R3-47($305.79)</t>
  </si>
  <si>
    <t>COR will think about it and potentially change plans if he decides to he will cb</t>
  </si>
  <si>
    <t>Zohn</t>
  </si>
  <si>
    <t>Not good</t>
  </si>
  <si>
    <t>No MEP R-XS($38.65)</t>
  </si>
  <si>
    <t>Welsch</t>
  </si>
  <si>
    <t>Hanshew</t>
  </si>
  <si>
    <t>Royster</t>
  </si>
  <si>
    <t>Aaron</t>
  </si>
  <si>
    <t>No MEP R3-47 ($130.61)</t>
  </si>
  <si>
    <t>10/06/2025 left vm</t>
  </si>
  <si>
    <t>German</t>
  </si>
  <si>
    <t>Reynolds</t>
  </si>
  <si>
    <t>Opposed, discourages solar</t>
  </si>
  <si>
    <t>Gorman</t>
  </si>
  <si>
    <t>Macagni</t>
  </si>
  <si>
    <t>No MEP R3-47($392.95)</t>
  </si>
  <si>
    <t>Killingsworth</t>
  </si>
  <si>
    <t>Ellen</t>
  </si>
  <si>
    <t>Blue</t>
  </si>
  <si>
    <t>No MEP R-BASIC(149.26)</t>
  </si>
  <si>
    <t>Cor will discuss with his partner about rate change - 10/17 RATE CHANGE ONLINE</t>
  </si>
  <si>
    <t>Ionova</t>
  </si>
  <si>
    <t>Cynthia</t>
  </si>
  <si>
    <t>Saraniero</t>
  </si>
  <si>
    <t>Daniels</t>
  </si>
  <si>
    <t>Heiser</t>
  </si>
  <si>
    <t>Morgan</t>
  </si>
  <si>
    <t>No MEP R-XS($171.24)</t>
  </si>
  <si>
    <t>Michels</t>
  </si>
  <si>
    <t>Aleshia</t>
  </si>
  <si>
    <t>Mayer</t>
  </si>
  <si>
    <t>Phipps</t>
  </si>
  <si>
    <t>Opposed, out of control</t>
  </si>
  <si>
    <t>No MEP R3-47($1.24)</t>
  </si>
  <si>
    <t>Claire</t>
  </si>
  <si>
    <t>Albers</t>
  </si>
  <si>
    <t xml:space="preserve">Ann </t>
  </si>
  <si>
    <t>Montes</t>
  </si>
  <si>
    <t>Velazquez</t>
  </si>
  <si>
    <t>Torri</t>
  </si>
  <si>
    <t>Calvert</t>
  </si>
  <si>
    <t>Tess</t>
  </si>
  <si>
    <t>Barely afford now</t>
  </si>
  <si>
    <t>No MEP R3-47(517.75)</t>
  </si>
  <si>
    <t>COR will think about potentially changing to MEP- cor is upset at potentiall rate changes in the future - 10/15 COR MADE RATE CHANGE ONLINE</t>
  </si>
  <si>
    <t>Rick</t>
  </si>
  <si>
    <t>Hurd</t>
  </si>
  <si>
    <t>Middle class are suffering enough</t>
  </si>
  <si>
    <t>Li</t>
  </si>
  <si>
    <t>Duo</t>
  </si>
  <si>
    <t>Pereluka</t>
  </si>
  <si>
    <t>Vasyl</t>
  </si>
  <si>
    <t>not interested in paying more</t>
  </si>
  <si>
    <t>Wagner</t>
  </si>
  <si>
    <t>10/9 changed rate to REV</t>
  </si>
  <si>
    <t>Jordon</t>
  </si>
  <si>
    <t>No MEP R3-47($694.71)</t>
  </si>
  <si>
    <t>Hanson</t>
  </si>
  <si>
    <t>Opposed, APS runs a monopoly</t>
  </si>
  <si>
    <t>Long</t>
  </si>
  <si>
    <t>Dana</t>
  </si>
  <si>
    <t>Duncan</t>
  </si>
  <si>
    <t>No call, will be reassigned next month but total energy usage might keep COR on Tier 2</t>
  </si>
  <si>
    <t>Sommer</t>
  </si>
  <si>
    <t>Bryce</t>
  </si>
  <si>
    <t>Horrible policy</t>
  </si>
  <si>
    <t>No MEP R-XS(125.13)</t>
  </si>
  <si>
    <t>Increase outpaces inflation</t>
  </si>
  <si>
    <t>Kaples</t>
  </si>
  <si>
    <t>Kameron</t>
  </si>
  <si>
    <t>Coolidge</t>
  </si>
  <si>
    <t>APS is predatory</t>
  </si>
  <si>
    <t>Duffy</t>
  </si>
  <si>
    <t>Dewey</t>
  </si>
  <si>
    <t>Opposed, unjust and wrong</t>
  </si>
  <si>
    <t>No MEP R3-47(145.00)</t>
  </si>
  <si>
    <t>COR will check aps.com comp tool and potentially change plans there - MADE A RATE CHANGE ON 10/7</t>
  </si>
  <si>
    <t>Chrico</t>
  </si>
  <si>
    <t>Matt</t>
  </si>
  <si>
    <t>opposed, too greedy</t>
  </si>
  <si>
    <t>Keehn</t>
  </si>
  <si>
    <t>Pham</t>
  </si>
  <si>
    <t>Opposed (included news story of indoor heat deaths)</t>
  </si>
  <si>
    <t>No MEP R-BASIC($135.72)</t>
  </si>
  <si>
    <t>Should automatically be reassigned soon</t>
  </si>
  <si>
    <t>Stefan</t>
  </si>
  <si>
    <t>No MEP R-BASIC ($0.57)</t>
  </si>
  <si>
    <t>Ruth</t>
  </si>
  <si>
    <t>Unnecessary</t>
  </si>
  <si>
    <t>https://docket.images.azcc.gov/E000046235.pdf</t>
  </si>
  <si>
    <t>Willits</t>
  </si>
  <si>
    <t>Grassi</t>
  </si>
  <si>
    <t>Benjamin</t>
  </si>
  <si>
    <t>Herrin</t>
  </si>
  <si>
    <t xml:space="preserve">Dani </t>
  </si>
  <si>
    <t>Bandy</t>
  </si>
  <si>
    <t>Rascon</t>
  </si>
  <si>
    <t>Diego</t>
  </si>
  <si>
    <t>De Simone</t>
  </si>
  <si>
    <t>No MEP R-BASIC($60.32)</t>
  </si>
  <si>
    <t>Jerome</t>
  </si>
  <si>
    <t>Mongini</t>
  </si>
  <si>
    <t>Joey</t>
  </si>
  <si>
    <t>Frey</t>
  </si>
  <si>
    <t>Siegel</t>
  </si>
  <si>
    <t>Harjeet</t>
  </si>
  <si>
    <t>Hepler</t>
  </si>
  <si>
    <t>Cassie</t>
  </si>
  <si>
    <t>Klemm</t>
  </si>
  <si>
    <t>Unacceptable and wrong</t>
  </si>
  <si>
    <t>Mesch</t>
  </si>
  <si>
    <t xml:space="preserve">Strongly against </t>
  </si>
  <si>
    <t>McWilliams</t>
  </si>
  <si>
    <t>Jesse</t>
  </si>
  <si>
    <t>No MEP R3-47($631.55)</t>
  </si>
  <si>
    <t>11/10 Left VM regarding MEP</t>
  </si>
  <si>
    <t>Quine</t>
  </si>
  <si>
    <t>3920858144</t>
  </si>
  <si>
    <t>Montano</t>
  </si>
  <si>
    <t>Sierra</t>
  </si>
  <si>
    <t>Wadsworth</t>
  </si>
  <si>
    <t>Bowen</t>
  </si>
  <si>
    <t>Sunsarae</t>
  </si>
  <si>
    <t>Irwin</t>
  </si>
  <si>
    <t>DeMelo</t>
  </si>
  <si>
    <t>Marc</t>
  </si>
  <si>
    <t>Blatant gouging</t>
  </si>
  <si>
    <t>6206172265</t>
  </si>
  <si>
    <t>Bryant</t>
  </si>
  <si>
    <t>Shelby</t>
  </si>
  <si>
    <t>Opposed, unfair burden on families and seniors</t>
  </si>
  <si>
    <t>No MEP R3-47(28.19)</t>
  </si>
  <si>
    <t>Sidebottom</t>
  </si>
  <si>
    <t>Perelman</t>
  </si>
  <si>
    <t>Increase will be very onerous for those on fixed income</t>
  </si>
  <si>
    <t>No MEP R-BSIC(32.84)</t>
  </si>
  <si>
    <t>McKinney</t>
  </si>
  <si>
    <t>Vontran</t>
  </si>
  <si>
    <t>Brady</t>
  </si>
  <si>
    <t>Ingraham</t>
  </si>
  <si>
    <t>Briden</t>
  </si>
  <si>
    <t>Increase will break many fixed income seniors</t>
  </si>
  <si>
    <t>Leal</t>
  </si>
  <si>
    <t>No MEP RTOUE47($18.11)</t>
  </si>
  <si>
    <t>Lakshmipathy</t>
  </si>
  <si>
    <t>Arunkumar</t>
  </si>
  <si>
    <t>No MEP R3-47($52.51)</t>
  </si>
  <si>
    <t>Filed 2x on this day</t>
  </si>
  <si>
    <t>Lengowski</t>
  </si>
  <si>
    <t>Greenfield</t>
  </si>
  <si>
    <t>Ronald</t>
  </si>
  <si>
    <t>V</t>
  </si>
  <si>
    <t>Duclos</t>
  </si>
  <si>
    <t>Santoyo</t>
  </si>
  <si>
    <t>No MEP R3-47($153.61)</t>
  </si>
  <si>
    <r>
      <t xml:space="preserve">COR will remain on current serv plan, </t>
    </r>
    <r>
      <rPr>
        <sz val="9"/>
        <color rgb="FFFF0000"/>
        <rFont val="Arial Nova Cond"/>
        <family val="2"/>
      </rPr>
      <t>Assistance?</t>
    </r>
  </si>
  <si>
    <t>Guerin</t>
  </si>
  <si>
    <t>Ajo</t>
  </si>
  <si>
    <t>Kevin Jr</t>
  </si>
  <si>
    <t>Bello</t>
  </si>
  <si>
    <t>Ridiculously high</t>
  </si>
  <si>
    <t>0849482490</t>
  </si>
  <si>
    <t>Copeland</t>
  </si>
  <si>
    <t>Joen</t>
  </si>
  <si>
    <t>No MEP R3-47(498.46)</t>
  </si>
  <si>
    <t>COR conf she wanted to change to R3-47Rate changed per request</t>
  </si>
  <si>
    <t>Fransen</t>
  </si>
  <si>
    <t>Alba</t>
  </si>
  <si>
    <t>Willer</t>
  </si>
  <si>
    <t>can't afford</t>
  </si>
  <si>
    <t>Rothen</t>
  </si>
  <si>
    <t>Ling</t>
  </si>
  <si>
    <t>Against rate hike</t>
  </si>
  <si>
    <t>Alcantar</t>
  </si>
  <si>
    <t>Outrageously greedy</t>
  </si>
  <si>
    <t>Callahan</t>
  </si>
  <si>
    <t>Kurtis</t>
  </si>
  <si>
    <t>Bate</t>
  </si>
  <si>
    <t>Noel</t>
  </si>
  <si>
    <t xml:space="preserve">Lim </t>
  </si>
  <si>
    <t>Jaclyn</t>
  </si>
  <si>
    <t>Mroczek</t>
  </si>
  <si>
    <t>Rayanne</t>
  </si>
  <si>
    <t>Bisbee</t>
  </si>
  <si>
    <t>M</t>
  </si>
  <si>
    <t xml:space="preserve">Karthik </t>
  </si>
  <si>
    <t>Bracken</t>
  </si>
  <si>
    <t>No MEP R3-47($150.38)</t>
  </si>
  <si>
    <t>Not interested in changing plans</t>
  </si>
  <si>
    <t>Linda</t>
  </si>
  <si>
    <t>Cannot afford</t>
  </si>
  <si>
    <t>Hull</t>
  </si>
  <si>
    <t>No MEP R3-47($352.39)</t>
  </si>
  <si>
    <t>10/07/2025 left VM</t>
  </si>
  <si>
    <t>Granato</t>
  </si>
  <si>
    <t>No MEP R-XS($118.46)</t>
  </si>
  <si>
    <t>Fanning</t>
  </si>
  <si>
    <t>Ace</t>
  </si>
  <si>
    <t>Already unreasonably high</t>
  </si>
  <si>
    <t>Lagana</t>
  </si>
  <si>
    <t>Eugene</t>
  </si>
  <si>
    <t>Parrish</t>
  </si>
  <si>
    <t>Irresponsible</t>
  </si>
  <si>
    <t>No MEP R-XS(127.55)</t>
  </si>
  <si>
    <t>Zamenick</t>
  </si>
  <si>
    <t>English</t>
  </si>
  <si>
    <t>Fiona</t>
  </si>
  <si>
    <t>Standridge</t>
  </si>
  <si>
    <t>Misty</t>
  </si>
  <si>
    <t>Good</t>
  </si>
  <si>
    <t>Travis</t>
  </si>
  <si>
    <t>2356371197</t>
  </si>
  <si>
    <t>McKeever</t>
  </si>
  <si>
    <t>This is insanity</t>
  </si>
  <si>
    <t>Vega</t>
  </si>
  <si>
    <t>Macario</t>
  </si>
  <si>
    <t>Enriquez</t>
  </si>
  <si>
    <t>Edith</t>
  </si>
  <si>
    <t>Opposed, if approved implement meaningful assistance programs</t>
  </si>
  <si>
    <t>Talamantez</t>
  </si>
  <si>
    <t>6276745354</t>
  </si>
  <si>
    <t>Gayed</t>
  </si>
  <si>
    <t>Manal</t>
  </si>
  <si>
    <t>Unbearable financial burden</t>
  </si>
  <si>
    <t>Rayepudi</t>
  </si>
  <si>
    <t>Vamseekrishna</t>
  </si>
  <si>
    <t>Dinnerstein</t>
  </si>
  <si>
    <t>Already astronomical</t>
  </si>
  <si>
    <t>No MEP R3-47(675.81)</t>
  </si>
  <si>
    <t>COR will remain on current serv plan</t>
  </si>
  <si>
    <t>Feehery</t>
  </si>
  <si>
    <t>Lorraine</t>
  </si>
  <si>
    <t>Unjust and greedy money grab</t>
  </si>
  <si>
    <t>Vidal</t>
  </si>
  <si>
    <t>Chanel</t>
  </si>
  <si>
    <t>No MEP R3-47($70.31)</t>
  </si>
  <si>
    <t>F</t>
  </si>
  <si>
    <t>L</t>
  </si>
  <si>
    <t>Unfair and unjustified</t>
  </si>
  <si>
    <t>Searles</t>
  </si>
  <si>
    <t>Ian</t>
  </si>
  <si>
    <t>Penaloza</t>
  </si>
  <si>
    <t>Reyna</t>
  </si>
  <si>
    <t>Rose</t>
  </si>
  <si>
    <t>Wright</t>
  </si>
  <si>
    <t>-</t>
  </si>
  <si>
    <t>Armenta</t>
  </si>
  <si>
    <t>Xavier</t>
  </si>
  <si>
    <t>No MEP R3-47(860.51)</t>
  </si>
  <si>
    <t xml:space="preserve">CPR changed to MEP </t>
  </si>
  <si>
    <t>Agostini-Walesch</t>
  </si>
  <si>
    <t>Erika</t>
  </si>
  <si>
    <t xml:space="preserve">Kovacs </t>
  </si>
  <si>
    <t>Beyond reason, outrageous request</t>
  </si>
  <si>
    <t>Movich</t>
  </si>
  <si>
    <t>Trudy</t>
  </si>
  <si>
    <t>Rimrock</t>
  </si>
  <si>
    <t>info not redacted</t>
  </si>
  <si>
    <t>Gaber</t>
  </si>
  <si>
    <t>https://docket.images.azcc.gov/E000046266.pdf</t>
  </si>
  <si>
    <t>Borror</t>
  </si>
  <si>
    <t>Keep it affordable</t>
  </si>
  <si>
    <t>Horne</t>
  </si>
  <si>
    <t>No MEP R3-47($84.78)</t>
  </si>
  <si>
    <t>Ferguson</t>
  </si>
  <si>
    <t>Cobb</t>
  </si>
  <si>
    <t>People are already hurting</t>
  </si>
  <si>
    <t>Laskey</t>
  </si>
  <si>
    <t>Mary Ann</t>
  </si>
  <si>
    <t>inappropriate burden</t>
  </si>
  <si>
    <t>Pray</t>
  </si>
  <si>
    <t>Lisa</t>
  </si>
  <si>
    <t>Object to charging residential customer for the power needs of AI &amp; IT</t>
  </si>
  <si>
    <t xml:space="preserve">Scheid </t>
  </si>
  <si>
    <t>Opposed, need oversight on their contractors</t>
  </si>
  <si>
    <t>Burt</t>
  </si>
  <si>
    <t>On the backs of struggling seniors statewide</t>
  </si>
  <si>
    <t>Vanity</t>
  </si>
  <si>
    <t>Dakota</t>
  </si>
  <si>
    <t>Toma</t>
  </si>
  <si>
    <t>Ramiz</t>
  </si>
  <si>
    <t>Hochgraver</t>
  </si>
  <si>
    <t>Jeremy</t>
  </si>
  <si>
    <t>No MEP R3-47($285.34)</t>
  </si>
  <si>
    <t>11/03 - LM</t>
  </si>
  <si>
    <t>Escarcega-Lopez</t>
  </si>
  <si>
    <t>Nathalie</t>
  </si>
  <si>
    <t>Misner</t>
  </si>
  <si>
    <t>Gilliland</t>
  </si>
  <si>
    <t>Clark</t>
  </si>
  <si>
    <t>They are in a class action suit, we do not want to foot this bill</t>
  </si>
  <si>
    <t>Such drastic rates</t>
  </si>
  <si>
    <t>Franovich</t>
  </si>
  <si>
    <t xml:space="preserve">Ridiculous </t>
  </si>
  <si>
    <t>Jeyabal</t>
  </si>
  <si>
    <t>Cholan</t>
  </si>
  <si>
    <t>Rosenberger</t>
  </si>
  <si>
    <t>Absolutely insane</t>
  </si>
  <si>
    <t>Simone</t>
  </si>
  <si>
    <t>Do the right thing, deny the rate increase</t>
  </si>
  <si>
    <t>No MEP R3-47(35.30)</t>
  </si>
  <si>
    <t>Mora</t>
  </si>
  <si>
    <t>Nathanael</t>
  </si>
  <si>
    <t>Altiveros</t>
  </si>
  <si>
    <t>Armand</t>
  </si>
  <si>
    <t>Roman</t>
  </si>
  <si>
    <t>Florence</t>
  </si>
  <si>
    <t>Retired, cannot afford this</t>
  </si>
  <si>
    <t>Hooker</t>
  </si>
  <si>
    <t>Bihms</t>
  </si>
  <si>
    <t>Cotton</t>
  </si>
  <si>
    <t>Opposed to outrageous request</t>
  </si>
  <si>
    <t>No MEP TOUE($139.14)</t>
  </si>
  <si>
    <t>10/15 Left VM</t>
  </si>
  <si>
    <t>Hayter</t>
  </si>
  <si>
    <t>Pydimarry</t>
  </si>
  <si>
    <t>Srinivascharandeepak</t>
  </si>
  <si>
    <t>N MEP R3-47($240.90)</t>
  </si>
  <si>
    <t>Rhodes</t>
  </si>
  <si>
    <t>Coltom</t>
  </si>
  <si>
    <t>Janene</t>
  </si>
  <si>
    <t>Behling</t>
  </si>
  <si>
    <t>Newton</t>
  </si>
  <si>
    <t>Laura</t>
  </si>
  <si>
    <t>No MEP R3-47($65.26)</t>
  </si>
  <si>
    <t>Meiergerd</t>
  </si>
  <si>
    <t>Celeste</t>
  </si>
  <si>
    <t>No MEP R3-47($92.94)</t>
  </si>
  <si>
    <t>Families have to make difficult choices</t>
  </si>
  <si>
    <t>No MEP R-BASIC($175.71)</t>
  </si>
  <si>
    <t>Based on average monthly energy usage, COR will likely remain on Tier 3 next month during rate reassignment. No call made. As of 11/3 COR is just under average monthly usage limit and should be automatically reassigned to Tier 2</t>
  </si>
  <si>
    <t>Lanier</t>
  </si>
  <si>
    <t>Daija</t>
  </si>
  <si>
    <t>Lowrance</t>
  </si>
  <si>
    <t>Hardee</t>
  </si>
  <si>
    <t>Deltoro</t>
  </si>
  <si>
    <t>No MEP R3-47($253.38)</t>
  </si>
  <si>
    <t>10/9 Left VM</t>
  </si>
  <si>
    <t>Lanchbury</t>
  </si>
  <si>
    <t>Hunter</t>
  </si>
  <si>
    <t>Ivan</t>
  </si>
  <si>
    <t>Jaeger</t>
  </si>
  <si>
    <t>Young</t>
  </si>
  <si>
    <t>Sellers</t>
  </si>
  <si>
    <t>Clements</t>
  </si>
  <si>
    <t>Fredy</t>
  </si>
  <si>
    <t>Jender</t>
  </si>
  <si>
    <t>No MEP R-XS ($47.79)</t>
  </si>
  <si>
    <t>Paynter</t>
  </si>
  <si>
    <t>DJ</t>
  </si>
  <si>
    <t>Ferrales</t>
  </si>
  <si>
    <t>Marlenne</t>
  </si>
  <si>
    <t>No MEP R-BASIC ($18.51)</t>
  </si>
  <si>
    <t>Pesala</t>
  </si>
  <si>
    <t>Harikrishna</t>
  </si>
  <si>
    <t>rake hike is not good</t>
  </si>
  <si>
    <t>No MEP R3-47($83.41)</t>
  </si>
  <si>
    <t xml:space="preserve">10/9 - Spoke to COR and discussed plan options and how the R3-47 plan works. He would like to review the details online and call back if he decides to switch. </t>
  </si>
  <si>
    <t>Kachur</t>
  </si>
  <si>
    <t>Marina</t>
  </si>
  <si>
    <t>Gallagher</t>
  </si>
  <si>
    <t>MEP not showing on the bill "flagged irregular usage" - Ashley is checking in to it</t>
  </si>
  <si>
    <t>Juneau</t>
  </si>
  <si>
    <t>Leone</t>
  </si>
  <si>
    <t>Landau</t>
  </si>
  <si>
    <t>Mandala</t>
  </si>
  <si>
    <t>Money grab</t>
  </si>
  <si>
    <t>3998480631</t>
  </si>
  <si>
    <t>Thibodeaux-Nunez</t>
  </si>
  <si>
    <t>Robbin</t>
  </si>
  <si>
    <t>rates are high enough</t>
  </si>
  <si>
    <t>Orillie</t>
  </si>
  <si>
    <t>Case Grande</t>
  </si>
  <si>
    <t>Cost are already obscene</t>
  </si>
  <si>
    <t>Kulandaivadivelu</t>
  </si>
  <si>
    <t>Rajesh</t>
  </si>
  <si>
    <t>No MEP RTOUE47($181.10)</t>
  </si>
  <si>
    <t>Gunderson</t>
  </si>
  <si>
    <t>Massive financial burden on my family</t>
  </si>
  <si>
    <t>McPherson</t>
  </si>
  <si>
    <t>Neville</t>
  </si>
  <si>
    <t>Ezrre</t>
  </si>
  <si>
    <t>2822550977</t>
  </si>
  <si>
    <t>Cafagna</t>
  </si>
  <si>
    <t>Caryn</t>
  </si>
  <si>
    <t>Cornville</t>
  </si>
  <si>
    <t>Will be burdensome on a fixed income</t>
  </si>
  <si>
    <t>Weiner</t>
  </si>
  <si>
    <t>Verdi</t>
  </si>
  <si>
    <t>Enough already</t>
  </si>
  <si>
    <t>Duckworth</t>
  </si>
  <si>
    <t>Loyiel</t>
  </si>
  <si>
    <t>Holt</t>
  </si>
  <si>
    <t>Brianna</t>
  </si>
  <si>
    <t>No MEP RTOUE47($42.59)</t>
  </si>
  <si>
    <t>Prakriya</t>
  </si>
  <si>
    <t>Veena</t>
  </si>
  <si>
    <t>Unaffordable</t>
  </si>
  <si>
    <t>Funk</t>
  </si>
  <si>
    <t>Cecilia</t>
  </si>
  <si>
    <t>https://docket.images.azcc.gov/E000046554.pdf</t>
  </si>
  <si>
    <t>2291912909</t>
  </si>
  <si>
    <t>Filed Twice</t>
  </si>
  <si>
    <t>Watson</t>
  </si>
  <si>
    <t>APS reports profits</t>
  </si>
  <si>
    <t>Sesha</t>
  </si>
  <si>
    <t>Arun Kumar</t>
  </si>
  <si>
    <t>Rodriguez</t>
  </si>
  <si>
    <t>Angel</t>
  </si>
  <si>
    <t>Fehr</t>
  </si>
  <si>
    <t>Unreasonably high</t>
  </si>
  <si>
    <t>1637250000</t>
  </si>
  <si>
    <t>Greibesland</t>
  </si>
  <si>
    <t>Bevan</t>
  </si>
  <si>
    <t>No MEP R3-47($138.04)</t>
  </si>
  <si>
    <t>Hepner</t>
  </si>
  <si>
    <t>Supports FRM</t>
  </si>
  <si>
    <t>Lind</t>
  </si>
  <si>
    <t>Hart</t>
  </si>
  <si>
    <t>Kosowicz</t>
  </si>
  <si>
    <t>Diane</t>
  </si>
  <si>
    <t>becoming unaffordable</t>
  </si>
  <si>
    <t>McCloud</t>
  </si>
  <si>
    <t>Unchecked greed</t>
  </si>
  <si>
    <t>No MEP R3-47($74.50)</t>
  </si>
  <si>
    <t>Martinez</t>
  </si>
  <si>
    <t>Evelin</t>
  </si>
  <si>
    <t>Unaffordable and unfair</t>
  </si>
  <si>
    <t>Stittleburg</t>
  </si>
  <si>
    <t>Stop stealing from the poor</t>
  </si>
  <si>
    <t>Litton</t>
  </si>
  <si>
    <t>Miranda</t>
  </si>
  <si>
    <t>No MEP R3-47 ($110.70)</t>
  </si>
  <si>
    <t>Too much too often</t>
  </si>
  <si>
    <t>No MEP R3-47($130.18)</t>
  </si>
  <si>
    <t>10/9 - tried to call, phone number is no longer in service</t>
  </si>
  <si>
    <t>Bahrie</t>
  </si>
  <si>
    <t>Atul</t>
  </si>
  <si>
    <t>No MEP R3-47($481.47)</t>
  </si>
  <si>
    <t>Pludowski</t>
  </si>
  <si>
    <t>Increase approved last year</t>
  </si>
  <si>
    <t>No MRP R3-47($305.33)</t>
  </si>
  <si>
    <t xml:space="preserve">10/9 reviewed account and notes indicate he spoke to an advisor within the last several  months and specifically asked to be removed from the demand plan. </t>
  </si>
  <si>
    <t>Tucker</t>
  </si>
  <si>
    <t>against any increase</t>
  </si>
  <si>
    <t>Trending over average monthly usage limit</t>
  </si>
  <si>
    <t>Washatka</t>
  </si>
  <si>
    <t>Nicholson</t>
  </si>
  <si>
    <t>No R3-47($76.57)</t>
  </si>
  <si>
    <t>Haynes</t>
  </si>
  <si>
    <t>No R3-47($147.75)</t>
  </si>
  <si>
    <t xml:space="preserve">10/9 Spoke with Ms. Haynes regarding her MEP, R3-47. She does not want to change at this time. Advised her to monitor monthly plan comparison details. </t>
  </si>
  <si>
    <t>Bauer</t>
  </si>
  <si>
    <t>4581830000</t>
  </si>
  <si>
    <t>Zschunke</t>
  </si>
  <si>
    <t>Bonnie</t>
  </si>
  <si>
    <t>Carroll</t>
  </si>
  <si>
    <t>Can't afford higher bills</t>
  </si>
  <si>
    <t>Dutta</t>
  </si>
  <si>
    <t>Samrat</t>
  </si>
  <si>
    <t xml:space="preserve">Willer </t>
  </si>
  <si>
    <t>New River</t>
  </si>
  <si>
    <t>Madeline</t>
  </si>
  <si>
    <t>Valeev</t>
  </si>
  <si>
    <t>Margaret</t>
  </si>
  <si>
    <t>Furious</t>
  </si>
  <si>
    <t>Cannochka</t>
  </si>
  <si>
    <t>Dmitrii</t>
  </si>
  <si>
    <t>Hareza</t>
  </si>
  <si>
    <t>Darla</t>
  </si>
  <si>
    <t>Stop being so greedy</t>
  </si>
  <si>
    <t>Sawminathan</t>
  </si>
  <si>
    <t>Balaganesan</t>
  </si>
  <si>
    <t>Sheri</t>
  </si>
  <si>
    <t>Downey</t>
  </si>
  <si>
    <t>Yip</t>
  </si>
  <si>
    <t>Indy</t>
  </si>
  <si>
    <t>No MEP R3-47($37.53)</t>
  </si>
  <si>
    <t>Mathews Scott</t>
  </si>
  <si>
    <t xml:space="preserve">Mary </t>
  </si>
  <si>
    <t>Desert Hills</t>
  </si>
  <si>
    <t>Greed</t>
  </si>
  <si>
    <t>Handelman</t>
  </si>
  <si>
    <t xml:space="preserve">Jeff </t>
  </si>
  <si>
    <t>Opposed, gouging customers</t>
  </si>
  <si>
    <t>Wollman</t>
  </si>
  <si>
    <t>Kenneth</t>
  </si>
  <si>
    <t>Ridiculous and a hardship</t>
  </si>
  <si>
    <t>No MEP R3-47($88.73)</t>
  </si>
  <si>
    <t>Fulton</t>
  </si>
  <si>
    <t>Celena</t>
  </si>
  <si>
    <t>Morristown</t>
  </si>
  <si>
    <t>Lassner</t>
  </si>
  <si>
    <t>No MEP R-BASIC($42.83)</t>
  </si>
  <si>
    <t>Palaniraj</t>
  </si>
  <si>
    <t>Selvakumar</t>
  </si>
  <si>
    <t>Kumis</t>
  </si>
  <si>
    <t>Bessie</t>
  </si>
  <si>
    <t>Becus</t>
  </si>
  <si>
    <t>Lucie</t>
  </si>
  <si>
    <t>Wesley</t>
  </si>
  <si>
    <t>No MEP R3-47($419.59)</t>
  </si>
  <si>
    <t>Zausmer</t>
  </si>
  <si>
    <t>10/8 Spoke with COR and discussed MEP of R3-47 - she agreed to try R3-47. Dom helped to make the rate change in C&amp;CB.</t>
  </si>
  <si>
    <t>Undue burden on residential customers</t>
  </si>
  <si>
    <t>Taft</t>
  </si>
  <si>
    <t>Konrad</t>
  </si>
  <si>
    <t>Data centers coming in and nothing to with energy use</t>
  </si>
  <si>
    <t>Futi</t>
  </si>
  <si>
    <t>Ruben</t>
  </si>
  <si>
    <t>COR JUST STARTED SERV</t>
  </si>
  <si>
    <t>Rohit</t>
  </si>
  <si>
    <t>0119612479</t>
  </si>
  <si>
    <t>Stout</t>
  </si>
  <si>
    <t>Grand Canyon</t>
  </si>
  <si>
    <t>Lenick</t>
  </si>
  <si>
    <t>Lamar</t>
  </si>
  <si>
    <t xml:space="preserve">Nathan </t>
  </si>
  <si>
    <t xml:space="preserve">Merican </t>
  </si>
  <si>
    <t>Kari</t>
  </si>
  <si>
    <t>Opposed, unstainable</t>
  </si>
  <si>
    <t>Ramia</t>
  </si>
  <si>
    <t>No MEP R3-47 ($9.57)</t>
  </si>
  <si>
    <t>Derek</t>
  </si>
  <si>
    <t>Rivera</t>
  </si>
  <si>
    <t>Kane</t>
  </si>
  <si>
    <t>No MEP RTOUE47 ($0.81)</t>
  </si>
  <si>
    <t>Sandra</t>
  </si>
  <si>
    <t>Opposed, not fair</t>
  </si>
  <si>
    <t>Jamison</t>
  </si>
  <si>
    <t>No MEP R-BASIC($44.93)</t>
  </si>
  <si>
    <t>Energy usage barely eligible for BASIC - Might stay on BASICL at annual reassignment</t>
  </si>
  <si>
    <t>Kirby</t>
  </si>
  <si>
    <t>Corirossi</t>
  </si>
  <si>
    <t>No MEP R3-47($62.68)</t>
  </si>
  <si>
    <t>Talbott</t>
  </si>
  <si>
    <t>Cut the fat</t>
  </si>
  <si>
    <t>No MEP R3-47($235.10)</t>
  </si>
  <si>
    <t>10/8 Left VM</t>
  </si>
  <si>
    <t>DeBay</t>
  </si>
  <si>
    <t xml:space="preserve">Jan </t>
  </si>
  <si>
    <t>already very high</t>
  </si>
  <si>
    <t>Traverso</t>
  </si>
  <si>
    <t>Luca</t>
  </si>
  <si>
    <t>Reed</t>
  </si>
  <si>
    <t>Ralph</t>
  </si>
  <si>
    <t>Retired, fixed income</t>
  </si>
  <si>
    <t>Magee</t>
  </si>
  <si>
    <t>Non-AMI Customer</t>
  </si>
  <si>
    <t>Stumpf</t>
  </si>
  <si>
    <t>Yvette</t>
  </si>
  <si>
    <t>3006885688</t>
  </si>
  <si>
    <t>Gilmore</t>
  </si>
  <si>
    <t>0786386957</t>
  </si>
  <si>
    <t>No MEP TOUE ($420.43)</t>
  </si>
  <si>
    <t>10/08/2025 left VM</t>
  </si>
  <si>
    <t>Funke</t>
  </si>
  <si>
    <t>Carrie</t>
  </si>
  <si>
    <t>3973394094</t>
  </si>
  <si>
    <t>Kriechbaum</t>
  </si>
  <si>
    <t>Sherry</t>
  </si>
  <si>
    <t>1468123073</t>
  </si>
  <si>
    <t>Robb</t>
  </si>
  <si>
    <t>Vaughn</t>
  </si>
  <si>
    <t>Blaser</t>
  </si>
  <si>
    <t>Vujic</t>
  </si>
  <si>
    <t>Inman</t>
  </si>
  <si>
    <t>0902311000</t>
  </si>
  <si>
    <t>No MEP R3-47 ($79.77)</t>
  </si>
  <si>
    <t>Hobson</t>
  </si>
  <si>
    <t>https://docket.images.azcc.gov/E000046269.pdf</t>
  </si>
  <si>
    <t>9549931000</t>
  </si>
  <si>
    <t>No MEP R3-47 ($482.61)</t>
  </si>
  <si>
    <t>Boardman</t>
  </si>
  <si>
    <t>Julia</t>
  </si>
  <si>
    <t>5373695965</t>
  </si>
  <si>
    <t>Dara</t>
  </si>
  <si>
    <t>Krishna</t>
  </si>
  <si>
    <t>Already getting difficult to pay the bill</t>
  </si>
  <si>
    <t>5997041000</t>
  </si>
  <si>
    <t>8418910000</t>
  </si>
  <si>
    <t>Bethany</t>
  </si>
  <si>
    <t>Kaelyn</t>
  </si>
  <si>
    <t>9984188572</t>
  </si>
  <si>
    <t>Kumar</t>
  </si>
  <si>
    <t>Sumit</t>
  </si>
  <si>
    <t>7756951000</t>
  </si>
  <si>
    <t>Kalikar</t>
  </si>
  <si>
    <t>Vinayak</t>
  </si>
  <si>
    <t>3063800000</t>
  </si>
  <si>
    <t>Rushing</t>
  </si>
  <si>
    <t>Ayla</t>
  </si>
  <si>
    <t>Greedy company</t>
  </si>
  <si>
    <t>No MEP R3-47 ($221.91)</t>
  </si>
  <si>
    <t>Hudgins</t>
  </si>
  <si>
    <t>Eldeen</t>
  </si>
  <si>
    <t>Opposed / submitted request to intervene</t>
  </si>
  <si>
    <t>6552151000</t>
  </si>
  <si>
    <t>Burkes</t>
  </si>
  <si>
    <t>https://docket.images.azcc.gov/E000046289.pdf</t>
  </si>
  <si>
    <t>5001808687</t>
  </si>
  <si>
    <t>Kathryne</t>
  </si>
  <si>
    <t>1247840000</t>
  </si>
  <si>
    <t>No MEP R3-47 ($161.55)</t>
  </si>
  <si>
    <t>Hollie</t>
  </si>
  <si>
    <t>7888410000</t>
  </si>
  <si>
    <t>5739710087</t>
  </si>
  <si>
    <t>Beck</t>
  </si>
  <si>
    <t>Stolarski</t>
  </si>
  <si>
    <t>7411200000</t>
  </si>
  <si>
    <t>Catie</t>
  </si>
  <si>
    <t>9763988768</t>
  </si>
  <si>
    <t>Post</t>
  </si>
  <si>
    <t>Dunn</t>
  </si>
  <si>
    <t>Rates were raised last year</t>
  </si>
  <si>
    <t>4455045278</t>
  </si>
  <si>
    <t>Bernhardt</t>
  </si>
  <si>
    <t>8069970000</t>
  </si>
  <si>
    <t>Opposed, 8% last year</t>
  </si>
  <si>
    <t>Gwen</t>
  </si>
  <si>
    <t>Hunt</t>
  </si>
  <si>
    <t>Bills are already high</t>
  </si>
  <si>
    <t xml:space="preserve">Jenni </t>
  </si>
  <si>
    <t>Kobus</t>
  </si>
  <si>
    <t>1139701000</t>
  </si>
  <si>
    <t>Benuncosa</t>
  </si>
  <si>
    <t>Emery</t>
  </si>
  <si>
    <t>7740741000</t>
  </si>
  <si>
    <t>Sosnicki</t>
  </si>
  <si>
    <t>Got 8% last year, now they want 14%</t>
  </si>
  <si>
    <t>4807360000</t>
  </si>
  <si>
    <t>Wyatt</t>
  </si>
  <si>
    <t>Kristin</t>
  </si>
  <si>
    <t>7745120000</t>
  </si>
  <si>
    <t>Coschigano</t>
  </si>
  <si>
    <t>9186920000</t>
  </si>
  <si>
    <t>Decker</t>
  </si>
  <si>
    <t>Courtland</t>
  </si>
  <si>
    <t>not fair nor financially respectful to ask for 22% increase in two years</t>
  </si>
  <si>
    <t>5805736054</t>
  </si>
  <si>
    <t>Boisvert</t>
  </si>
  <si>
    <t>4181641000</t>
  </si>
  <si>
    <t>Coronado</t>
  </si>
  <si>
    <t>Unacceptable and should not be allowed</t>
  </si>
  <si>
    <t>Grondin</t>
  </si>
  <si>
    <t>Sarah &amp; Micah</t>
  </si>
  <si>
    <t>5506921000</t>
  </si>
  <si>
    <t>Morrison</t>
  </si>
  <si>
    <t>Quandra</t>
  </si>
  <si>
    <t>3459240757</t>
  </si>
  <si>
    <t>No MEP R-BASIC ($78.14)</t>
  </si>
  <si>
    <t>Lander</t>
  </si>
  <si>
    <t>Opposed, monopoly</t>
  </si>
  <si>
    <t>1593380000</t>
  </si>
  <si>
    <t>Lane</t>
  </si>
  <si>
    <t>Genevieve</t>
  </si>
  <si>
    <t>Bezanson</t>
  </si>
  <si>
    <t>4494941000</t>
  </si>
  <si>
    <t>Katsura</t>
  </si>
  <si>
    <t>0879272556</t>
  </si>
  <si>
    <t>Filed 2x</t>
  </si>
  <si>
    <t>Boos</t>
  </si>
  <si>
    <t>Al</t>
  </si>
  <si>
    <t>egregious and possibly unaffordable by many customers</t>
  </si>
  <si>
    <t>9093670000</t>
  </si>
  <si>
    <t>Farnsworth</t>
  </si>
  <si>
    <t>0607010210</t>
  </si>
  <si>
    <t>Parr</t>
  </si>
  <si>
    <t>Joshua Roy</t>
  </si>
  <si>
    <t>5406537242</t>
  </si>
  <si>
    <t>No MEP R3-47 ($137.94)</t>
  </si>
  <si>
    <t>Orr</t>
  </si>
  <si>
    <t>Opposed, will have to move away</t>
  </si>
  <si>
    <t>Peteet</t>
  </si>
  <si>
    <t>We aren't getting any benefit from proposed increase</t>
  </si>
  <si>
    <t>https://docket.images.azcc.gov/E000046305.pdf</t>
  </si>
  <si>
    <t>Egregious, I pay approx $126 just in service charges</t>
  </si>
  <si>
    <t>7176661000</t>
  </si>
  <si>
    <t>Not in line with the current CPI</t>
  </si>
  <si>
    <t>Shaver</t>
  </si>
  <si>
    <t>4935500000</t>
  </si>
  <si>
    <t>Colon</t>
  </si>
  <si>
    <t>3940259300</t>
  </si>
  <si>
    <t>Edmondson</t>
  </si>
  <si>
    <t>Minimal increase is acceptable</t>
  </si>
  <si>
    <t>https://docket.images.azcc.gov/E000046290.pdf</t>
  </si>
  <si>
    <t>Mataraza</t>
  </si>
  <si>
    <t>When is enough, enough?</t>
  </si>
  <si>
    <t>https://docket.images.azcc.gov/E000046309.pdf</t>
  </si>
  <si>
    <t>Brumund</t>
  </si>
  <si>
    <t>Randy</t>
  </si>
  <si>
    <t>Barely have enough to cover the increase of food</t>
  </si>
  <si>
    <t>2387100000</t>
  </si>
  <si>
    <t>Malaki</t>
  </si>
  <si>
    <t>Samantha</t>
  </si>
  <si>
    <t>8027967579</t>
  </si>
  <si>
    <t>No MEP R3-47 ($84.85)</t>
  </si>
  <si>
    <t>Shah</t>
  </si>
  <si>
    <t>Raju</t>
  </si>
  <si>
    <t>1914731000</t>
  </si>
  <si>
    <t>Dermott</t>
  </si>
  <si>
    <t>Pircaro</t>
  </si>
  <si>
    <t>0029211000</t>
  </si>
  <si>
    <t>Tanika</t>
  </si>
  <si>
    <t>5458953850</t>
  </si>
  <si>
    <t>No MEP R-XS ($24.15)</t>
  </si>
  <si>
    <t>Josselyn</t>
  </si>
  <si>
    <t>https://docket.images.azcc.gov/E000046316.pdf</t>
  </si>
  <si>
    <t>4528501000</t>
  </si>
  <si>
    <t>No MEP R-XS ($117.00)</t>
  </si>
  <si>
    <t>10/8/2025 Left VM</t>
  </si>
  <si>
    <t>Ray</t>
  </si>
  <si>
    <t>Ingeborg</t>
  </si>
  <si>
    <t>6428400000</t>
  </si>
  <si>
    <t>Parker</t>
  </si>
  <si>
    <t>Opposed, small business struggling due to extreme heat waves</t>
  </si>
  <si>
    <t>Wellton</t>
  </si>
  <si>
    <t>Mikkola</t>
  </si>
  <si>
    <t>Cheryl</t>
  </si>
  <si>
    <t>Opposed, seniors, spouse has cancer, his temp is regulated for health</t>
  </si>
  <si>
    <t>https://docket.images.azcc.gov/E000046329.pdf</t>
  </si>
  <si>
    <t>9414462931</t>
  </si>
  <si>
    <t>No MEP R3-47 ($35.30)</t>
  </si>
  <si>
    <t>Frederick</t>
  </si>
  <si>
    <t>8805404344</t>
  </si>
  <si>
    <t>Craycroft</t>
  </si>
  <si>
    <t>4344550000</t>
  </si>
  <si>
    <t>This comment was submitted by The Arizona House of Rep Constituent Office</t>
  </si>
  <si>
    <t>Deer</t>
  </si>
  <si>
    <t>Payton</t>
  </si>
  <si>
    <t>3161149182</t>
  </si>
  <si>
    <t>No MEP R-XS ($119.86)</t>
  </si>
  <si>
    <t>10/9 reviewed account, average monthly energy usage is trending high so customer would be bumped up to tier 2</t>
  </si>
  <si>
    <t>No MEP R-XS ($78.14)</t>
  </si>
  <si>
    <t>5862540000</t>
  </si>
  <si>
    <t>Using hold on energy selection against Arizona families</t>
  </si>
  <si>
    <t>https://docket.images.azcc.gov/E000046349.pdf</t>
  </si>
  <si>
    <t>7228908122</t>
  </si>
  <si>
    <t>Mohajerin</t>
  </si>
  <si>
    <t>Saeed</t>
  </si>
  <si>
    <t>How much is enough</t>
  </si>
  <si>
    <t>8092710000</t>
  </si>
  <si>
    <t>Varner</t>
  </si>
  <si>
    <t>Edie</t>
  </si>
  <si>
    <t>Constant increase in utilities bill, senior, strict budget</t>
  </si>
  <si>
    <t>2482408877</t>
  </si>
  <si>
    <t>No MEP R3-47 ($15.79)</t>
  </si>
  <si>
    <t>Iewan</t>
  </si>
  <si>
    <t>Jim</t>
  </si>
  <si>
    <t>Thompson</t>
  </si>
  <si>
    <t>Shirley</t>
  </si>
  <si>
    <t>https://docket.images.azcc.gov/E000046359.pdf</t>
  </si>
  <si>
    <t>4175541000</t>
  </si>
  <si>
    <t>https://docket.images.azcc.gov/E000046388.pdf</t>
  </si>
  <si>
    <t>Driver</t>
  </si>
  <si>
    <t>Robin</t>
  </si>
  <si>
    <t>https://docket.images.azcc.gov/E000046404.pdf</t>
  </si>
  <si>
    <t>Saltzman</t>
  </si>
  <si>
    <t>2594531000</t>
  </si>
  <si>
    <t>No MEP R-BASIC ($77.70)</t>
  </si>
  <si>
    <t>Bejar</t>
  </si>
  <si>
    <t>Christen</t>
  </si>
  <si>
    <t>2001860000</t>
  </si>
  <si>
    <t>No MEP R3-47 ($120.96)</t>
  </si>
  <si>
    <t>10/08/2025 Left VM</t>
  </si>
  <si>
    <t>Redman</t>
  </si>
  <si>
    <t>0417096787</t>
  </si>
  <si>
    <t xml:space="preserve">Salt </t>
  </si>
  <si>
    <t>1444600000</t>
  </si>
  <si>
    <t>Menoche</t>
  </si>
  <si>
    <t>Kaitlynn</t>
  </si>
  <si>
    <t>https://docket.images.azcc.gov/E000046437.pdf</t>
  </si>
  <si>
    <t>Harms</t>
  </si>
  <si>
    <t>Reduced exorbitant salaries</t>
  </si>
  <si>
    <t>5304030000</t>
  </si>
  <si>
    <t>Heaton</t>
  </si>
  <si>
    <t>price gouging</t>
  </si>
  <si>
    <t>Sinks</t>
  </si>
  <si>
    <t xml:space="preserve">O'Neil </t>
  </si>
  <si>
    <t>7224390000</t>
  </si>
  <si>
    <t>No MEP R3-47 ($19.36)</t>
  </si>
  <si>
    <t>Dukart</t>
  </si>
  <si>
    <t>Corporate Greed</t>
  </si>
  <si>
    <t>2139544986</t>
  </si>
  <si>
    <t>Fylan</t>
  </si>
  <si>
    <t>3066285596</t>
  </si>
  <si>
    <t>No MEP R3-47 ($355.98)</t>
  </si>
  <si>
    <t xml:space="preserve">10/08/2025 Left VM </t>
  </si>
  <si>
    <t>Martin</t>
  </si>
  <si>
    <t>0436289551</t>
  </si>
  <si>
    <t>No MEP R3-47 ($159.33)</t>
  </si>
  <si>
    <t>Mobley</t>
  </si>
  <si>
    <t>Susan</t>
  </si>
  <si>
    <t>3375784078</t>
  </si>
  <si>
    <t>No MEP R3-47 ($498.46)</t>
  </si>
  <si>
    <t>Andrews</t>
  </si>
  <si>
    <t>Firmly against</t>
  </si>
  <si>
    <t>4155800832</t>
  </si>
  <si>
    <t>Harris</t>
  </si>
  <si>
    <t>5288821061</t>
  </si>
  <si>
    <t>Pending stop 11/3</t>
  </si>
  <si>
    <t>Nancy</t>
  </si>
  <si>
    <t>Unreasonable</t>
  </si>
  <si>
    <t>5531290000</t>
  </si>
  <si>
    <t>No MEP R3-47 ($188.91))</t>
  </si>
  <si>
    <t>10/9 Tried to leave a VM, mailbox is full, Tried to call again on 11/10</t>
  </si>
  <si>
    <t>Camacho</t>
  </si>
  <si>
    <t>Chevon</t>
  </si>
  <si>
    <t>Mercado-Tarango</t>
  </si>
  <si>
    <t>Brenda</t>
  </si>
  <si>
    <t>4456121000</t>
  </si>
  <si>
    <t>Messing</t>
  </si>
  <si>
    <t>Manville</t>
  </si>
  <si>
    <t>La Plant</t>
  </si>
  <si>
    <t xml:space="preserve">Lind </t>
  </si>
  <si>
    <t>Sylvester</t>
  </si>
  <si>
    <t>Zachery</t>
  </si>
  <si>
    <t>9854457444</t>
  </si>
  <si>
    <t>Weigand</t>
  </si>
  <si>
    <t>Mathew</t>
  </si>
  <si>
    <t>0406230633</t>
  </si>
  <si>
    <t>R-Basic</t>
  </si>
  <si>
    <t>No MEP TOUE ($20.50)</t>
  </si>
  <si>
    <t>Callingham</t>
  </si>
  <si>
    <t>5672030668</t>
  </si>
  <si>
    <t>We are struggling</t>
  </si>
  <si>
    <t>Mercedes</t>
  </si>
  <si>
    <t>Extremely expensive</t>
  </si>
  <si>
    <t>2060349043</t>
  </si>
  <si>
    <t>No MEP TOUE ($157.52)</t>
  </si>
  <si>
    <t>10/9 Reviewed account, on 9/29 customer called to switch to MEP</t>
  </si>
  <si>
    <t>Called into CX center to switch plans to MEP on 9/29</t>
  </si>
  <si>
    <t>Quinet</t>
  </si>
  <si>
    <t>3985295602</t>
  </si>
  <si>
    <t>Gaydosz</t>
  </si>
  <si>
    <t xml:space="preserve">Ridiculous  </t>
  </si>
  <si>
    <t>Enough is enough, already paying $160 for a 700 sqdt apartment</t>
  </si>
  <si>
    <t>3081131103</t>
  </si>
  <si>
    <t>No MEP R-XS ($98.76)</t>
  </si>
  <si>
    <t>Donato</t>
  </si>
  <si>
    <t xml:space="preserve">This is a significant burden, especially at a time when cost of living continues to rise </t>
  </si>
  <si>
    <t>https://docket.images.azcc.gov/E000046472.pdf</t>
  </si>
  <si>
    <t>No MEP R3-47(336.10)</t>
  </si>
  <si>
    <t>Bramble</t>
  </si>
  <si>
    <t>The proposed rate increase is excessive</t>
  </si>
  <si>
    <t>https://docket.images.azcc.gov/E000046494.pdf</t>
  </si>
  <si>
    <t>Craig</t>
  </si>
  <si>
    <t>Fein</t>
  </si>
  <si>
    <t>Opposed-I wont survive another summer in AZ</t>
  </si>
  <si>
    <t>Keates</t>
  </si>
  <si>
    <t>Rob</t>
  </si>
  <si>
    <t>Opposed-Price gouging</t>
  </si>
  <si>
    <t>https://docket.images.azcc.gov/E000046502.pdf</t>
  </si>
  <si>
    <t>No MEP R-BASIC(126.09)</t>
  </si>
  <si>
    <t>10/9 Reviewed account and average monthly energe use is 760 kwh - want to confirm BASIC is a good recommendation?</t>
  </si>
  <si>
    <t>Gregg</t>
  </si>
  <si>
    <t>Opposed-APS sees a profit margin already of 9.55%</t>
  </si>
  <si>
    <t>3547350000</t>
  </si>
  <si>
    <t>Mensinger</t>
  </si>
  <si>
    <t>Opposed-Lets take a closer look at company spending habits</t>
  </si>
  <si>
    <t>Houck</t>
  </si>
  <si>
    <t>Opposed-APS sis 25% higher than SRP</t>
  </si>
  <si>
    <t>https://docket.images.azcc.gov/E000046525.pdf</t>
  </si>
  <si>
    <t>Pop</t>
  </si>
  <si>
    <t>Don’t raise the rates for electricity</t>
  </si>
  <si>
    <t>Already had an 8% increase last year</t>
  </si>
  <si>
    <t>Opposed-AC set 83 and still high bills</t>
  </si>
  <si>
    <t>Hendricks</t>
  </si>
  <si>
    <t>Joseph City</t>
  </si>
  <si>
    <t>Opposed-Why am I forced to APS and not someone else?</t>
  </si>
  <si>
    <t>Several missed payments</t>
  </si>
  <si>
    <t>Walton</t>
  </si>
  <si>
    <t>Opposed-Shareholders interests are prioritized</t>
  </si>
  <si>
    <t>Frausto</t>
  </si>
  <si>
    <t>Esmeralda</t>
  </si>
  <si>
    <t>Opposed-Think of customers first, high cost of living</t>
  </si>
  <si>
    <t>Continuous payment arrangements for a couple years, may need more assistance?</t>
  </si>
  <si>
    <t>Opposed- Going to contact Attorney Gen. to allow SRP serv</t>
  </si>
  <si>
    <t>Avalos</t>
  </si>
  <si>
    <t>Opposed-It will only drive away more jobs</t>
  </si>
  <si>
    <t>Hulsey</t>
  </si>
  <si>
    <t>Strongly Oppose 14% increase</t>
  </si>
  <si>
    <t>Multiple ACC Complaints (2023 and 2024)</t>
  </si>
  <si>
    <t>Munson</t>
  </si>
  <si>
    <t>Show Low</t>
  </si>
  <si>
    <t>Opposed-Corporate greed</t>
  </si>
  <si>
    <t>Craft</t>
  </si>
  <si>
    <t xml:space="preserve">Opposed-Ridiculous for such a large company </t>
  </si>
  <si>
    <t>Lopardo</t>
  </si>
  <si>
    <t>Corinna</t>
  </si>
  <si>
    <t>No MEP R3-47 ($13.58)</t>
  </si>
  <si>
    <t>Trisha</t>
  </si>
  <si>
    <t>Opposed-Absolutely ridiculous</t>
  </si>
  <si>
    <t>Siers</t>
  </si>
  <si>
    <t>Wade</t>
  </si>
  <si>
    <t>Opposed-14% appears rather excessive</t>
  </si>
  <si>
    <t>Boerner</t>
  </si>
  <si>
    <t>Rhonda</t>
  </si>
  <si>
    <t>Opposed-Unfair to residential customers</t>
  </si>
  <si>
    <t>Zamudio</t>
  </si>
  <si>
    <t>Alejandro</t>
  </si>
  <si>
    <t>Opposed- Unacceptable and unreasonable</t>
  </si>
  <si>
    <t>Ducar</t>
  </si>
  <si>
    <t>Outraged the commission would even consider this</t>
  </si>
  <si>
    <t>Sept</t>
  </si>
  <si>
    <t>Opposed-Monopoly</t>
  </si>
  <si>
    <t>Vandenberg</t>
  </si>
  <si>
    <t>Opposed-Terrible idea for Arizonans</t>
  </si>
  <si>
    <t>No MEP R3-47(175.40)</t>
  </si>
  <si>
    <t>Downing</t>
  </si>
  <si>
    <t>Opposed-increase is 4X higher than prevailing inflation</t>
  </si>
  <si>
    <t>Marinero</t>
  </si>
  <si>
    <t>Walter</t>
  </si>
  <si>
    <t xml:space="preserve">Strongly Opposed- Undue and unsustainable financial burden </t>
  </si>
  <si>
    <t>No MEP R3-47(1039.42)</t>
  </si>
  <si>
    <t>10/10/2025 Left VM</t>
  </si>
  <si>
    <t>Sharley</t>
  </si>
  <si>
    <t>Opposed- Financial burden if passed</t>
  </si>
  <si>
    <t>https://docket.images.azcc.gov/E000046531.pdf</t>
  </si>
  <si>
    <t>0636160358</t>
  </si>
  <si>
    <t>Opposed-16.6% increase? That's Crazy!!!</t>
  </si>
  <si>
    <t>https://docket.images.azcc.gov/E000046900.pdf</t>
  </si>
  <si>
    <t>Opposed- New Mexico bill is cheaper</t>
  </si>
  <si>
    <t>2829931000</t>
  </si>
  <si>
    <t>Opposed-Pinnacle West netted 600 million in profit</t>
  </si>
  <si>
    <t>Dagerman</t>
  </si>
  <si>
    <t>Opposed-Energy is a necessity not luxury</t>
  </si>
  <si>
    <t>6014831000</t>
  </si>
  <si>
    <t>Good payment history, shows a recent missed payment</t>
  </si>
  <si>
    <t>Denton</t>
  </si>
  <si>
    <t>Opposed, Ludicrous</t>
  </si>
  <si>
    <t>Gina</t>
  </si>
  <si>
    <t>Strongly Oppose</t>
  </si>
  <si>
    <t>Friedman</t>
  </si>
  <si>
    <t>Ashleigh</t>
  </si>
  <si>
    <t>Opposed- too much wit increased cost of living</t>
  </si>
  <si>
    <t>Sawyer</t>
  </si>
  <si>
    <t>Opposed-SRP model is superior</t>
  </si>
  <si>
    <t>9300806707</t>
  </si>
  <si>
    <t>Suckow</t>
  </si>
  <si>
    <t>Opposed-Rates already incredibly high</t>
  </si>
  <si>
    <t>3389991021</t>
  </si>
  <si>
    <t>No MEP R3-47 (101.27)</t>
  </si>
  <si>
    <t>Cor will think about this and request a cb at her convenience</t>
  </si>
  <si>
    <t>Swett</t>
  </si>
  <si>
    <t>Paige</t>
  </si>
  <si>
    <t xml:space="preserve">Glendale </t>
  </si>
  <si>
    <t xml:space="preserve">Strongly against rate increase </t>
  </si>
  <si>
    <t>2219505228</t>
  </si>
  <si>
    <t xml:space="preserve">Mathews </t>
  </si>
  <si>
    <t>Dajiah</t>
  </si>
  <si>
    <t>Opposed-increase e3 and crises base lines to match</t>
  </si>
  <si>
    <t>https://docket.images.azcc.gov/E000046548.pdf</t>
  </si>
  <si>
    <t>4591969515</t>
  </si>
  <si>
    <t>Norquist</t>
  </si>
  <si>
    <t>Paradise Valley</t>
  </si>
  <si>
    <t>Chip factories and AI are driving up costs</t>
  </si>
  <si>
    <t>9097961505</t>
  </si>
  <si>
    <t>Hamilton</t>
  </si>
  <si>
    <t>Opposed-retired on a fixed income</t>
  </si>
  <si>
    <t>3630760766</t>
  </si>
  <si>
    <t>R</t>
  </si>
  <si>
    <t>Opposed-too many increases</t>
  </si>
  <si>
    <t>Ilya</t>
  </si>
  <si>
    <t xml:space="preserve">Opposed- deep concern and frustration </t>
  </si>
  <si>
    <t>9308190000</t>
  </si>
  <si>
    <t>Machuca</t>
  </si>
  <si>
    <t>Senorina</t>
  </si>
  <si>
    <t xml:space="preserve">El Mirage </t>
  </si>
  <si>
    <t>Opposed-600 million in net income</t>
  </si>
  <si>
    <t>Bourdieu</t>
  </si>
  <si>
    <t>Krystal</t>
  </si>
  <si>
    <t xml:space="preserve">Opposed-2024 net income 600 million </t>
  </si>
  <si>
    <t>3083620000</t>
  </si>
  <si>
    <t>Ruddy</t>
  </si>
  <si>
    <t>Cayla</t>
  </si>
  <si>
    <t>Opposed-APS is not interested in providing affordable energy</t>
  </si>
  <si>
    <t>7002436554</t>
  </si>
  <si>
    <t>Toback</t>
  </si>
  <si>
    <t>Opposed-Average family wont be able to keep up</t>
  </si>
  <si>
    <t>0355361000</t>
  </si>
  <si>
    <t>Phay</t>
  </si>
  <si>
    <t>Brittney</t>
  </si>
  <si>
    <t>Opposed-protect rate payers and reject this</t>
  </si>
  <si>
    <t>3392630000</t>
  </si>
  <si>
    <t>Sexton</t>
  </si>
  <si>
    <t>5316089188</t>
  </si>
  <si>
    <t>No MEP R-XS ($126.36)</t>
  </si>
  <si>
    <t>Will reassign soon</t>
  </si>
  <si>
    <t>Freda</t>
  </si>
  <si>
    <t>Opposed-other utilities have increased</t>
  </si>
  <si>
    <t>Vollmer</t>
  </si>
  <si>
    <t>Opposed-Bogus rate increase, money grab</t>
  </si>
  <si>
    <t>9129688999</t>
  </si>
  <si>
    <t>Schiff</t>
  </si>
  <si>
    <t>1326918238</t>
  </si>
  <si>
    <t>Knaeble</t>
  </si>
  <si>
    <t>Opposed-Charge data centers more</t>
  </si>
  <si>
    <t>6830451000</t>
  </si>
  <si>
    <t>Valerio</t>
  </si>
  <si>
    <t>Veronica R.</t>
  </si>
  <si>
    <t>Opposed-increase is concerning</t>
  </si>
  <si>
    <t>9727210000</t>
  </si>
  <si>
    <t>9/192025</t>
  </si>
  <si>
    <t>Eggert</t>
  </si>
  <si>
    <t>Opposed-Is there a reason AZ doesn’t allow competition?</t>
  </si>
  <si>
    <t>4021850045</t>
  </si>
  <si>
    <t>Bottlinger</t>
  </si>
  <si>
    <t>Janelle</t>
  </si>
  <si>
    <t>Rates are extremely expensive</t>
  </si>
  <si>
    <t>0823076351</t>
  </si>
  <si>
    <t>Filed Multiple Complaints</t>
  </si>
  <si>
    <t>Romesburg</t>
  </si>
  <si>
    <t>Denise</t>
  </si>
  <si>
    <t>APS does not need a rate hike</t>
  </si>
  <si>
    <t>Gibson</t>
  </si>
  <si>
    <t>No one can keep up with their bills</t>
  </si>
  <si>
    <t>3159030000</t>
  </si>
  <si>
    <t>Lorig</t>
  </si>
  <si>
    <t>Apache Jct</t>
  </si>
  <si>
    <t>My mom wont be able to afford to eat</t>
  </si>
  <si>
    <t>Haggard</t>
  </si>
  <si>
    <t>Opposed- no reason for a rate hike</t>
  </si>
  <si>
    <t>1450385073</t>
  </si>
  <si>
    <t>Pickett</t>
  </si>
  <si>
    <t>Opposed- impacting working income families</t>
  </si>
  <si>
    <t>Baskovitz</t>
  </si>
  <si>
    <t>Opposed- Monopoly energy market</t>
  </si>
  <si>
    <t>Peralta</t>
  </si>
  <si>
    <t>Opposed-We need full disclosure on spending</t>
  </si>
  <si>
    <t>4978619668</t>
  </si>
  <si>
    <t>LeVangie</t>
  </si>
  <si>
    <t>Opposed-I'm moving to SRP territory</t>
  </si>
  <si>
    <t>2646435979</t>
  </si>
  <si>
    <t>Connie</t>
  </si>
  <si>
    <t>Owsley</t>
  </si>
  <si>
    <t>Dawn</t>
  </si>
  <si>
    <t>Unacceptable- will leave many unable to pay their bills</t>
  </si>
  <si>
    <t>3566321000</t>
  </si>
  <si>
    <t>Castano</t>
  </si>
  <si>
    <t>Opposed-already struggling with cost of living</t>
  </si>
  <si>
    <t>6222147125</t>
  </si>
  <si>
    <t>Madilyn</t>
  </si>
  <si>
    <t>Opposed-prioritizes share holders over customers</t>
  </si>
  <si>
    <t>https://docket.images.azcc.gov/E000046578.pdf</t>
  </si>
  <si>
    <t>No MEP R-BASIC ($254.29)</t>
  </si>
  <si>
    <t>Will cb at a later time - Final Bill Sent 10/27</t>
  </si>
  <si>
    <t>Mulugen</t>
  </si>
  <si>
    <t>Strongly Oppose formula rates, unaffordable</t>
  </si>
  <si>
    <t>Addair</t>
  </si>
  <si>
    <t>SRP is cheaper</t>
  </si>
  <si>
    <t>McCloskey</t>
  </si>
  <si>
    <t>7210380000</t>
  </si>
  <si>
    <t>Barley</t>
  </si>
  <si>
    <t>Kaitlynne</t>
  </si>
  <si>
    <t>Strongly Opposed</t>
  </si>
  <si>
    <t>0627214453</t>
  </si>
  <si>
    <t>APS needs to be kept inn check and ave rates controlled</t>
  </si>
  <si>
    <t>6338318391</t>
  </si>
  <si>
    <t>No MEP R3-47 ($65.89)</t>
  </si>
  <si>
    <t>Hoffner</t>
  </si>
  <si>
    <t>6407918651</t>
  </si>
  <si>
    <t>No MEP R3-47 ($91.07)</t>
  </si>
  <si>
    <t>Pablo</t>
  </si>
  <si>
    <t>Power is already expensive</t>
  </si>
  <si>
    <t>9340701000</t>
  </si>
  <si>
    <t>No MEP R3-47 ($310.77)</t>
  </si>
  <si>
    <t>Barbarite</t>
  </si>
  <si>
    <t>Absolutely Unjust</t>
  </si>
  <si>
    <t>6736335990</t>
  </si>
  <si>
    <t>McElroy</t>
  </si>
  <si>
    <t>Opposed-Money grab</t>
  </si>
  <si>
    <t>Rooen</t>
  </si>
  <si>
    <t>Cheyenne</t>
  </si>
  <si>
    <t>I cannot afford this</t>
  </si>
  <si>
    <t>Opposed-Unacceptable</t>
  </si>
  <si>
    <t>Valdivia</t>
  </si>
  <si>
    <t>Why put everyone in a worse situation</t>
  </si>
  <si>
    <t>Opposed-High cost of living- living paycheck to paycheck</t>
  </si>
  <si>
    <t>Barone</t>
  </si>
  <si>
    <t>Opposed-Prices too high</t>
  </si>
  <si>
    <t>Mccann</t>
  </si>
  <si>
    <t>Haley</t>
  </si>
  <si>
    <t xml:space="preserve">People can barely afford electricity as is now </t>
  </si>
  <si>
    <t>Warneke</t>
  </si>
  <si>
    <t>I do not wish any further increases in APS rates</t>
  </si>
  <si>
    <t>https://docket.images.azcc.gov/E000046586.pdf</t>
  </si>
  <si>
    <t>Ross</t>
  </si>
  <si>
    <t>Shelreece</t>
  </si>
  <si>
    <t>Dueringer</t>
  </si>
  <si>
    <t>Helen</t>
  </si>
  <si>
    <t>Rates should only be risen for Commercial properties</t>
  </si>
  <si>
    <t>https://docket.images.azcc.gov/E000046579.pdf</t>
  </si>
  <si>
    <t>De Santiago</t>
  </si>
  <si>
    <t>Marisol</t>
  </si>
  <si>
    <t>I object</t>
  </si>
  <si>
    <t>No MEP R3-47(104.05)</t>
  </si>
  <si>
    <t>Cor will remain on current plan</t>
  </si>
  <si>
    <t>Mckinney</t>
  </si>
  <si>
    <t>Strongly disagree</t>
  </si>
  <si>
    <t>Cisneros</t>
  </si>
  <si>
    <t>Completely against any increase in prices</t>
  </si>
  <si>
    <t>Perkins</t>
  </si>
  <si>
    <t>Rayney</t>
  </si>
  <si>
    <t>Opposed- Single income family of 8</t>
  </si>
  <si>
    <t>Skaric</t>
  </si>
  <si>
    <t>Miroslav</t>
  </si>
  <si>
    <t>APS fees are outrageous</t>
  </si>
  <si>
    <t>https://docket.images.azcc.gov/E000046826.pdf</t>
  </si>
  <si>
    <t>Opposed-already struggling with the last increase</t>
  </si>
  <si>
    <t>I am against the rate increase</t>
  </si>
  <si>
    <t>https://docket.images.azcc.gov/E000046638.pdf</t>
  </si>
  <si>
    <t>Hakes</t>
  </si>
  <si>
    <t>Linnea</t>
  </si>
  <si>
    <t>Camp Verde</t>
  </si>
  <si>
    <t>It’s a shame for APS to think of raising rates</t>
  </si>
  <si>
    <t>No MEP RTOUE ($149.70)</t>
  </si>
  <si>
    <t xml:space="preserve">Nelson </t>
  </si>
  <si>
    <t>Opposed-Bills are unaffordable</t>
  </si>
  <si>
    <t>Fenton</t>
  </si>
  <si>
    <t>Fixed Income, cannot afford an increase</t>
  </si>
  <si>
    <t>Apostolides</t>
  </si>
  <si>
    <t>Opposed and upset over fuel pricing</t>
  </si>
  <si>
    <t>First SA is on MEP, Second SA could save $41.57 on Tier 2 (should be reassigned next month)</t>
  </si>
  <si>
    <t>Lynne</t>
  </si>
  <si>
    <t>Opposed-Outrageous</t>
  </si>
  <si>
    <t>Wheeler</t>
  </si>
  <si>
    <t>Opposed-CEO needs a pay cut</t>
  </si>
  <si>
    <t>https://docket.images.azcc.gov/E000046665.pdf</t>
  </si>
  <si>
    <t>Huina</t>
  </si>
  <si>
    <t>My husband and I are really upset about it</t>
  </si>
  <si>
    <t>https://docket.images.azcc.gov/E000046645.pdf</t>
  </si>
  <si>
    <t>Gonzales</t>
  </si>
  <si>
    <t>Opposed-I don’t want to use aps but have no choice</t>
  </si>
  <si>
    <t>Please consider delaying rate increase</t>
  </si>
  <si>
    <t>https://docket.images.azcc.gov/E000046726.pdf</t>
  </si>
  <si>
    <t>Hage</t>
  </si>
  <si>
    <t>What cost cutting measures has aps taken internally?</t>
  </si>
  <si>
    <t>Gerblick</t>
  </si>
  <si>
    <t>Alison</t>
  </si>
  <si>
    <t>Opposed-AC is a necessity not a luxury for survival</t>
  </si>
  <si>
    <t>Elliot</t>
  </si>
  <si>
    <t>Opposed-Stop wasting our hard earned money</t>
  </si>
  <si>
    <t>Gillespie</t>
  </si>
  <si>
    <t>Elissa</t>
  </si>
  <si>
    <t>Opposed-request something more inline with inflation</t>
  </si>
  <si>
    <t>Mankiewicz</t>
  </si>
  <si>
    <t>Leo</t>
  </si>
  <si>
    <t>Unacceptable</t>
  </si>
  <si>
    <t>https://docket.images.azcc.gov/E000046710.pdf</t>
  </si>
  <si>
    <t>Trethewey</t>
  </si>
  <si>
    <t>Rate increase outpasses the rate of inflation</t>
  </si>
  <si>
    <t>Opposed-highway robbery</t>
  </si>
  <si>
    <t>Filed complaint with AG and ACC</t>
  </si>
  <si>
    <t>Dietrich</t>
  </si>
  <si>
    <t>Enough is enough with increases</t>
  </si>
  <si>
    <t>Not eligible</t>
  </si>
  <si>
    <t>Non-AMI customer</t>
  </si>
  <si>
    <t>Morales</t>
  </si>
  <si>
    <t>Linnette</t>
  </si>
  <si>
    <t>No MEP R-XS(143.13)</t>
  </si>
  <si>
    <t xml:space="preserve">Cor is satisfied with her current service plan </t>
  </si>
  <si>
    <t>Kapolas</t>
  </si>
  <si>
    <t>From letter</t>
  </si>
  <si>
    <t>No MEP R3-47(7.05)</t>
  </si>
  <si>
    <t>Eskew</t>
  </si>
  <si>
    <t>Kendall</t>
  </si>
  <si>
    <t>Opposed- Solar customers are to shoulder the financial burden</t>
  </si>
  <si>
    <t>https://docket.images.azcc.gov/E000046709.pdf</t>
  </si>
  <si>
    <t>No MEP R3-47(23.91)</t>
  </si>
  <si>
    <t>Hughes</t>
  </si>
  <si>
    <t>Joy</t>
  </si>
  <si>
    <t>Simply too high</t>
  </si>
  <si>
    <t>https://docket.images.azcc.gov/E000046762.pdf</t>
  </si>
  <si>
    <t>Lynch</t>
  </si>
  <si>
    <t>Blake</t>
  </si>
  <si>
    <t xml:space="preserve">Opposed-Why are you letting aps increase their rates </t>
  </si>
  <si>
    <t>https://docket.images.azcc.gov/E000046791.pdf</t>
  </si>
  <si>
    <t>Kozerski</t>
  </si>
  <si>
    <t>Alaxandra</t>
  </si>
  <si>
    <t>https://edocket.azcc.gov/search/document-search/item-detail/448293</t>
  </si>
  <si>
    <t>Respectfully Opposed-already financially strained</t>
  </si>
  <si>
    <t>Recently changed from Basic to R-EV</t>
  </si>
  <si>
    <t>Opposed-Phoenix families are struggling</t>
  </si>
  <si>
    <t>https://docket.images.azcc.gov/E000046833.pdf</t>
  </si>
  <si>
    <t>Hellring</t>
  </si>
  <si>
    <t>Opposed-no salary has seen an equivalent increase</t>
  </si>
  <si>
    <t>https://docket.images.azcc.gov/E000046843.pdf</t>
  </si>
  <si>
    <t>Elofson</t>
  </si>
  <si>
    <t>Opposed-limited income</t>
  </si>
  <si>
    <t>https://docket.images.azcc.gov/E000046876.pdf</t>
  </si>
  <si>
    <t>R-XS//R-2</t>
  </si>
  <si>
    <t>Yes/Frozen</t>
  </si>
  <si>
    <t>Moffat</t>
  </si>
  <si>
    <t xml:space="preserve">Opposed-I find it appalling </t>
  </si>
  <si>
    <t>Retiree, increase will cause hardship</t>
  </si>
  <si>
    <t>No MEP R-BASIC(90.00)</t>
  </si>
  <si>
    <t>Stephen</t>
  </si>
  <si>
    <t>Totally inappropriate</t>
  </si>
  <si>
    <t>Colan</t>
  </si>
  <si>
    <t>Whitmore</t>
  </si>
  <si>
    <t>Clarkdale</t>
  </si>
  <si>
    <t>Konves</t>
  </si>
  <si>
    <t>Courtney</t>
  </si>
  <si>
    <t>Opposed, struggling to make ends meet</t>
  </si>
  <si>
    <t>Colbett</t>
  </si>
  <si>
    <t>Opposed-Senior Citizen limited/fixed income</t>
  </si>
  <si>
    <t>Pavlov</t>
  </si>
  <si>
    <t>David&amp;Tiffany</t>
  </si>
  <si>
    <t>Opposed- unaffordable</t>
  </si>
  <si>
    <t>Bois</t>
  </si>
  <si>
    <t>Garret</t>
  </si>
  <si>
    <t>Yoon</t>
  </si>
  <si>
    <t>Eunice</t>
  </si>
  <si>
    <t>Opposed-Prioritize cost control</t>
  </si>
  <si>
    <t>Tornetta</t>
  </si>
  <si>
    <t>Opposed-please consider seniors,families,fixed income</t>
  </si>
  <si>
    <t>No MEP R3-47(68.47)</t>
  </si>
  <si>
    <t>Vallabhaneni</t>
  </si>
  <si>
    <t>Kamala</t>
  </si>
  <si>
    <t>Opposed-Simply too much</t>
  </si>
  <si>
    <t>https://docket.images.azcc.gov/E000046911.pdf</t>
  </si>
  <si>
    <t>0857783306</t>
  </si>
  <si>
    <t>Petition-21</t>
  </si>
  <si>
    <t>Petition</t>
  </si>
  <si>
    <t>Multiple</t>
  </si>
  <si>
    <t xml:space="preserve">This opposition has multiple customer signatures </t>
  </si>
  <si>
    <t>Petition-200</t>
  </si>
  <si>
    <t>Star Valley</t>
  </si>
  <si>
    <t>Opposed-APS is attempting to influence legislature</t>
  </si>
  <si>
    <t>Petition-131</t>
  </si>
  <si>
    <t>Rademacher</t>
  </si>
  <si>
    <t>Judy</t>
  </si>
  <si>
    <t>Opposed-Fixed Income</t>
  </si>
  <si>
    <t>Curtis</t>
  </si>
  <si>
    <t>Opposed-I will discontinue my solar service</t>
  </si>
  <si>
    <t>Behike</t>
  </si>
  <si>
    <t>https://docket.images.azcc.gov/E000046970.pdf</t>
  </si>
  <si>
    <t>Mary Lynee</t>
  </si>
  <si>
    <t>Urging you all to vote no on the APS request</t>
  </si>
  <si>
    <t>1163301000</t>
  </si>
  <si>
    <t xml:space="preserve">2 SAs </t>
  </si>
  <si>
    <t>Spencer</t>
  </si>
  <si>
    <t>Unreasonable ever-increasing rates</t>
  </si>
  <si>
    <t>1790274066</t>
  </si>
  <si>
    <t>Eason</t>
  </si>
  <si>
    <t>This rate hike would be deeply burdensome to families, seniors and working individuals</t>
  </si>
  <si>
    <t>3317467505</t>
  </si>
  <si>
    <t>Solar Communities</t>
  </si>
  <si>
    <t>unreasonable, unjustified, and harmful to Arizona families, schools, and small businesses.</t>
  </si>
  <si>
    <t>Express concerns with proposal to increase rates without appropriately considering the contribution of residential solar users</t>
  </si>
  <si>
    <t>Hall</t>
  </si>
  <si>
    <t>Rate hike would place an even heavier financial burden on families, seniors, and small businesses across our state.</t>
  </si>
  <si>
    <t>9713723488</t>
  </si>
  <si>
    <t>Quinte</t>
  </si>
  <si>
    <t>Roger</t>
  </si>
  <si>
    <t>Form Letter: Enough is enough! You must reject the latest 14% rate hikes by APS and TEP</t>
  </si>
  <si>
    <t>2707161000</t>
  </si>
  <si>
    <t>EPR-6w/ECT-2</t>
  </si>
  <si>
    <t>Ratner</t>
  </si>
  <si>
    <t>Low fixed income cannot afford such huge rate increases</t>
  </si>
  <si>
    <t>4322390000</t>
  </si>
  <si>
    <t>Non-AMI customer, has filed multiple ACC complaints and rate case comments over the years</t>
  </si>
  <si>
    <t>Tucson</t>
  </si>
  <si>
    <t>Ufnal</t>
  </si>
  <si>
    <t>Jerry</t>
  </si>
  <si>
    <t>Arbizu</t>
  </si>
  <si>
    <t>Angelina</t>
  </si>
  <si>
    <t>9543902054</t>
  </si>
  <si>
    <t>Myers</t>
  </si>
  <si>
    <t>4057076823</t>
  </si>
  <si>
    <t xml:space="preserve">No MEP R3-47 ($272.50) </t>
  </si>
  <si>
    <t>Holcombe</t>
  </si>
  <si>
    <t>Gene</t>
  </si>
  <si>
    <t>2725650087</t>
  </si>
  <si>
    <t>Only 3  months in new location and 2 months since solar was installed. Requested rate online 10/8 - moving to R3-47</t>
  </si>
  <si>
    <t>Ogledzinski</t>
  </si>
  <si>
    <t>9804331000</t>
  </si>
  <si>
    <t>Youngker</t>
  </si>
  <si>
    <t>Virginia</t>
  </si>
  <si>
    <t>5596059869</t>
  </si>
  <si>
    <t>No MEP R3-47 ($991.58)</t>
  </si>
  <si>
    <t>10/15 Left VM, payment history shows several missed payments and broken PAs</t>
  </si>
  <si>
    <t>Mahr</t>
  </si>
  <si>
    <t>RM</t>
  </si>
  <si>
    <t>Homeowners are being asked to pay for the new infrastructure required for the new data centers</t>
  </si>
  <si>
    <t>Jones</t>
  </si>
  <si>
    <t>Opposed - unfair and biased commission</t>
  </si>
  <si>
    <t>https://docket.images.azcc.gov/E000046988.pdf</t>
  </si>
  <si>
    <t>Hartley</t>
  </si>
  <si>
    <t>Collene</t>
  </si>
  <si>
    <t>5687941000</t>
  </si>
  <si>
    <t>Warnecke</t>
  </si>
  <si>
    <t>Kristi</t>
  </si>
  <si>
    <t>Senior on fixed income, could be choosing between air conditioning and medicine</t>
  </si>
  <si>
    <t>4095570000</t>
  </si>
  <si>
    <t>Noffsinger</t>
  </si>
  <si>
    <t>Exempt 25% energy discount program customers from proposed rate increase</t>
  </si>
  <si>
    <t>Foti</t>
  </si>
  <si>
    <t>Opposed - Arizonans are already struggling with inflation</t>
  </si>
  <si>
    <t>https://docket.images.azcc.gov/E000047024.pdf</t>
  </si>
  <si>
    <t>5427869471</t>
  </si>
  <si>
    <t>No MEP R-XS ($108.43)</t>
  </si>
  <si>
    <t>10/17 Left VM</t>
  </si>
  <si>
    <t>Haden</t>
  </si>
  <si>
    <t>https://docket.images.azcc.gov/E000046996.pdf</t>
  </si>
  <si>
    <t>6013821000</t>
  </si>
  <si>
    <t>No MEP R3-47 ($43.09)</t>
  </si>
  <si>
    <t>Signed petition 8</t>
  </si>
  <si>
    <t>Grimwood</t>
  </si>
  <si>
    <t>4855301000</t>
  </si>
  <si>
    <t>No MEP R3-47 ($437.04)</t>
  </si>
  <si>
    <t>Signed petition 8 - 10/17 Left VM</t>
  </si>
  <si>
    <t>Linzey</t>
  </si>
  <si>
    <t>Benson</t>
  </si>
  <si>
    <t>Gibbons</t>
  </si>
  <si>
    <t>TJ</t>
  </si>
  <si>
    <t>Guertin</t>
  </si>
  <si>
    <t>Pollock</t>
  </si>
  <si>
    <t>6922736019</t>
  </si>
  <si>
    <t>Signed petition 8 - Filed same letter again on 10/27</t>
  </si>
  <si>
    <t>Shem</t>
  </si>
  <si>
    <t>0370184572</t>
  </si>
  <si>
    <t>https://docket.images.azcc.gov/E000047057.pdf</t>
  </si>
  <si>
    <t>Ufinal</t>
  </si>
  <si>
    <t>Roxanne</t>
  </si>
  <si>
    <t>Yarber</t>
  </si>
  <si>
    <t>Seligman</t>
  </si>
  <si>
    <t>Do not allow APS to constantly raise their rates</t>
  </si>
  <si>
    <t>https://docket.images.azcc.gov/E000047007.pdf</t>
  </si>
  <si>
    <t>9297010000</t>
  </si>
  <si>
    <t>Robnett</t>
  </si>
  <si>
    <t>Sierra Vista</t>
  </si>
  <si>
    <t>What are you doing to stop this from happening?</t>
  </si>
  <si>
    <t>7395790000</t>
  </si>
  <si>
    <t>APS  needs to work with the ACC for these increases</t>
  </si>
  <si>
    <t>https://docket.images.azcc.gov/E000047028.pdf</t>
  </si>
  <si>
    <t>Settje</t>
  </si>
  <si>
    <t>Tonto Basin</t>
  </si>
  <si>
    <t>Off-peak/demand income and demand charges after outages</t>
  </si>
  <si>
    <t>https://docket.images.azcc.gov/E000047034.pdf</t>
  </si>
  <si>
    <t>9988610610</t>
  </si>
  <si>
    <t>Terrie</t>
  </si>
  <si>
    <t>Opposed, significant burden, especially when cost of living continued to rise</t>
  </si>
  <si>
    <t>https://docket.images.azcc.gov/E000047053.pdf</t>
  </si>
  <si>
    <t>7948393933</t>
  </si>
  <si>
    <t>Brent</t>
  </si>
  <si>
    <t>Opposed, vote for something more reasonable</t>
  </si>
  <si>
    <t>https://docket.images.azcc.gov/E000047091.pdf</t>
  </si>
  <si>
    <t>8909137526</t>
  </si>
  <si>
    <t>Terranova</t>
  </si>
  <si>
    <t>belt-tightening needed here</t>
  </si>
  <si>
    <t>4797590000</t>
  </si>
  <si>
    <t>No MEP R3-47 ($42.77)</t>
  </si>
  <si>
    <t>Mr. Terranova filed a separate ACC complaint on 9/30 regarding the price he sells back his solar. Beth spoke with him.</t>
  </si>
  <si>
    <t>Hecht</t>
  </si>
  <si>
    <t>Justine</t>
  </si>
  <si>
    <t xml:space="preserve">Form letter </t>
  </si>
  <si>
    <t>6641580000</t>
  </si>
  <si>
    <t>VanCleave</t>
  </si>
  <si>
    <t>Magi</t>
  </si>
  <si>
    <t>Pad corporate profits at the expense of AZ consumers</t>
  </si>
  <si>
    <t>8253620000</t>
  </si>
  <si>
    <t>No MEP TOUE ($29.42)</t>
  </si>
  <si>
    <t>Ariana</t>
  </si>
  <si>
    <t>Against the proposed rate increase</t>
  </si>
  <si>
    <t>1460051272</t>
  </si>
  <si>
    <t>Punishing for having solar</t>
  </si>
  <si>
    <t>https://docket.images.azcc.gov/E000047066.pdf</t>
  </si>
  <si>
    <t>Vermillion</t>
  </si>
  <si>
    <t>The increase is absolutely absurd</t>
  </si>
  <si>
    <t>Wittie</t>
  </si>
  <si>
    <t>Please do not vote for the APS rate increase</t>
  </si>
  <si>
    <t>0474852117</t>
  </si>
  <si>
    <t>Meixler</t>
  </si>
  <si>
    <t>Lakeside</t>
  </si>
  <si>
    <t>Revoke net zero plans for 2050</t>
  </si>
  <si>
    <t>https://docket.images.azcc.gov/E000047064.pdf</t>
  </si>
  <si>
    <t>Coking</t>
  </si>
  <si>
    <t>Margolis</t>
  </si>
  <si>
    <t>Express my frustration and disappointment regarding the recent rate increases</t>
  </si>
  <si>
    <t>https://docket.images.azcc.gov/E000047089.pdf</t>
  </si>
  <si>
    <t>0352210000</t>
  </si>
  <si>
    <t>Moving to R-XS</t>
  </si>
  <si>
    <t>Lagerquist</t>
  </si>
  <si>
    <t>That's not a reasonable increase!</t>
  </si>
  <si>
    <t>https://docket.images.azcc.gov/E000047105.pdf</t>
  </si>
  <si>
    <t>6253965494</t>
  </si>
  <si>
    <t>Rudy</t>
  </si>
  <si>
    <t>Major hardship for my family. My solar benefits APS</t>
  </si>
  <si>
    <t>5084150000</t>
  </si>
  <si>
    <t>Raymer</t>
  </si>
  <si>
    <t>Charge high users such as data centers an excessive use fee</t>
  </si>
  <si>
    <t>https://docket.images.azcc.gov/E000047136.pdf</t>
  </si>
  <si>
    <t xml:space="preserve">Object to any rate increases </t>
  </si>
  <si>
    <t>Davenport</t>
  </si>
  <si>
    <t>Preston</t>
  </si>
  <si>
    <t>Rate hike would make it harder for working residents - concerned that this appears to subsidize data centers</t>
  </si>
  <si>
    <t>1507948531</t>
  </si>
  <si>
    <t>No MEP R3-47 ($84.40)</t>
  </si>
  <si>
    <t>White</t>
  </si>
  <si>
    <t>Decline their request for a rate increase</t>
  </si>
  <si>
    <t>https://docket.images.azcc.gov/E000047160.pdf</t>
  </si>
  <si>
    <t>Koval</t>
  </si>
  <si>
    <t>Jane</t>
  </si>
  <si>
    <t>Supports the expansion and updates for energy infrastructure</t>
  </si>
  <si>
    <t>https://docket.images.azcc.gov/E000047140.pdf</t>
  </si>
  <si>
    <t>1189841000</t>
  </si>
  <si>
    <t>Bennett</t>
  </si>
  <si>
    <t>Too many rate increases</t>
  </si>
  <si>
    <t>https://docket.images.azcc.gov/E000047139.pdf</t>
  </si>
  <si>
    <t>Vanessa</t>
  </si>
  <si>
    <t>Outrageous, on-peak plan is horrible, charging more when consumers are home</t>
  </si>
  <si>
    <t>Graig</t>
  </si>
  <si>
    <t>14% increase will hurt people on a fixed income</t>
  </si>
  <si>
    <t>Greig</t>
  </si>
  <si>
    <t>Can't afford increase, especially after being deceived by Odin Energy with our solar panels</t>
  </si>
  <si>
    <t>https://docket.images.azcc.gov/E000047166.pdf</t>
  </si>
  <si>
    <t>Toro</t>
  </si>
  <si>
    <t>Petty</t>
  </si>
  <si>
    <t>I object to this rate increase due to the excessive executive pay</t>
  </si>
  <si>
    <t>https://docket.images.azcc.gov/E000047175.pdf</t>
  </si>
  <si>
    <t>8709456718</t>
  </si>
  <si>
    <t>Hagen</t>
  </si>
  <si>
    <t>Rates are already too high and lack of competition</t>
  </si>
  <si>
    <t>4263668163</t>
  </si>
  <si>
    <t>Dayton</t>
  </si>
  <si>
    <t>For families like mine, the continued rise in utility costs presents a significant burden.</t>
  </si>
  <si>
    <t>6573080097</t>
  </si>
  <si>
    <t>Summons</t>
  </si>
  <si>
    <t>https://docket.images.azcc.gov/E000047191.pdf</t>
  </si>
  <si>
    <t>1205900735</t>
  </si>
  <si>
    <t>No MEP R3-47 ($3.61)</t>
  </si>
  <si>
    <t>Larsen</t>
  </si>
  <si>
    <t xml:space="preserve">Strongly against and simply repulsed </t>
  </si>
  <si>
    <t>Byman</t>
  </si>
  <si>
    <t>https://docket.images.azcc.gov/E000047270.pdf</t>
  </si>
  <si>
    <t>1039090000</t>
  </si>
  <si>
    <t>No MEP RTOUE ($1.30)</t>
  </si>
  <si>
    <t>Kourtney</t>
  </si>
  <si>
    <t>1754570000</t>
  </si>
  <si>
    <t>Skoog</t>
  </si>
  <si>
    <t>Bridget</t>
  </si>
  <si>
    <t>Castellanos</t>
  </si>
  <si>
    <t>Gaietto</t>
  </si>
  <si>
    <t>Vince</t>
  </si>
  <si>
    <t>1383444423</t>
  </si>
  <si>
    <t>Cantore</t>
  </si>
  <si>
    <t>Xiomara</t>
  </si>
  <si>
    <t>5816055793</t>
  </si>
  <si>
    <t>No MEP RBASIC ($65.01)</t>
  </si>
  <si>
    <t>Menjivar</t>
  </si>
  <si>
    <t>Edna</t>
  </si>
  <si>
    <t>Marino</t>
  </si>
  <si>
    <t>Susie</t>
  </si>
  <si>
    <t>8510901315</t>
  </si>
  <si>
    <t>Lyda</t>
  </si>
  <si>
    <t>Marissa</t>
  </si>
  <si>
    <t>https://docket.images.azcc.gov/E000047255.pdf</t>
  </si>
  <si>
    <t>4077484827</t>
  </si>
  <si>
    <t>Jaffe</t>
  </si>
  <si>
    <t>Russell</t>
  </si>
  <si>
    <t>This is an insane request in these challenging times</t>
  </si>
  <si>
    <t>https://docket.images.azcc.gov/E000047250.pdf</t>
  </si>
  <si>
    <t>1946751000</t>
  </si>
  <si>
    <t>Cota</t>
  </si>
  <si>
    <t>https://docket.images.azcc.gov/E000047297.pdf</t>
  </si>
  <si>
    <t>Soqui</t>
  </si>
  <si>
    <t>Jubal</t>
  </si>
  <si>
    <t>7591331000</t>
  </si>
  <si>
    <t>Felicia</t>
  </si>
  <si>
    <t>6818845467</t>
  </si>
  <si>
    <t>3806613194</t>
  </si>
  <si>
    <t>Evans</t>
  </si>
  <si>
    <t>Medina</t>
  </si>
  <si>
    <t>Alexandria</t>
  </si>
  <si>
    <t>3297731000</t>
  </si>
  <si>
    <t>ER-6w/ET-2</t>
  </si>
  <si>
    <t>Ponce</t>
  </si>
  <si>
    <t>Joi</t>
  </si>
  <si>
    <t>Form Letter: For families like mine this is simply too much</t>
  </si>
  <si>
    <t>https://docket.images.azcc.gov/E000047324.pdf</t>
  </si>
  <si>
    <t>2271888532</t>
  </si>
  <si>
    <t>Ortiz</t>
  </si>
  <si>
    <t>6473321000</t>
  </si>
  <si>
    <t>Willeford</t>
  </si>
  <si>
    <t>Nolan</t>
  </si>
  <si>
    <t>Koren</t>
  </si>
  <si>
    <t>That is an unacceptable increase</t>
  </si>
  <si>
    <t>Fisher</t>
  </si>
  <si>
    <t>Nathan</t>
  </si>
  <si>
    <t>16% increase is egregious</t>
  </si>
  <si>
    <t>3214901000</t>
  </si>
  <si>
    <t>Prichard</t>
  </si>
  <si>
    <t>Barth</t>
  </si>
  <si>
    <t>Pat</t>
  </si>
  <si>
    <t>Protect Arizonans - Reject APS's 14% rate hike</t>
  </si>
  <si>
    <t>I oppose the rate hike</t>
  </si>
  <si>
    <t>Cavanaugh</t>
  </si>
  <si>
    <t>Sundell</t>
  </si>
  <si>
    <t>As a senior citizen, this rate increase request will directly affect my financial situation.</t>
  </si>
  <si>
    <t>https://docket.images.azcc.gov/0000215502.pdf</t>
  </si>
  <si>
    <t>1150201000</t>
  </si>
  <si>
    <t>Previously filed two different ACC Complaints in 2021 and 2024</t>
  </si>
  <si>
    <t xml:space="preserve">Proposed rate increase will undoubtedly exacerbate the financial burden on the citizens of Glendale. </t>
  </si>
  <si>
    <t>https://docket.images.azcc.gov/0000215501.pdf</t>
  </si>
  <si>
    <t>Hayden</t>
  </si>
  <si>
    <t>Cezanne</t>
  </si>
  <si>
    <t>https://docket.images.azcc.gov/E000047338.pdf</t>
  </si>
  <si>
    <t>Opposed, Infrastructure expansion caused by large commercial loads should be paid for by those same corporation</t>
  </si>
  <si>
    <t>Stines</t>
  </si>
  <si>
    <t>Stop net zero plans</t>
  </si>
  <si>
    <t>9452141000</t>
  </si>
  <si>
    <t>Barry</t>
  </si>
  <si>
    <t>rapid datacenter growth should not shift infrastructure and generation costs onto ordinary families.</t>
  </si>
  <si>
    <t>Greg</t>
  </si>
  <si>
    <t>https://docket.images.azcc.gov/E000047365.pdf</t>
  </si>
  <si>
    <t>4309031000</t>
  </si>
  <si>
    <t xml:space="preserve">Senior citizen, Opposed to the request for a fourteen percent raise in electrical rates. </t>
  </si>
  <si>
    <t>Rojas</t>
  </si>
  <si>
    <t>Chrystin &amp; Raul</t>
  </si>
  <si>
    <t>Concerns about the proposed rate increase and formula rate mechanism.</t>
  </si>
  <si>
    <t>6003957639</t>
  </si>
  <si>
    <t>No MEP R3-47 ($62.21)</t>
  </si>
  <si>
    <t xml:space="preserve">Assistance? In collections Note: Spanish Bill </t>
  </si>
  <si>
    <t>Nacinovich</t>
  </si>
  <si>
    <t>reject this proposed rate increase and to ensure that the financial responsibility for new grid demand falls on the businesses creating i</t>
  </si>
  <si>
    <t>5470751000</t>
  </si>
  <si>
    <t>Drobnica</t>
  </si>
  <si>
    <t>Many customers are on a fixed income that isn't growing with the rates APS, Focus on providing safe, reliable and affordable energy not corporate philanthropy</t>
  </si>
  <si>
    <t>9058887734</t>
  </si>
  <si>
    <t>Susser</t>
  </si>
  <si>
    <t>Norm</t>
  </si>
  <si>
    <t>Fees, taxes, surcharges and adjustors seem excessive</t>
  </si>
  <si>
    <t>https://docket.images.azcc.gov/E000047398.pdf</t>
  </si>
  <si>
    <t>3801590000</t>
  </si>
  <si>
    <t>3505651000</t>
  </si>
  <si>
    <t>No MEP R3-47 ($176.69)</t>
  </si>
  <si>
    <t>11/10 Left VM regarding MEP at Flagstaff SA</t>
  </si>
  <si>
    <t>Dershowitz</t>
  </si>
  <si>
    <t>SS going up 2.8%, suggest rate increase be limited to the same</t>
  </si>
  <si>
    <t>https://docket.images.azcc.gov/E000047371.pdf</t>
  </si>
  <si>
    <t>2990380000</t>
  </si>
  <si>
    <t>No MEP R3-47 ($255.76)</t>
  </si>
  <si>
    <t xml:space="preserve">11/10 Spoke to customer briefly then he said "leave me alone" and hung up. </t>
  </si>
  <si>
    <t>Curds</t>
  </si>
  <si>
    <t>I oppose the rate hike. Bills are high enough. No one can survive paying $650.</t>
  </si>
  <si>
    <t>https://docket.images.azcc.gov/E000047425.pdf</t>
  </si>
  <si>
    <t>3304816868</t>
  </si>
  <si>
    <t>No MEP R3-47 ($113.52)</t>
  </si>
  <si>
    <t>Customer filed an ACC complaint 11/3</t>
  </si>
  <si>
    <t>Doe</t>
  </si>
  <si>
    <t>Opposed to advertising at sports arena. Opposed to donations made to charity.</t>
  </si>
  <si>
    <t>Thome</t>
  </si>
  <si>
    <t>Cari</t>
  </si>
  <si>
    <t>Opposed to another rate hike - they have frequently asked for rate increases</t>
  </si>
  <si>
    <t>7319203567</t>
  </si>
  <si>
    <t>Huff</t>
  </si>
  <si>
    <t>High percentage of reitrees in Arizona who are on a fixed income. Data centers should pay for themselves.</t>
  </si>
  <si>
    <t>https://docket.images.azcc.gov/E000047417.pdf</t>
  </si>
  <si>
    <t>Boyd</t>
  </si>
  <si>
    <t>Magan</t>
  </si>
  <si>
    <t>Tonopah</t>
  </si>
  <si>
    <t>It makes no sense that the rates are higher… Issues with energy water agreements (PV).</t>
  </si>
  <si>
    <t>https://docket.images.azcc.gov/E000047432.pdf</t>
  </si>
  <si>
    <t>3647741244</t>
  </si>
  <si>
    <t>Smitt</t>
  </si>
  <si>
    <t>Erik</t>
  </si>
  <si>
    <t xml:space="preserve">Do not support green new deal nor the net zero </t>
  </si>
  <si>
    <t>Arnold</t>
  </si>
  <si>
    <t>Terrence</t>
  </si>
  <si>
    <t>The recent APS request to rate increase of 16% is absurd</t>
  </si>
  <si>
    <t>9909801000</t>
  </si>
  <si>
    <t>Elder</t>
  </si>
  <si>
    <t>Scottland</t>
  </si>
  <si>
    <t>https://docket.images.azcc.gov/E000047451.pdf</t>
  </si>
  <si>
    <t>Cordova</t>
  </si>
  <si>
    <t>Form Letter: Enough is enough! You must reject the latest 14% rate hikes by APS bby TEP</t>
  </si>
  <si>
    <t>Jeronimo</t>
  </si>
  <si>
    <t>Form Letter: Enough is enough! You must reject the latest 14% rate hikes by APS lda TEP</t>
  </si>
  <si>
    <t>4506338330</t>
  </si>
  <si>
    <t>Petition - Assistance?</t>
  </si>
  <si>
    <t>Debrum</t>
  </si>
  <si>
    <t>Sophia</t>
  </si>
  <si>
    <t>Form Letter: Enough is enough! You must reject the latest 14% rate hikes by APS  TEP</t>
  </si>
  <si>
    <t>Bojado</t>
  </si>
  <si>
    <t>Form Letter: Enough is enough! You must reject the latest 14% rate hikes by APS a TEP</t>
  </si>
  <si>
    <t>Fonseca</t>
  </si>
  <si>
    <t>Jasmine</t>
  </si>
  <si>
    <t>Form Letter: Enough is enough! You must reject the latest 14% rate hikes by APS e TEP</t>
  </si>
  <si>
    <t>4885204722</t>
  </si>
  <si>
    <t>Ellison</t>
  </si>
  <si>
    <t>Sylvia</t>
  </si>
  <si>
    <t xml:space="preserve">Opposed: No options other than APS. Senior Citizens, AC is a life saving need. </t>
  </si>
  <si>
    <t>https://docket.images.azcc.gov/E000047554.pdf?i=1763105891311</t>
  </si>
  <si>
    <t>Krakora</t>
  </si>
  <si>
    <t>Opposed, As a retiree with a limited income, and do not qualify for assistance</t>
  </si>
  <si>
    <t>https://docket.images.azcc.gov/E000047658.pdf</t>
  </si>
  <si>
    <t>Anand</t>
  </si>
  <si>
    <t>Anupama</t>
  </si>
  <si>
    <t>Do not approve the proposed rate increase</t>
  </si>
  <si>
    <t>https://docket.images.azcc.gov/E000047665.pdf</t>
  </si>
  <si>
    <t>No MEP RTOU47 ($53.39)</t>
  </si>
  <si>
    <t>Oswald</t>
  </si>
  <si>
    <t>Fred</t>
  </si>
  <si>
    <t>Rate hike is grossly excessive, oppose formula rates</t>
  </si>
  <si>
    <t>https://docket.images.azcc.gov/E000047735.pdf</t>
  </si>
  <si>
    <t>Leeper</t>
  </si>
  <si>
    <t>Tom and Melissa</t>
  </si>
  <si>
    <t>Stop the proposed rate hikes</t>
  </si>
  <si>
    <t>https://docket.images.azcc.gov/E000047729.pdf</t>
  </si>
  <si>
    <t>EPR6w/ET-1</t>
  </si>
  <si>
    <t xml:space="preserve">Cheri </t>
  </si>
  <si>
    <t>Opposed: Senior on a fixed income in a mobile home</t>
  </si>
  <si>
    <t>https://docket.images.azcc.gov/E000047757.pdf</t>
  </si>
  <si>
    <t>No MEP R-XS</t>
  </si>
  <si>
    <t>Should be automatically reassigned to Tier 1 this month</t>
  </si>
  <si>
    <t>Koplan</t>
  </si>
  <si>
    <t>Katelyn</t>
  </si>
  <si>
    <t>I strongly urge you to reconsider this proposal in light of economic pressures facing Arizona families</t>
  </si>
  <si>
    <t>https://docket.images.azcc.gov/E000047784.pdf</t>
  </si>
  <si>
    <t>Buttler</t>
  </si>
  <si>
    <t>Carol and Alan</t>
  </si>
  <si>
    <t>ACC has obligation to protect APS customers from consistently high rate increases</t>
  </si>
  <si>
    <t>https://docket.images.azcc.gov/E000047808.pdf</t>
  </si>
  <si>
    <t>No MEP R-BASIC ($41.34)</t>
  </si>
  <si>
    <t>The proposed rate of increase on seniors is outrageous!</t>
  </si>
  <si>
    <t>Putnam</t>
  </si>
  <si>
    <t>Marla</t>
  </si>
  <si>
    <t>The rates have steadily increased</t>
  </si>
  <si>
    <t>RCPw/TOUE</t>
  </si>
  <si>
    <t>Anonymous</t>
  </si>
  <si>
    <t>I am against the APS rate increase</t>
  </si>
  <si>
    <t>https://docket.images.azcc.gov/E000047827.pdf</t>
  </si>
  <si>
    <t>Adeline</t>
  </si>
  <si>
    <t>APS prices are too high</t>
  </si>
  <si>
    <t>Dowling</t>
  </si>
  <si>
    <t>Means</t>
  </si>
  <si>
    <t>Vote no</t>
  </si>
  <si>
    <t>https://docket.images.azcc.gov/E000047828.pdf?i=1764228532333</t>
  </si>
  <si>
    <t>Boontjer</t>
  </si>
  <si>
    <t>Ken and JoAnn</t>
  </si>
  <si>
    <t>Research APS net zero plan, open Cholla</t>
  </si>
  <si>
    <t>EPR6w/E-12</t>
  </si>
  <si>
    <t>Kissling</t>
  </si>
  <si>
    <t xml:space="preserve">Shari </t>
  </si>
  <si>
    <t>stop approving rate increases</t>
  </si>
  <si>
    <t>https://docket.images.azcc.gov/E000047852.pdf</t>
  </si>
  <si>
    <t>Logan</t>
  </si>
  <si>
    <t>https://docket.images.azcc.gov/E000047963.pdf</t>
  </si>
  <si>
    <t>Spence</t>
  </si>
  <si>
    <t>Stop the price hike that APS is planning to impose.</t>
  </si>
  <si>
    <t>https://docket.images.azcc.gov/E000047971.pdf</t>
  </si>
  <si>
    <t>Palomera</t>
  </si>
  <si>
    <t>https://docket.images.azcc.gov/E000047935.pdf</t>
  </si>
  <si>
    <t>No MEP R-BASIC ($167.08)</t>
  </si>
  <si>
    <t>Salaiz</t>
  </si>
  <si>
    <t>Stefanie</t>
  </si>
  <si>
    <t>Walberg</t>
  </si>
  <si>
    <t xml:space="preserve">I am a middle class single mom on a teacher income. I don't qualilfy for assistance. </t>
  </si>
  <si>
    <t>EPR6-ET-1</t>
  </si>
  <si>
    <t>Charlene</t>
  </si>
  <si>
    <t>No more rate increases. We are struggling to pay already!</t>
  </si>
  <si>
    <t>No MEP R3-47 ($295.17)</t>
  </si>
  <si>
    <t>Wallach</t>
  </si>
  <si>
    <t>Kurt</t>
  </si>
  <si>
    <t xml:space="preserve">I am voicing concern over repeated rate requests from APS. </t>
  </si>
  <si>
    <t>Hayes</t>
  </si>
  <si>
    <t>There is no need to increase residential rates. we are already paying an all-time high</t>
  </si>
  <si>
    <t>Barbosa</t>
  </si>
  <si>
    <t>Beatriz</t>
  </si>
  <si>
    <t>Whittmann</t>
  </si>
  <si>
    <t>Cassandra</t>
  </si>
  <si>
    <t>Opposed rate hike, increase solar buy back.</t>
  </si>
  <si>
    <t>Rodriquez</t>
  </si>
  <si>
    <t>Jennav</t>
  </si>
  <si>
    <t>Ghiardi</t>
  </si>
  <si>
    <t>Opposed to rate hike and solar fee. Main lines going to data centers</t>
  </si>
  <si>
    <t>T</t>
  </si>
  <si>
    <t>https://docket.images.azcc.gov/E000048010.pdf</t>
  </si>
  <si>
    <t>Elleray</t>
  </si>
  <si>
    <t>Philip and Vicky</t>
  </si>
  <si>
    <t xml:space="preserve"> For a retired person and disabled veteran, that is an excessive rate increase</t>
  </si>
  <si>
    <t>https://docket.images.azcc.gov/E000047995.pdf</t>
  </si>
  <si>
    <t>3762361661</t>
  </si>
  <si>
    <t>Pedroza</t>
  </si>
  <si>
    <t>Maricela</t>
  </si>
  <si>
    <t>I do not want to turn on the air conditioning because the cost of electricity is too high.</t>
  </si>
  <si>
    <t>https://docket.images.azcc.gov/0000215712.pdf</t>
  </si>
  <si>
    <t>Spanish letter docketed</t>
  </si>
  <si>
    <t>Pichardo</t>
  </si>
  <si>
    <t xml:space="preserve">Martha C. </t>
  </si>
  <si>
    <t>It is too expensive. I can hardly decide whether to pay for electricity or buy food.</t>
  </si>
  <si>
    <t>Elizarraras</t>
  </si>
  <si>
    <t>Juana</t>
  </si>
  <si>
    <t>For equity and humanity in this state of heat, they should not be supporting so many increases.</t>
  </si>
  <si>
    <t>Isidro Chavez</t>
  </si>
  <si>
    <t>We have to buy basic things like food and other services, and adjust our base salary to cover</t>
  </si>
  <si>
    <t xml:space="preserve">Wages have been the same for years while payments keep rising, </t>
  </si>
  <si>
    <t>Eriksen</t>
  </si>
  <si>
    <t xml:space="preserve">Maria </t>
  </si>
  <si>
    <t>I would tell APS to stop increasing rates because this will affect our low-income population</t>
  </si>
  <si>
    <t>5070041000</t>
  </si>
  <si>
    <t>No MEP R-XS ($51.48)</t>
  </si>
  <si>
    <t>Spanish letter docketed, Customer should automatically be reassigned to R-XS tier 1</t>
  </si>
  <si>
    <t>For me, it wasn't too expensive because I was in a program</t>
  </si>
  <si>
    <t>Clara Alvaro</t>
  </si>
  <si>
    <t>I have to limit buying food in order to pay for electricity because it is not easy to pay for everything</t>
  </si>
  <si>
    <t>Juan</t>
  </si>
  <si>
    <t>Ambrocia Sausado</t>
  </si>
  <si>
    <t>I dont earn enough to pay all my expenses with increase in electricity</t>
  </si>
  <si>
    <t>Armando</t>
  </si>
  <si>
    <t>my finances off balance because the cost keeps increasing,</t>
  </si>
  <si>
    <t>Loaizd</t>
  </si>
  <si>
    <t>Jasmin</t>
  </si>
  <si>
    <t>Sacrafice buying food or turning on the lights</t>
  </si>
  <si>
    <t>Saurez</t>
  </si>
  <si>
    <t>Hellen</t>
  </si>
  <si>
    <t>Would have to choose between which bill to pay first</t>
  </si>
  <si>
    <t>Minnesota</t>
  </si>
  <si>
    <t>Dorothy</t>
  </si>
  <si>
    <t>Fixed income, my pay doesn't go up at this rate</t>
  </si>
  <si>
    <t>0807760000</t>
  </si>
  <si>
    <t>Energy charges are already my 2nd largest expense</t>
  </si>
  <si>
    <t>Marisela</t>
  </si>
  <si>
    <t>Make decisions between buying groceries and cooling down my house</t>
  </si>
  <si>
    <t>RTOU47</t>
  </si>
  <si>
    <t>No MEP R3-47 ($116.16)</t>
  </si>
  <si>
    <t>Please contact customer regarding plan options</t>
  </si>
  <si>
    <t>Deja</t>
  </si>
  <si>
    <t>working overtime to be able to afford to just llive, another increase is unacceptable</t>
  </si>
  <si>
    <t>Chaves</t>
  </si>
  <si>
    <t>Diana Trejo</t>
  </si>
  <si>
    <t>My dad works overtime in the heat to keep up with the bills</t>
  </si>
  <si>
    <t>Fernatt</t>
  </si>
  <si>
    <t>ACC should consider the needs of the citzens</t>
  </si>
  <si>
    <t>Behreas</t>
  </si>
  <si>
    <t>Rosario</t>
  </si>
  <si>
    <t>Energy costs already affect everyone's quality of life</t>
  </si>
  <si>
    <t>Ulin</t>
  </si>
  <si>
    <t>Unacceptable to me that the ACC would approve such an enormous rate hike</t>
  </si>
  <si>
    <t>1845644568</t>
  </si>
  <si>
    <t>No MEP R3-47 ($8.47)</t>
  </si>
  <si>
    <t>Silva</t>
  </si>
  <si>
    <t>Knor</t>
  </si>
  <si>
    <t>I have to choose between paying the electricity bill or paying for the food I put on the table for my family or their medications</t>
  </si>
  <si>
    <t>Alcazar</t>
  </si>
  <si>
    <t xml:space="preserve">Jose P. </t>
  </si>
  <si>
    <t>To be able to pay for energy, I have to limit my spending on basic needs such as food, clothing, and health</t>
  </si>
  <si>
    <t>Habern</t>
  </si>
  <si>
    <t>Marianna</t>
  </si>
  <si>
    <t>My wages have not increased at all while APS makes record profits</t>
  </si>
  <si>
    <t>Curiel</t>
  </si>
  <si>
    <t>Lahayla</t>
  </si>
  <si>
    <t>A higher utility bill will compete with my grocery bills</t>
  </si>
  <si>
    <t>Jorge</t>
  </si>
  <si>
    <t>ACC needs to represent the people not the corporations</t>
  </si>
  <si>
    <t>Ballmann</t>
  </si>
  <si>
    <t>Beth</t>
  </si>
  <si>
    <t>Seek solutions that will lower rates for all of Arizona</t>
  </si>
  <si>
    <t>8351131000</t>
  </si>
  <si>
    <t>Avila</t>
  </si>
  <si>
    <t>Lidia</t>
  </si>
  <si>
    <t>lt affects my health a lot with the stress. If I cannot afford the bills</t>
  </si>
  <si>
    <t>Leticia</t>
  </si>
  <si>
    <t>These increases affect poor families the most</t>
  </si>
  <si>
    <t>Aricelia</t>
  </si>
  <si>
    <t>The ACC should vote against an increase because of corporate profits and econimic situation</t>
  </si>
  <si>
    <t>Ruelas</t>
  </si>
  <si>
    <t>Thais Beltran</t>
  </si>
  <si>
    <t>Vote against it becuase it's just unreasonable</t>
  </si>
  <si>
    <t>Cuevas</t>
  </si>
  <si>
    <t xml:space="preserve">Italia M. </t>
  </si>
  <si>
    <t>Pheonix</t>
  </si>
  <si>
    <t xml:space="preserve">In addition to paying for the solar panels, I continue to receive a high bill from SRP. </t>
  </si>
  <si>
    <t>Elva</t>
  </si>
  <si>
    <t>Twitchell</t>
  </si>
  <si>
    <t xml:space="preserve">Melissa </t>
  </si>
  <si>
    <t>Seems like it would be absolutely crippling if it goes any higher.</t>
  </si>
  <si>
    <t>https://docket.images.azcc.gov/E000048049.pdf</t>
  </si>
  <si>
    <t>Multiple Accts</t>
  </si>
  <si>
    <t>R-XS and EPR6w/ET-2</t>
  </si>
  <si>
    <t>Marrapodi</t>
  </si>
  <si>
    <t>I believe this request is unjustified and harmful to ordinary ratepayers</t>
  </si>
  <si>
    <t>https://docket.images.azcc.gov/E000048069.pdf</t>
  </si>
  <si>
    <t>0895261000</t>
  </si>
  <si>
    <t>No MEP R3-47 ($139.25)</t>
  </si>
  <si>
    <t>Greene</t>
  </si>
  <si>
    <t>Small business owner against proposed rate increase</t>
  </si>
  <si>
    <t>https://docket.images.azcc.gov/E000048180.pdf</t>
  </si>
  <si>
    <t>Ranchhod</t>
  </si>
  <si>
    <t>Kamal</t>
  </si>
  <si>
    <t>Opposed: Retired on fixed income</t>
  </si>
  <si>
    <t>7571491082</t>
  </si>
  <si>
    <t>Saez</t>
  </si>
  <si>
    <t>Elia</t>
  </si>
  <si>
    <t>We need the ACC to stand up for Arizona households</t>
  </si>
  <si>
    <t>4776840675</t>
  </si>
  <si>
    <t>RCPw/TOUE-47</t>
  </si>
  <si>
    <t>Barrett</t>
  </si>
  <si>
    <t>On a fixed income- this rate increase is unjustified</t>
  </si>
  <si>
    <t>6559521559</t>
  </si>
  <si>
    <t>RCPw/R2</t>
  </si>
  <si>
    <t>Frozen Plan</t>
  </si>
  <si>
    <t>https://docket.images.azcc.gov/E000048199.pdf</t>
  </si>
  <si>
    <t>Opposed - against solar and wind, only reliable sources are nuclear, hydro-electric, natural gas and coal.</t>
  </si>
  <si>
    <t>https://docket.images.azcc.gov/E000048206.pdf</t>
  </si>
  <si>
    <t>7171143951</t>
  </si>
  <si>
    <t>Diaz</t>
  </si>
  <si>
    <t>Valandra</t>
  </si>
  <si>
    <t>Opposed to water rate increases from Global Water Resources</t>
  </si>
  <si>
    <t>https://docket.images.azcc.gov/E000048235.pdf</t>
  </si>
  <si>
    <t>Espinoza</t>
  </si>
  <si>
    <t>Las Vegas</t>
  </si>
  <si>
    <t>Against the recent decision to approve the Bring Your Own Device battery program</t>
  </si>
  <si>
    <t>https://docket.images.azcc.gov/E000048229.pdf</t>
  </si>
  <si>
    <t>This is getting out of hand! It's time for a change at ACC</t>
  </si>
  <si>
    <t>https://docket.images.azcc.gov/E000048266.pdf</t>
  </si>
  <si>
    <t>Hotham</t>
  </si>
  <si>
    <t xml:space="preserve">Sharon </t>
  </si>
  <si>
    <t>https://docket.images.azcc.gov/E000048302.pdf</t>
  </si>
  <si>
    <t>6181201000</t>
  </si>
  <si>
    <t>No MEP R3-47 ($232.55)</t>
  </si>
  <si>
    <t>Anissa</t>
  </si>
  <si>
    <t>Kaeleigh</t>
  </si>
  <si>
    <t>Daza-Smith</t>
  </si>
  <si>
    <t>https://docket.images.azcc.gov/E000048311.pdf</t>
  </si>
  <si>
    <t>Kaitlyn Q</t>
  </si>
  <si>
    <t>Posey</t>
  </si>
  <si>
    <t>No MEP R3-47 ($326.27)</t>
  </si>
  <si>
    <t>Please contact customer regarding plan options and assistance programs</t>
  </si>
  <si>
    <t>Marmor</t>
  </si>
  <si>
    <t>Arvizu</t>
  </si>
  <si>
    <t>Rokke</t>
  </si>
  <si>
    <t>Audrey</t>
  </si>
  <si>
    <t>1969900000</t>
  </si>
  <si>
    <t>7382953794</t>
  </si>
  <si>
    <t>No MEP R3-47 ($306.58)</t>
  </si>
  <si>
    <t>Figgins</t>
  </si>
  <si>
    <t>Keith</t>
  </si>
  <si>
    <t>https://docket.images.azcc.gov/E000048356.pdf</t>
  </si>
  <si>
    <t>Vail</t>
  </si>
  <si>
    <t>Mason-Ewing</t>
  </si>
  <si>
    <t>Sauiqui</t>
  </si>
  <si>
    <t>Pattie</t>
  </si>
  <si>
    <t>https://docket.images.azcc.gov/E000048402.pdf</t>
  </si>
  <si>
    <t>Lengele</t>
  </si>
  <si>
    <t>Opposed to any rate increase request that subsidize costs associated with infrastructure for industrial custoemrs/data centers</t>
  </si>
  <si>
    <t>3711421000</t>
  </si>
  <si>
    <t>Krause</t>
  </si>
  <si>
    <t>Glenda</t>
  </si>
  <si>
    <t>https://docket.images.azcc.gov/E000048419.pdf</t>
  </si>
  <si>
    <t>9762601000</t>
  </si>
  <si>
    <t>Kendrick</t>
  </si>
  <si>
    <t>5434621000</t>
  </si>
  <si>
    <t>Vastbinder</t>
  </si>
  <si>
    <t>1276931000</t>
  </si>
  <si>
    <t>Pal</t>
  </si>
  <si>
    <t>EV charging stations and Data Center - make them pay</t>
  </si>
  <si>
    <t>https://docket.images.azcc.gov/E000048447.pdf</t>
  </si>
  <si>
    <t>Davina</t>
  </si>
  <si>
    <t>Opposed: I don't belileve residents should have to foot the bill for data centers</t>
  </si>
  <si>
    <t>https://docket.images.azcc.gov/E000048452.pdf</t>
  </si>
  <si>
    <t>Rieger</t>
  </si>
  <si>
    <t>Loveland</t>
  </si>
  <si>
    <t>Taunia</t>
  </si>
  <si>
    <t>3668790000</t>
  </si>
  <si>
    <t>Durbin</t>
  </si>
  <si>
    <t xml:space="preserve">Daryl </t>
  </si>
  <si>
    <t>Kurtz</t>
  </si>
  <si>
    <t>O'Neill</t>
  </si>
  <si>
    <t>Hellard</t>
  </si>
  <si>
    <t>Joyce</t>
  </si>
  <si>
    <t>Vasquez</t>
  </si>
  <si>
    <t>Shaw</t>
  </si>
  <si>
    <t>Tom</t>
  </si>
  <si>
    <t>https://docket.images.azcc.gov/E000048497.pdf</t>
  </si>
  <si>
    <t>3406690000</t>
  </si>
  <si>
    <t>Mayberry</t>
  </si>
  <si>
    <t>8746371337</t>
  </si>
  <si>
    <t>Marsha</t>
  </si>
  <si>
    <t>3898390000</t>
  </si>
  <si>
    <t>Offer Assistance Programs?</t>
  </si>
  <si>
    <t>Sidhu</t>
  </si>
  <si>
    <t>Arman</t>
  </si>
  <si>
    <t>Filed two petitions 12/31 and 1/2</t>
  </si>
  <si>
    <t xml:space="preserve">Phoenix </t>
  </si>
  <si>
    <t>5434101000</t>
  </si>
  <si>
    <t>Salazar</t>
  </si>
  <si>
    <t>ER Lara</t>
  </si>
  <si>
    <t>TM</t>
  </si>
  <si>
    <t>Kok</t>
  </si>
  <si>
    <t>Queen Creek</t>
  </si>
  <si>
    <t>LaBarbera</t>
  </si>
  <si>
    <t>9194711000</t>
  </si>
  <si>
    <t>No MEP R3-47 ($84.61)</t>
  </si>
  <si>
    <t>Cearns</t>
  </si>
  <si>
    <t>Katharine</t>
  </si>
  <si>
    <t>7401033818</t>
  </si>
  <si>
    <t>Frozen</t>
  </si>
  <si>
    <t>Customer filed ACC complaint about automatic PA on 10/16/2025</t>
  </si>
  <si>
    <t>0037795787</t>
  </si>
  <si>
    <t>Winslow</t>
  </si>
  <si>
    <t>4471111000</t>
  </si>
  <si>
    <t>No MEP R3-47 ($274.25)</t>
  </si>
  <si>
    <t>Walewski</t>
  </si>
  <si>
    <t>2582490000</t>
  </si>
  <si>
    <t>Drumm</t>
  </si>
  <si>
    <t>S Marie</t>
  </si>
  <si>
    <t>Hager</t>
  </si>
  <si>
    <t>Janine</t>
  </si>
  <si>
    <t>6810330000</t>
  </si>
  <si>
    <t>Adams</t>
  </si>
  <si>
    <t>Shaffer</t>
  </si>
  <si>
    <t>3744670000</t>
  </si>
  <si>
    <t>No MEP TOUE-47 ($171.32)</t>
  </si>
  <si>
    <t>https://docket.images.azcc.gov/E000048522.pdf</t>
  </si>
  <si>
    <t>Williamson</t>
  </si>
  <si>
    <t>Elaine</t>
  </si>
  <si>
    <t>Holmquist</t>
  </si>
  <si>
    <t>Furlong</t>
  </si>
  <si>
    <t>2887570000</t>
  </si>
  <si>
    <t>Aycock</t>
  </si>
  <si>
    <t>5126480000</t>
  </si>
  <si>
    <t>Foushee</t>
  </si>
  <si>
    <t>3336741000</t>
  </si>
  <si>
    <t>No MEP R3-47 ($446.36)</t>
  </si>
  <si>
    <t>Sise</t>
  </si>
  <si>
    <t>6007103080</t>
  </si>
  <si>
    <t>Cummings</t>
  </si>
  <si>
    <t>Opposed: Data Centers are causing the issue; vote for the people not the corporations</t>
  </si>
  <si>
    <t>6353724277</t>
  </si>
  <si>
    <t>Patrovich</t>
  </si>
  <si>
    <t>Marcie</t>
  </si>
  <si>
    <t>Opposed: Too many fees, deny the rate increase</t>
  </si>
  <si>
    <t>2463621000</t>
  </si>
  <si>
    <t>EPR6w/ET-2</t>
  </si>
  <si>
    <t>Macek</t>
  </si>
  <si>
    <t>Marlene</t>
  </si>
  <si>
    <t>Opposed: APS is highly profitable. What about APS's expenses and spending?</t>
  </si>
  <si>
    <t>https://docket.images.azcc.gov/E000048542.pdf</t>
  </si>
  <si>
    <t>2897563325</t>
  </si>
  <si>
    <t>Arroyo</t>
  </si>
  <si>
    <t>Arielle</t>
  </si>
  <si>
    <t>Nurse and mother in protest of rate increase. Bills are astronomical.</t>
  </si>
  <si>
    <t>Palowoda</t>
  </si>
  <si>
    <t>APS just had a rate increase and $600 M in neet income. Prices are drive up becuase of EV charging ad Data Centers.</t>
  </si>
  <si>
    <t>9099650000</t>
  </si>
  <si>
    <t>Deny rate increase; quoting AZ Republic article 11/2/2025 and Kris Mayes. Against AI and data centers</t>
  </si>
  <si>
    <t>https://docket.images.azcc.gov/E000048535.pdf</t>
  </si>
  <si>
    <t>0211611000</t>
  </si>
  <si>
    <t>Hatler</t>
  </si>
  <si>
    <t>Carol (Phil)</t>
  </si>
  <si>
    <t>Deny rate increase: quoting Kris Mayes</t>
  </si>
  <si>
    <t>6381851000</t>
  </si>
  <si>
    <t>Winkler</t>
  </si>
  <si>
    <t>Laurie</t>
  </si>
  <si>
    <t>Deny the APS request for increased prices</t>
  </si>
  <si>
    <t>Levinshon</t>
  </si>
  <si>
    <t>Allyson</t>
  </si>
  <si>
    <t>https://docket.images.azcc.gov/E000048550.pdf</t>
  </si>
  <si>
    <t>Docketed 2x</t>
  </si>
  <si>
    <t>Alger</t>
  </si>
  <si>
    <t>Widow on a very fixed income. Supporting data centers bulit on my back. APS has never been honest or transparent</t>
  </si>
  <si>
    <t>https://docket.images.azcc.gov/E000048581.pdf</t>
  </si>
  <si>
    <t>5254461000</t>
  </si>
  <si>
    <t>Offer Assistance Program Info?</t>
  </si>
  <si>
    <t xml:space="preserve"> Seniors on fixed incomes are disproportionately affected by higher summer electric bills</t>
  </si>
  <si>
    <t>https://docket.images.azcc.gov/E000048641.pdf</t>
  </si>
  <si>
    <t>No MEP R3-47 ($99.06)</t>
  </si>
  <si>
    <t>Sally</t>
  </si>
  <si>
    <t>Put a stop to this kind of spending and stop inflation. Enough is enough.</t>
  </si>
  <si>
    <t>https://docket.images.azcc.gov/E000048716.pdf</t>
  </si>
  <si>
    <t>Elliott</t>
  </si>
  <si>
    <t>APS has deep enough pockets to cover these costs. We don't.</t>
  </si>
  <si>
    <t>Pouncy</t>
  </si>
  <si>
    <t>Ernest</t>
  </si>
  <si>
    <t xml:space="preserve">Retired on a fixed income. On-peak hours should change. Unfair, APS had a rate  hike two years ago. </t>
  </si>
  <si>
    <t>Filice</t>
  </si>
  <si>
    <t>Ridiculous, 22% increase in 3 years. People are struggling. Reject the rate increase.</t>
  </si>
  <si>
    <t>Fixed income, had the foresight to install solar, should not be charged an increase again.</t>
  </si>
  <si>
    <t xml:space="preserve">Opposed: APS top execs should take a pay cut and try to live on the median income. </t>
  </si>
  <si>
    <t>Furnas</t>
  </si>
  <si>
    <t>Kirkland</t>
  </si>
  <si>
    <t>yearly reduction of export rates for the past 5 years on solar systems supplying the grid. Non-solar customers have paid the difference</t>
  </si>
  <si>
    <t>Chesney</t>
  </si>
  <si>
    <t>16% for residential on top of the previous 8% is crippling as a retired person; with solar.</t>
  </si>
  <si>
    <t>Residents should not have to shoulder repeated increases while APS reports strong profits.</t>
  </si>
  <si>
    <t>No MEP R3-47 ($64.33)</t>
  </si>
  <si>
    <t>McCann</t>
  </si>
  <si>
    <t>We can't afford this type of increase - reeks of greed and corruption and quite frankly if this is passed l'd assume the council is getting bribed.</t>
  </si>
  <si>
    <t>Burkhart</t>
  </si>
  <si>
    <t>Pretty soon, my electric bill will be HALF of what I pay in mortgage. Normal people are struggling.</t>
  </si>
  <si>
    <t>Lindmark</t>
  </si>
  <si>
    <t>Commission sides with the Developers and Utility Companies; when are you going to side with the people?</t>
  </si>
  <si>
    <t>Harmonson</t>
  </si>
  <si>
    <t>It should not be allowed to profit off of the working class for things that are a necessity to survive.</t>
  </si>
  <si>
    <t>https://docket.images.azcc.gov/E000048738.pdf</t>
  </si>
  <si>
    <t>No MEP R3-47 ($359.67)</t>
  </si>
  <si>
    <t xml:space="preserve">Owned home for 15 years and made all the EE improvements and bills are still going up. </t>
  </si>
  <si>
    <t>No MEP R3-47 ($128.88</t>
  </si>
  <si>
    <t xml:space="preserve">Cumulative 23% increase in just over 2 years. Arizona are already struggling. </t>
  </si>
  <si>
    <t>Special Handling Case on Account (3 executive referrals, 1 AG complaint and 1 BBB complaint)</t>
  </si>
  <si>
    <t>Gutierrez-Whitmire</t>
  </si>
  <si>
    <t>Karla</t>
  </si>
  <si>
    <t>35-year customer and retiree on a fixed income. Watch  my neighbors struggle while APS continues to raise rates.</t>
  </si>
  <si>
    <t xml:space="preserve">Pricing should align with SRP. Believes power and water should be government provided. </t>
  </si>
  <si>
    <t>Gruber</t>
  </si>
  <si>
    <t>Fixed rate criteria must be updated to reflect hotter climate.</t>
  </si>
  <si>
    <t>Culligan</t>
  </si>
  <si>
    <t>Marianne</t>
  </si>
  <si>
    <t>Huge chip plant - costs should not be shouldered by homeowners/renters and those with solar shoulder an additional monthly fee</t>
  </si>
  <si>
    <t>Behnke</t>
  </si>
  <si>
    <t>Lynea</t>
  </si>
  <si>
    <t>Mother to young children, huge portion of paycheck is already going toward electric bill, impossible to save.</t>
  </si>
  <si>
    <t>https://images.edocket.azcc.gov/docketpdf/E000048753.pdf</t>
  </si>
  <si>
    <t>Yates-Reiser</t>
  </si>
  <si>
    <t xml:space="preserve">Seen bill  jump from $122 to over $300 after solar panel lease. Fighting to get onto the off-peak plan. </t>
  </si>
  <si>
    <t>Mancuso</t>
  </si>
  <si>
    <t>already too high, wages are stagnant, and the profit margins of this company are absurd.</t>
  </si>
  <si>
    <t>No MEP R3-47 ($336.56)</t>
  </si>
  <si>
    <t>Dzezinski</t>
  </si>
  <si>
    <t>APS's greed is asking for another hike less than 2  years after the last increase is borderline criminal.</t>
  </si>
  <si>
    <t>Ollis</t>
  </si>
  <si>
    <t>Cannot attend the public comment meeting. Monopoly, $483M profits, Their solar reimbursement program is a scam</t>
  </si>
  <si>
    <t>https://images.edocket.azcc.gov/docketpdf/E000048762.pdf</t>
  </si>
  <si>
    <t>1/22/2026+</t>
  </si>
  <si>
    <t>Ciasnocha</t>
  </si>
  <si>
    <t>Opposed, another increase after an 8% increase just 2 y ears ago, punishing solar, alarming FRM, quoting AG</t>
  </si>
  <si>
    <t>https://docket.images.azcc.gov/E000048791.pdf</t>
  </si>
  <si>
    <t>Apolinar</t>
  </si>
  <si>
    <t>Alexia</t>
  </si>
  <si>
    <t>Oppose -rate was just increased less than 2 years ago</t>
  </si>
  <si>
    <t>RCPw/TOUE47</t>
  </si>
  <si>
    <t>No MEP R3-47 ($84.24)</t>
  </si>
  <si>
    <t>Please contact customer regarding plan options and additional assistance programs</t>
  </si>
  <si>
    <t>Doris</t>
  </si>
  <si>
    <t>They just got a 16% rate increase and now those greedy people demand more?</t>
  </si>
  <si>
    <t>Participated in public comment session on 1/20</t>
  </si>
  <si>
    <t>Lister</t>
  </si>
  <si>
    <t xml:space="preserve">Thank you for the opportunity to testify today. Representing Opportunity Arizona. Quotes 12News for data center growth make up energy demand. </t>
  </si>
  <si>
    <t>Participated in public comment session on 1/20 - Representing Opportunity Arizona</t>
  </si>
  <si>
    <t>Kaur</t>
  </si>
  <si>
    <t>Sue</t>
  </si>
  <si>
    <t xml:space="preserve">Your Constitutional role as Commissioners... set just and reasonalbe rates. Majority of the commission has eyes on higher offices. </t>
  </si>
  <si>
    <t>My bill in the winter was almost $300 last month, and the heat and air were never used - that is criminal.</t>
  </si>
  <si>
    <t>Liu</t>
  </si>
  <si>
    <t>Yijeng</t>
  </si>
  <si>
    <t>Why do residents have to pay APS shareholders' dividends more and more each year?</t>
  </si>
  <si>
    <t>Lucas</t>
  </si>
  <si>
    <t xml:space="preserve">For families like mine, this is simply too much... customers should not be expected to absorb constant hikes whiles APS continues to report healthy returns. </t>
  </si>
  <si>
    <t>Simon</t>
  </si>
  <si>
    <t xml:space="preserve">Approving yet another rate ncrease-especially one that penalizes solar adoption and inflates transmission costs-would violate your duty. </t>
  </si>
  <si>
    <t>Arriola</t>
  </si>
  <si>
    <t>It's tough as it is to try to keep up with life without yet another increase from APS</t>
  </si>
  <si>
    <t>Pottorf</t>
  </si>
  <si>
    <t>Jaimie</t>
  </si>
  <si>
    <t>APS is a regulated utility with a statutory right to seek recovery of reasonable costs, however the magnitude of the request, paired with existing profits and the ongoing financial strain on AZ residents makes this application neither fair nor reasonable</t>
  </si>
  <si>
    <t>Conte</t>
  </si>
  <si>
    <t>Davide</t>
  </si>
  <si>
    <t xml:space="preserve">Commission review APS's solar rate design and consider whether forcing all solar customers into sunset-aligned peak pricing is consistent with fair cost allocation. </t>
  </si>
  <si>
    <t>Baird</t>
  </si>
  <si>
    <t>I have filed numerous complaints with BBB because our bills are sometimes $700! How does a family living on one income afford anymore?!</t>
  </si>
  <si>
    <t>Vassallo</t>
  </si>
  <si>
    <t>Kayla</t>
  </si>
  <si>
    <t>Burke</t>
  </si>
  <si>
    <t>Victoria</t>
  </si>
  <si>
    <t>Dahne</t>
  </si>
  <si>
    <t xml:space="preserve">Demand Charge Limiter and Demand Charge Credit... l've dropped my bills about 13% through my work on my electricity usage. Now APS wants to wipe that out just for the benefit of their shareholders and executive pay. </t>
  </si>
  <si>
    <t>Peterson</t>
  </si>
  <si>
    <t xml:space="preserve">Familes are trying to survive high interest rates, inflation, and provide for themselves and children. The name Arizona Public Service should be a reminder that electricity is a publis service, not a slush fund. </t>
  </si>
  <si>
    <t>No MEP R3-47 ($402.12)</t>
  </si>
  <si>
    <t>More effective and cheaper "green" policies on your part, APS, can make elevated usage of clean and cheap electricity happen,  not with the rising of prices</t>
  </si>
  <si>
    <t>Newbern</t>
  </si>
  <si>
    <t>James Marshall</t>
  </si>
  <si>
    <t>It is not evident that the current return on eequity being earned by APS is inadequate or that it threatens the company's ability to continue its already reliably service</t>
  </si>
  <si>
    <t>Sagadraca</t>
  </si>
  <si>
    <t>heavily against this price increase as it will add strain to the rising cost of living</t>
  </si>
  <si>
    <t>Green</t>
  </si>
  <si>
    <t xml:space="preserve">we are already struggling to balance the rising costs of childcare with our monthly utility bills. </t>
  </si>
  <si>
    <t>No MEP TOUE-47 ($139.27)</t>
  </si>
  <si>
    <t>Downs</t>
  </si>
  <si>
    <t>On a budget and already working 2 jobs to make ends meet, the price hike is nothing but greed.</t>
  </si>
  <si>
    <t>No MEP R3-47 ($42.04)</t>
  </si>
  <si>
    <t>Bergeron</t>
  </si>
  <si>
    <t>Electricity is an essential function of daily life and Arizona Public Service is a monolith in service provision in the valley.</t>
  </si>
  <si>
    <t>Scarborough</t>
  </si>
  <si>
    <t xml:space="preserve">I live with my mentally disabled uncle who is on a low-income. The last rate increased almost sent him to the hospital for heat stroke trying to k eep the AC bill down in his 1000 sq ft house. </t>
  </si>
  <si>
    <t>William III</t>
  </si>
  <si>
    <t>Retired, 2,000 sqft home, large solar system, 2 EV. APS is punishing us and h olding us hostage for doing the right thing for the environment</t>
  </si>
  <si>
    <t>https://docket.images.azcc.gov/E000048819.pdf</t>
  </si>
  <si>
    <t>Harrington</t>
  </si>
  <si>
    <t>APS's proposed 14% rate hike is an erroneous and unjustified increase that places unnecessary financial strain on the residents</t>
  </si>
  <si>
    <t xml:space="preserve">Gabriel </t>
  </si>
  <si>
    <t xml:space="preserve">Prices are outrageous and 4 or 5 increases in 5 years is disgraceful and completely shows it's about just money. Old boyz club. </t>
  </si>
  <si>
    <t xml:space="preserve">households are already struggling with rising costs for housing, food, healthcare, and fuel. Wages have not increased at the same pace as utility costs. </t>
  </si>
  <si>
    <t>At what time do we expect APS to reinvest their own profits to upgrade infrastructure?</t>
  </si>
  <si>
    <t>No MEP R3-47 ($55.05)</t>
  </si>
  <si>
    <t>Akers</t>
  </si>
  <si>
    <t xml:space="preserve">The Federal Government uses is about 2.7%. Why a 14% increase? When does it stop? I understand they need to make a profit but at what point do we say enough is enough. </t>
  </si>
  <si>
    <t>Donovan</t>
  </si>
  <si>
    <t>Tricia</t>
  </si>
  <si>
    <t xml:space="preserve">These rate increases are unsubstantiated on a consumer level. There should be an adjusted rate for the corporation over a certain size against the homeowner. </t>
  </si>
  <si>
    <t>Maynard</t>
  </si>
  <si>
    <t>Margie</t>
  </si>
  <si>
    <t>It is unethical for APS to increase rates 14% after just raising costs by 8% last year. Arizonans are already struggling</t>
  </si>
  <si>
    <t>Morris</t>
  </si>
  <si>
    <t>Abigail</t>
  </si>
  <si>
    <t xml:space="preserve">We are experiencing a death by a thousand rate hikes with no pathway to homeownership to start our family. </t>
  </si>
  <si>
    <t>Cupp</t>
  </si>
  <si>
    <t>Eva</t>
  </si>
  <si>
    <t>I am against any further hikes or increases in cost for electricity</t>
  </si>
  <si>
    <t>Duesbury</t>
  </si>
  <si>
    <t>As a senior on a fixed income, I cannot afford another rate hike by APS especially after they have gotten two in the last few years</t>
  </si>
  <si>
    <t>Marquez</t>
  </si>
  <si>
    <t>people cannot afford another APS price hike. We live in the desert, and to this company all you see is dollar signs. YOU GUYS SUCK IF YOU INCREASE MORE RATES</t>
  </si>
  <si>
    <t>No MEP RTOUE47 ($27.85)</t>
  </si>
  <si>
    <t>Musselman</t>
  </si>
  <si>
    <t>Williametta</t>
  </si>
  <si>
    <t xml:space="preserve">We purchased solar many  years ago. Now we hear APS wants to double the rate for solar customers. Why? </t>
  </si>
  <si>
    <t xml:space="preserve">Horton </t>
  </si>
  <si>
    <t>Daryl</t>
  </si>
  <si>
    <t xml:space="preserve">Arizonans are struggling with costs for housing, food, and other essentials. This increase is unjust and unreasonable. The Proposed FRM is a blank check. </t>
  </si>
  <si>
    <t>Berger</t>
  </si>
  <si>
    <t>No MEP R3-47 ($311.33)</t>
  </si>
  <si>
    <t>Akram</t>
  </si>
  <si>
    <t>Rami</t>
  </si>
  <si>
    <t xml:space="preserve">Aps needs to stop increase the bills. The gas and oil is cheaper there is no reason to increase the rate. </t>
  </si>
  <si>
    <t>Tocco</t>
  </si>
  <si>
    <t>Hailee</t>
  </si>
  <si>
    <t>Kocho</t>
  </si>
  <si>
    <t>Eileen</t>
  </si>
  <si>
    <t>rising costs places an undue financial burden on households-especially those on fixed incomes,</t>
  </si>
  <si>
    <t>No MEP R-XS ($11.32)</t>
  </si>
  <si>
    <t>Gewargis</t>
  </si>
  <si>
    <t>Sargis</t>
  </si>
  <si>
    <t xml:space="preserve">I am not fine with this increase and this will be so bad to manage for my home and business. </t>
  </si>
  <si>
    <t>Youshia</t>
  </si>
  <si>
    <t>This increase places a significant financial burden on households and small businesses</t>
  </si>
  <si>
    <t>No MEP R3-47 ($108.10)</t>
  </si>
  <si>
    <t xml:space="preserve">Costs of electricity are rising much faster than our incomes. People with fixed/limited income can't afford these drastic increases year over year. </t>
  </si>
  <si>
    <t>Not eligible yet</t>
  </si>
  <si>
    <t>Just transitioned from Tier 1 to Tier 2</t>
  </si>
  <si>
    <t>Kelcey</t>
  </si>
  <si>
    <t>Higher utility rates will place an undue burden on Arizona residents. Energy should remain affordable and accessible to all</t>
  </si>
  <si>
    <t>Montoya</t>
  </si>
  <si>
    <t>We personally have solar panels which we pay slot of money for only to have our electric bill still high. Our account should be in the negative.</t>
  </si>
  <si>
    <t>Seifert</t>
  </si>
  <si>
    <t>Lyn</t>
  </si>
  <si>
    <t>APS needs to be pressured to figure out how to keep costs down and find other ways to create cost-effective energy, such as portable nuclear power and natural gas.</t>
  </si>
  <si>
    <t>No MEP R3-47 ($339.29)</t>
  </si>
  <si>
    <t>Rueda</t>
  </si>
  <si>
    <t>Cristiana</t>
  </si>
  <si>
    <t>consider how this affects our total cost of living - many of us struggle to pay rising rent prices without utilities</t>
  </si>
  <si>
    <t>No MEP R-XS ($103.62)</t>
  </si>
  <si>
    <t>Huizenga</t>
  </si>
  <si>
    <t>Spend money within their means as opposed to growing the grid to prepare for future growth at the expense of the sonsumer. I invested in solar... costs continue to grow.</t>
  </si>
  <si>
    <t>Lundin</t>
  </si>
  <si>
    <t>This is pure GREED and negatively impacts all constituents. Do not pass this!</t>
  </si>
  <si>
    <t>No MEP R-XS ($845.52)</t>
  </si>
  <si>
    <t>Please contact customer regarding plan options - 3 properties total but 1 property is not on MEP.</t>
  </si>
  <si>
    <t>Pillsbury</t>
  </si>
  <si>
    <t>No more rate hikes! Already increased 8% last year! I oppose the 14% proposed increase!</t>
  </si>
  <si>
    <t>Zegarac</t>
  </si>
  <si>
    <t>Mara</t>
  </si>
  <si>
    <t>No increase in rates is needed or warranted. Put people over profits,</t>
  </si>
  <si>
    <t>No MEP R-BASIC ($40.52)</t>
  </si>
  <si>
    <t>Zach</t>
  </si>
  <si>
    <t>Increase on those awful dat centers which I'm going tonight to protest against the possibility of Surprise, Arizona, adding another one.</t>
  </si>
  <si>
    <t>Sukhera</t>
  </si>
  <si>
    <t>Jasim</t>
  </si>
  <si>
    <t>a resident of Phoenix AZ oppose the 14% utilities rate increase</t>
  </si>
  <si>
    <t>Mahoney</t>
  </si>
  <si>
    <t>Brindle</t>
  </si>
  <si>
    <t xml:space="preserve">Newly widowed, disabled snior. Half the time I don't even use the utilities because I can barely afford them. </t>
  </si>
  <si>
    <t>Arias</t>
  </si>
  <si>
    <t>Tessa</t>
  </si>
  <si>
    <t>Double the price I paid in SRP territory. Troubled by the proposal for FRM</t>
  </si>
  <si>
    <t>Currie</t>
  </si>
  <si>
    <t>Donald</t>
  </si>
  <si>
    <t xml:space="preserve">Solar customers got solar to help sustain the grid and keep our price stable. We paid for these panels. We should not be fee'd to death. Inrease data center even more. </t>
  </si>
  <si>
    <t>Neal</t>
  </si>
  <si>
    <t xml:space="preserve">14% APS rate hike is excessive for consumers. I am a senior citizen, struggling already. </t>
  </si>
  <si>
    <t>No MEP R3-47 ($235.41)</t>
  </si>
  <si>
    <t>Murton</t>
  </si>
  <si>
    <t>OPPOSE the proposed 14% rate increase by APS. Coming on the heels of an 8% increase just last year.</t>
  </si>
  <si>
    <t>Baughman Vincent</t>
  </si>
  <si>
    <t>Ericaanne</t>
  </si>
  <si>
    <t>Please do not let APS hike our rates! I already  had to cut vidal expenses such as food, medicine because the utilities rates are already out rages!</t>
  </si>
  <si>
    <t>Loomis</t>
  </si>
  <si>
    <t>The rate hike for 14 percent is crazy and to change solar customer's a sur change is not right</t>
  </si>
  <si>
    <t>My wife and I are on fixed incomes and our bill has risen from $103.52 per month to $174.52 in the last 2 years.</t>
  </si>
  <si>
    <t>No MEP R3-47 ($30.74)</t>
  </si>
  <si>
    <t>Pendergraft</t>
  </si>
  <si>
    <t xml:space="preserve">It is unreasonable to expect Arizona families to shoulder another significant iincrease. Quotes APS  mission statement on 'About Us' page. </t>
  </si>
  <si>
    <t>Mueller</t>
  </si>
  <si>
    <t xml:space="preserve">Why do they need YET ANOTHER INCREASE? APS is already charging WAAAAY more than SRP. </t>
  </si>
  <si>
    <t>Barraza</t>
  </si>
  <si>
    <t xml:space="preserve">Parent of  three children, like many Arizona families, we are already struggling with the rising cost of living. </t>
  </si>
  <si>
    <t>No MEP R-BASIC ($1.22)</t>
  </si>
  <si>
    <t>I also think that data centers should be paying their share for the increased electricity</t>
  </si>
  <si>
    <t>https://docket.images.azcc.gov/E000048828.pdf</t>
  </si>
  <si>
    <t>McKee</t>
  </si>
  <si>
    <t xml:space="preserve">It is unfathomable that they would request yet another rate hike, especially considering the outrageous amount the APS officers are taking in sompensation. </t>
  </si>
  <si>
    <t>Pays for advertising and sponsorships and events. APS could care less about the rate payers</t>
  </si>
  <si>
    <t>Devlin</t>
  </si>
  <si>
    <t>difficult to enjoy my retirement from hard work for 50 years. My family consistently tries to conserve but it seems like large businesses are not pulling their weight.</t>
  </si>
  <si>
    <t>Johancen</t>
  </si>
  <si>
    <t>Pls do NOT let them raise the elec rate, $600 million last year seems like they are doing OK</t>
  </si>
  <si>
    <t>https://docket.images.azcc.gov/E000048860.pdf</t>
  </si>
  <si>
    <t>Keliher</t>
  </si>
  <si>
    <t>Prices at the grocery store and it has tripled the cost per month that we pay for food. This has really out into our budget.</t>
  </si>
  <si>
    <t>Schedler</t>
  </si>
  <si>
    <t xml:space="preserve">As a person of faith, I believe it is morally wrong to ask for yet another rate increase for APS customers while simultaneously abandoning clean energy goals. </t>
  </si>
  <si>
    <t>Regen</t>
  </si>
  <si>
    <t>Dapcedich</t>
  </si>
  <si>
    <t>A 16%+ increase is unreasonable and unjustified. APS has made little improvements to their infrastructure compared to the increased amount of customers and revenue.</t>
  </si>
  <si>
    <t>https://docket.images.azcc.gov/E000048844.pdf</t>
  </si>
  <si>
    <t>Triggs</t>
  </si>
  <si>
    <t>Jovada</t>
  </si>
  <si>
    <t>Live with my daughter and am on a fixed income. Even with a discounted plan, I am still paying over $100 per month. I can't afford another increase. This is unfair</t>
  </si>
  <si>
    <t>https://docket.images.azcc.gov/E000048847.pdf</t>
  </si>
  <si>
    <t>Gaydos</t>
  </si>
  <si>
    <t>I worry about our schools. It should be the developers building that should be paying for the expansion and infrastructure to support our power grid.</t>
  </si>
  <si>
    <t>Griffis</t>
  </si>
  <si>
    <t>Arizonans are already struggling to afford. This proposal comes after multiple rate increases in recent years,</t>
  </si>
  <si>
    <t>https://docket.images.azcc.gov/E000048888.pdf</t>
  </si>
  <si>
    <t>Crawley</t>
  </si>
  <si>
    <t xml:space="preserve">I'm opposed to a rate increase from APS. It is difficult to pay our current bill, let alone an additional increase. We (retired folks) only received a $34 increase on our SS. </t>
  </si>
  <si>
    <t>??</t>
  </si>
  <si>
    <t>Frampton</t>
  </si>
  <si>
    <t>This is an unreasonable increase, particularly since APS just abandoned its clean energy goals.</t>
  </si>
  <si>
    <t>Tuggle</t>
  </si>
  <si>
    <t>Nora</t>
  </si>
  <si>
    <t xml:space="preserve">I am 72 years old, a disabled veteran on a fixed income. I am left questiong what options are available to me. </t>
  </si>
  <si>
    <t>Previous utility employee. Keep coal plants running. Solar customers should  not be penalized.</t>
  </si>
  <si>
    <t>The data copanies monopolizing the most usage need to pair their fair share. Do not put it off on the residential customers</t>
  </si>
  <si>
    <t>Gerald</t>
  </si>
  <si>
    <t>A 14% rate increase is unreasonable and unconscionable.It puts an unnecessary burden upon the average consumer</t>
  </si>
  <si>
    <t>https://docket.images.azcc.gov/E000048866.pdf</t>
  </si>
  <si>
    <t>Chettle</t>
  </si>
  <si>
    <t>We are opposed to the proposed rate increase of 14% in 2026</t>
  </si>
  <si>
    <t xml:space="preserve">Hill </t>
  </si>
  <si>
    <t>We the people the voters can't afford to have another increase in our electric. Data centers should be paying even more</t>
  </si>
  <si>
    <t>Participated in public comment session on 1/26</t>
  </si>
  <si>
    <t>Ewing</t>
  </si>
  <si>
    <t>We are already paying historic rate heights while the data centers receive their power at a discounted rate. Enough is enough!</t>
  </si>
  <si>
    <t>https://docket.images.azcc.gov/E000048893.pdf</t>
  </si>
  <si>
    <t>Threadgill</t>
  </si>
  <si>
    <t>If their expenses are on the rise pass the rate increases off to the mega users-Al &amp; Fab, plants not us</t>
  </si>
  <si>
    <t>Multiple Acct</t>
  </si>
  <si>
    <t xml:space="preserve">ACC should require APS to demonstrate stronger cost controls, clearer justification for projected expensses and meaningful efforts to protect low-income customers. </t>
  </si>
  <si>
    <t>This customer was re-assigned from Tier 1 to Tier 3. Likely not their best rate. Needs 3 months of data to see if RTOUE or R3 would be better.</t>
  </si>
  <si>
    <t>Hamrick</t>
  </si>
  <si>
    <t>Trying get help because every year my rent goes up</t>
  </si>
  <si>
    <t>https://docket.images.azcc.gov/E000048917.pdf</t>
  </si>
  <si>
    <t>May need information for additional assistance programs?</t>
  </si>
  <si>
    <t xml:space="preserve">Make a change now away from the Green new deal and do not allow APS to rais their rates. </t>
  </si>
  <si>
    <t>Unkown</t>
  </si>
  <si>
    <t>Representing Arizona Mormon Women for Ethical Government</t>
  </si>
  <si>
    <t>https://images.edocket.azcc.gov/docketpdf/E000048922.pdf</t>
  </si>
  <si>
    <t>Roberta</t>
  </si>
  <si>
    <t>I would like to ask why you weren't at the meeting as you are an elected official and you are one of the members in charge of making this important decision. I have lived in my current home that uses APS for 11 years. I have seen my rates inrease 3 times.</t>
  </si>
  <si>
    <t>https://docket.images.azcc.gov/E000048953.pdf</t>
  </si>
  <si>
    <t>1511021000</t>
  </si>
  <si>
    <t>No MEP R3-47 ($393.92)</t>
  </si>
  <si>
    <t>Please contact customer regarding rate options. Participated in public comment session on 1/20, Docketed 2x</t>
  </si>
  <si>
    <t>Keithly</t>
  </si>
  <si>
    <t>https://docket.images.azcc.gov/E000048950.pdf</t>
  </si>
  <si>
    <t>2146811000</t>
  </si>
  <si>
    <t>???</t>
  </si>
  <si>
    <t xml:space="preserve">Let's not California our state. As a republican I know that you'r first instinct is to help the people of Arizona not to line APS pockets. </t>
  </si>
  <si>
    <t>Cook</t>
  </si>
  <si>
    <t>$5 billion scheme to build a pipeline to bring gas from Texas, they're moving Arizona away from a clean energy future</t>
  </si>
  <si>
    <t>https://docket.images.azcc.gov/E000048958.pdf</t>
  </si>
  <si>
    <t>Gerheauser</t>
  </si>
  <si>
    <t>Why aren't savings from the alternate sources applied to customers, or invested in more alternate sources?</t>
  </si>
  <si>
    <t>0470347729</t>
  </si>
  <si>
    <t>Spear</t>
  </si>
  <si>
    <t>I don't think it is right for the existing residential homes to foot the bill in the form of rate increases for new residential and new commercial development.</t>
  </si>
  <si>
    <t>6336530000</t>
  </si>
  <si>
    <t>Chaison</t>
  </si>
  <si>
    <t>Please don't raise my rates! l can't afford the rates now! Help!</t>
  </si>
  <si>
    <t>Gloria</t>
  </si>
  <si>
    <t>They are already initially to high '??</t>
  </si>
  <si>
    <t>Jeana</t>
  </si>
  <si>
    <t xml:space="preserve">Over the past 12 months our electricy expenses have totaled under $5,000 for a family of five, despite having no major electricity draws or unusually high usage. </t>
  </si>
  <si>
    <t>3115810000</t>
  </si>
  <si>
    <t>Bollinger</t>
  </si>
  <si>
    <t>You want to raise but what are you going to tell disabled people like me that are basically trying to stay afloat</t>
  </si>
  <si>
    <t>5696755909</t>
  </si>
  <si>
    <t>No MEP TOUE-47 ($384.68)</t>
  </si>
  <si>
    <t>Hudson</t>
  </si>
  <si>
    <t xml:space="preserve"> it's impossible for the average Arizona. To afford electricity , if they continue to do this every single year.</t>
  </si>
  <si>
    <t>8552949923</t>
  </si>
  <si>
    <t>RTOUE</t>
  </si>
  <si>
    <t>No MEP R3-47 ($641.78)</t>
  </si>
  <si>
    <t>Gardella</t>
  </si>
  <si>
    <t>An average of $20 being added to simmer until bill will make it almost unmanageable for residents on a fixed income.</t>
  </si>
  <si>
    <t>https://docket.images.azcc.gov/E000048995.pdf</t>
  </si>
  <si>
    <t>2196530000</t>
  </si>
  <si>
    <t>Zamora</t>
  </si>
  <si>
    <t>Jeannette</t>
  </si>
  <si>
    <t>I am a retired individual who really can't afford the rate hikes that you continue to add. Tell the good people of Arizona why the hikes are so high</t>
  </si>
  <si>
    <t>3750358464</t>
  </si>
  <si>
    <t>Adena</t>
  </si>
  <si>
    <t>I live on a fixed income. Take care of an 82-year-old man you continuously increase these rates. I am unable to sustain payments so consider this my hardship letter if rates go up.</t>
  </si>
  <si>
    <t>3381172505</t>
  </si>
  <si>
    <t>Aho</t>
  </si>
  <si>
    <t>Tammy</t>
  </si>
  <si>
    <t>I'm currently 3 months behind and I've called every publlis assistance agency for help. Rate hikes will for sure 100% cut my electric off for my family. When is enough enough???</t>
  </si>
  <si>
    <t>8823390000</t>
  </si>
  <si>
    <t>Raggio</t>
  </si>
  <si>
    <t xml:space="preserve">Family of 6... I've already seen enough increases over the years that l'm constantly having to decide how to move my budget around to adjust for rising power costs. </t>
  </si>
  <si>
    <t>https://docket.images.azcc.gov/E000048963.pdf</t>
  </si>
  <si>
    <t>2493851000</t>
  </si>
  <si>
    <t>Murad</t>
  </si>
  <si>
    <t xml:space="preserve">I live in a 2-bedroom, 2-bathroom unit, yet last summer my bill was as high as someone living in a 2,000 sq. ft. house. The tier system they use is also a mess. </t>
  </si>
  <si>
    <t>This customer was re-assigned from Tier 1 to Tier 2. Likely not their best rate. Needs 3 months of data to see if RTOUE or R3 would be better.</t>
  </si>
  <si>
    <t>Maillie</t>
  </si>
  <si>
    <t xml:space="preserve">I work part time since 2023 march when I lost my job due to an accident. I help take care of a 73yr. cripple that requires 24/7/365 care. </t>
  </si>
  <si>
    <t>Vitagliano</t>
  </si>
  <si>
    <t>Lori</t>
  </si>
  <si>
    <t>As a teacher I can barely afford the costs of electricity as is let alone with a 14% increase.</t>
  </si>
  <si>
    <t>https://images.edocket.azcc.gov/docketpdf/E000049005.pdf</t>
  </si>
  <si>
    <t>6253351000</t>
  </si>
  <si>
    <t>Cortez</t>
  </si>
  <si>
    <t>They already got a hike no more greed please</t>
  </si>
  <si>
    <t>3425146909</t>
  </si>
  <si>
    <t>Deborah</t>
  </si>
  <si>
    <t>I am one of the many retired members living here and feel that they ahve taken advantage of the people long enough</t>
  </si>
  <si>
    <t>https://docket.images.azcc.gov/E000048921.pdf</t>
  </si>
  <si>
    <t>Parkhurst</t>
  </si>
  <si>
    <t>Phil</t>
  </si>
  <si>
    <t>APS's Continued quest for rate increases must be stopped.either they are guilty of outlandish greed or are incredibly inefficient</t>
  </si>
  <si>
    <t>9163322510</t>
  </si>
  <si>
    <t>Holmes</t>
  </si>
  <si>
    <t>They are selling there power to California at a profit. They should be cost conscious of the people of AZ!</t>
  </si>
  <si>
    <t>6608681161</t>
  </si>
  <si>
    <t>Perez</t>
  </si>
  <si>
    <t>Martha</t>
  </si>
  <si>
    <t>Have a heart in Jesus Christ we beg for lower cost. Please help American people with solar is the best option for all if</t>
  </si>
  <si>
    <t>Bingham</t>
  </si>
  <si>
    <t>Why does the commission always side with APS ? When will you side with poor and retired citizens</t>
  </si>
  <si>
    <t>2146939294</t>
  </si>
  <si>
    <t>Yolanda</t>
  </si>
  <si>
    <t>struggling to stay a float and you're trying to add another blow to our lives, NO WAY! Stop this madness and let us be able to feed our families</t>
  </si>
  <si>
    <t>1254845445</t>
  </si>
  <si>
    <t>Palomino</t>
  </si>
  <si>
    <t>Erica</t>
  </si>
  <si>
    <t>The service is expensive.</t>
  </si>
  <si>
    <t>9873429265</t>
  </si>
  <si>
    <t>Spanish Preference</t>
  </si>
  <si>
    <t xml:space="preserve">I worked for a water company at for 27 years in California... people are flocking to AZ which creates huge amounts of revenue. </t>
  </si>
  <si>
    <t>7219224316</t>
  </si>
  <si>
    <t>Munoz</t>
  </si>
  <si>
    <t>Olga</t>
  </si>
  <si>
    <t>Please do not allow APS to rise the rate on electricity.</t>
  </si>
  <si>
    <t>Ann</t>
  </si>
  <si>
    <t xml:space="preserve">As a senior citizen on a very fixed income; aware of help services but qualify for none. I haven't been able to afford red meat for 3 years. </t>
  </si>
  <si>
    <t>8289031000</t>
  </si>
  <si>
    <t>Crnich</t>
  </si>
  <si>
    <t>Betty</t>
  </si>
  <si>
    <t>everyone keep raising prices and the increase they give each year doesn't even begin to help us on cost of living</t>
  </si>
  <si>
    <t>8471280303</t>
  </si>
  <si>
    <t>Richter</t>
  </si>
  <si>
    <t>Klaus</t>
  </si>
  <si>
    <t>I am against the increase APS is planning</t>
  </si>
  <si>
    <t>9120261000</t>
  </si>
  <si>
    <t>EPR6w/ET</t>
  </si>
  <si>
    <t>Hopper</t>
  </si>
  <si>
    <t xml:space="preserve"> I'm on a payment plan now. Paying back the money owed during summer. (Which I can't afford) I still have 2-3 more payments</t>
  </si>
  <si>
    <t>2894811000</t>
  </si>
  <si>
    <t>Reis</t>
  </si>
  <si>
    <t>I am apposed to APS rate hike stop using the inefficient green energy and get more of the power from the PV plant</t>
  </si>
  <si>
    <t>7320710000</t>
  </si>
  <si>
    <t>Velasquez</t>
  </si>
  <si>
    <t>Geordanny</t>
  </si>
  <si>
    <t>APS already earns substantial profits, and raising rates again would place an unfair burden on Arizona households</t>
  </si>
  <si>
    <t>7653356618</t>
  </si>
  <si>
    <t>Orville</t>
  </si>
  <si>
    <t>Laveen</t>
  </si>
  <si>
    <t xml:space="preserve">When is enough enough. The more we give the more they ask for. But our pay as employees remains the same. </t>
  </si>
  <si>
    <t>Devita</t>
  </si>
  <si>
    <t>This company is scamming their customers... newsletter tips, want people to only do their heave use during off hours, they are the AT&amp;T of Arizona</t>
  </si>
  <si>
    <t>Merriam</t>
  </si>
  <si>
    <t>Danyial</t>
  </si>
  <si>
    <t>When you have to decide to cool your home so your babies wont die, or to buy food something is terribly wrong.</t>
  </si>
  <si>
    <t>9190810517</t>
  </si>
  <si>
    <t>Theadora</t>
  </si>
  <si>
    <t>They are charging at least half of the APS charges in taxes on top of the usage charges. That's wrong.</t>
  </si>
  <si>
    <t>6812133768</t>
  </si>
  <si>
    <t>Avery</t>
  </si>
  <si>
    <t>Some of us are barely making ends meet as it is already! Please vote NO to APS!!</t>
  </si>
  <si>
    <t>8747623529</t>
  </si>
  <si>
    <t>Parks</t>
  </si>
  <si>
    <t>Drop some of your expensive sponsorships that benefit few of us and keep your rates the same.</t>
  </si>
  <si>
    <t>6372180000</t>
  </si>
  <si>
    <t>Hubler</t>
  </si>
  <si>
    <t>Sherrie</t>
  </si>
  <si>
    <t xml:space="preserve">Notes company revenue, executive order to re-open Cholla, donations to Katie Hobbs and Kari Lake. </t>
  </si>
  <si>
    <t>0638230000</t>
  </si>
  <si>
    <t>Merrick</t>
  </si>
  <si>
    <t>m against the continuous increase in utilities. The cost of living isn't keeping up with these hikes.</t>
  </si>
  <si>
    <t>May be linked to a closed account in Peoria with a write off balance</t>
  </si>
  <si>
    <t>Nield</t>
  </si>
  <si>
    <t>Carolyn</t>
  </si>
  <si>
    <t xml:space="preserve">Most AZ citizens are like my Mother in law living on a fxed income from Social Security or disability. The prices are getting out of control. </t>
  </si>
  <si>
    <t>Wahlert</t>
  </si>
  <si>
    <t xml:space="preserve">Our living expenses have skyrocketed and it I have to stay cool in summer and warm in the winter. Please don't raise the fees again. </t>
  </si>
  <si>
    <t>3835027127</t>
  </si>
  <si>
    <t>No MEP R3-47 ($173.12)</t>
  </si>
  <si>
    <t>Amaro</t>
  </si>
  <si>
    <t>I have only one limited income to keep my home warm in the winter and especiall cooler in the hot hot summer months</t>
  </si>
  <si>
    <t>2488431000</t>
  </si>
  <si>
    <t>Chrzanowski</t>
  </si>
  <si>
    <t>Alma</t>
  </si>
  <si>
    <t>The average family is struggling enough just to put food on the table...we don't need our power company to "stick it to us",</t>
  </si>
  <si>
    <t>McAnney</t>
  </si>
  <si>
    <t>Congress</t>
  </si>
  <si>
    <t>APS already charges exorbitant fees for poor quality services. We as consumers cannot afford higher prices</t>
  </si>
  <si>
    <t>9193700000</t>
  </si>
  <si>
    <t xml:space="preserve"> I struggle and inconvenience my family trying to keep power bill under 400.00! And most of the time can't.</t>
  </si>
  <si>
    <t>Dunne</t>
  </si>
  <si>
    <t>Utility costs are already high, unaffordable energy costs will hurt our economy.</t>
  </si>
  <si>
    <t>7717350000</t>
  </si>
  <si>
    <t>Wyndy</t>
  </si>
  <si>
    <t>Enough is enough. People are at the limit, trying to make ends meet.</t>
  </si>
  <si>
    <t>5848920000</t>
  </si>
  <si>
    <t>Loiselle</t>
  </si>
  <si>
    <t>Jeffery</t>
  </si>
  <si>
    <t>APS continues to make 100+ million in profit. How much is enough? Till people particularly the elderly on fixed incomes can't afford it in the extreme heat or cold?</t>
  </si>
  <si>
    <t>Corlew</t>
  </si>
  <si>
    <t>We can no longer afford it I will need to sell and move if this continues Can you please give seniors a discount??</t>
  </si>
  <si>
    <t>2946131433</t>
  </si>
  <si>
    <t>Sadolfo</t>
  </si>
  <si>
    <t>As a military veteran and current government employee, we only received a 1% raise for 2026</t>
  </si>
  <si>
    <t>8914350000</t>
  </si>
  <si>
    <t>Harlene</t>
  </si>
  <si>
    <t xml:space="preserve">decide if I want heat or cool or or food and medicines. Using increases are going way over my head. Please help to keep them not going up. </t>
  </si>
  <si>
    <t>9780090000</t>
  </si>
  <si>
    <t>No MEP R3-47 ($66.61)</t>
  </si>
  <si>
    <t>DiGiovanni</t>
  </si>
  <si>
    <t>Vote No and gain some respect and integrity for once in your life.</t>
  </si>
  <si>
    <t>Milinovich</t>
  </si>
  <si>
    <t>Seniors will suffer in the summer heat because they can't afford to cool their homes in the summer.</t>
  </si>
  <si>
    <t>Kenyon</t>
  </si>
  <si>
    <t>From 2023 to 2024 they increase profits by about 400%. Now wanting an 18% increase is just corporate theft from the Arizona residents.</t>
  </si>
  <si>
    <t>Busby</t>
  </si>
  <si>
    <t>Public utilities along with a mortgage and food are necessities. Controlling the cost of these things is a must.</t>
  </si>
  <si>
    <t>3718560000</t>
  </si>
  <si>
    <t>Casillas</t>
  </si>
  <si>
    <t>Danielle Salas</t>
  </si>
  <si>
    <t>It breeds gentrification and pushes out already at risk communities. The last thing our communities need are price hikes.</t>
  </si>
  <si>
    <t>The 14% rate hike your company is asking for is uncalled for. You raised your rate last year.</t>
  </si>
  <si>
    <t>5836280000</t>
  </si>
  <si>
    <t>Don't you think we pay enough for power ? The data centers should pay any increase in power rates.</t>
  </si>
  <si>
    <t>Company already making millions in profits and therefore does not need an increase in revenue.</t>
  </si>
  <si>
    <t>Helie</t>
  </si>
  <si>
    <t>Jay</t>
  </si>
  <si>
    <t>Who in there right mind would vote Democrat and higher rates, there isn't any God nor the people in these price gougers</t>
  </si>
  <si>
    <t>7979387407</t>
  </si>
  <si>
    <t>Hanlon</t>
  </si>
  <si>
    <t>I am a 71 year old senior and my Social security is $956.00 a month. I am having trouble keeping my electric bill paid now</t>
  </si>
  <si>
    <t>1223180000</t>
  </si>
  <si>
    <t>Koukal</t>
  </si>
  <si>
    <t>Autumn</t>
  </si>
  <si>
    <t>ONE MILLION DOLLARS. ONE MILLION DOLLARS base pay is what Our APS CEO's salary is! That's Outrageous!</t>
  </si>
  <si>
    <t>3156865214</t>
  </si>
  <si>
    <t>No MEP R-BASIC ($213.65)</t>
  </si>
  <si>
    <t>Birtciel</t>
  </si>
  <si>
    <t>We can barely afford the electric bills now! No to a rate increase!</t>
  </si>
  <si>
    <t>Mosher</t>
  </si>
  <si>
    <t>Tonia</t>
  </si>
  <si>
    <t>customers cannot afford such a large increase at this time, especially because it has been only a short time since the rates were last raised.</t>
  </si>
  <si>
    <t>Chester</t>
  </si>
  <si>
    <t>When is enough enough ? The price is already at an all time high. No more increase</t>
  </si>
  <si>
    <t>1641700000</t>
  </si>
  <si>
    <t>EPR6w/ECT-2</t>
  </si>
  <si>
    <t>Ricci</t>
  </si>
  <si>
    <t>the cost of everything else skyrocketing someone like me who is 66 yrs old and 100% disabled will be homeless if the rates go up AGAIN!</t>
  </si>
  <si>
    <t>Past account has write off balance</t>
  </si>
  <si>
    <t>Andrea</t>
  </si>
  <si>
    <t xml:space="preserve">we cannot lower the A/C enough to stay cool in the summer. Sleeping in temps above 70 are not optimal for our health and well being and feeling rested. </t>
  </si>
  <si>
    <t>3987590960</t>
  </si>
  <si>
    <t>Andujar</t>
  </si>
  <si>
    <t>I believe that aps should lower the cost because not all of us has the funds to keep paying a lot of money</t>
  </si>
  <si>
    <t>8998382174</t>
  </si>
  <si>
    <t>No MEP RTOUE47 ($64.15)</t>
  </si>
  <si>
    <t>Vallejo</t>
  </si>
  <si>
    <t>David S</t>
  </si>
  <si>
    <t>I could agree to a rate increase if the salaries of the highest paid were lessened and bonuses across the board were eliminated.</t>
  </si>
  <si>
    <t>5752931000</t>
  </si>
  <si>
    <t>Arends</t>
  </si>
  <si>
    <t>TeNisha</t>
  </si>
  <si>
    <t>We have the sun at our disposal. Why isn't APS taking advantage of that to help the consumers that need their services</t>
  </si>
  <si>
    <t>7201057343</t>
  </si>
  <si>
    <t xml:space="preserve">I believe all the data centers you've allowed in our state are the biggest reason for the proposed increase. </t>
  </si>
  <si>
    <t>9059000000</t>
  </si>
  <si>
    <t>No MEP RTOUE47 ($37.10)</t>
  </si>
  <si>
    <t>Kleiner</t>
  </si>
  <si>
    <t>I am sick and tired of APS ripping me off every time you turn around the rates are going up because they can't manage their business</t>
  </si>
  <si>
    <t>8584354754</t>
  </si>
  <si>
    <t>Benge</t>
  </si>
  <si>
    <t>Robert E</t>
  </si>
  <si>
    <t>Power is hi enough</t>
  </si>
  <si>
    <t>7756330000</t>
  </si>
  <si>
    <t>Senior on a fixed income... I will petition to not pass the rate hike. How much more do you need? Will blood be enough?</t>
  </si>
  <si>
    <t>6957903863</t>
  </si>
  <si>
    <t>RCPw/RTOUE</t>
  </si>
  <si>
    <t>Krukovsky</t>
  </si>
  <si>
    <t xml:space="preserve">Aps has raised our bills enough they need to be stopped people on social security can't afford it </t>
  </si>
  <si>
    <t>9085230000</t>
  </si>
  <si>
    <t>Danica</t>
  </si>
  <si>
    <t>Utility prices are high enough and your profit margin is also high enough.</t>
  </si>
  <si>
    <t>3305306760</t>
  </si>
  <si>
    <t>Zickau</t>
  </si>
  <si>
    <t>l'm against the concept of consent price hikes</t>
  </si>
  <si>
    <t>Mitchell</t>
  </si>
  <si>
    <t>Electricity costs are already causing people to go without enough heat.</t>
  </si>
  <si>
    <t>Foutch</t>
  </si>
  <si>
    <t xml:space="preserve"> Everytime we turn around our rates go up. Enough is enough</t>
  </si>
  <si>
    <t>8037650000</t>
  </si>
  <si>
    <t>Young Town</t>
  </si>
  <si>
    <t>Against</t>
  </si>
  <si>
    <t>Rodger</t>
  </si>
  <si>
    <t>Electric need to come down on price the power plant in joe city need to be operation at 100 %</t>
  </si>
  <si>
    <t>Cassidy</t>
  </si>
  <si>
    <t>In my opinion APS rates are already crippling high for a lot of people</t>
  </si>
  <si>
    <t>8774200000</t>
  </si>
  <si>
    <t>Don't raise rates!</t>
  </si>
  <si>
    <t>4250340000</t>
  </si>
  <si>
    <t>Varga</t>
  </si>
  <si>
    <t>affordable access to power can be a matter of life and death.</t>
  </si>
  <si>
    <t>Bugenski</t>
  </si>
  <si>
    <t>I'm against the rate hike we are expensive enough</t>
  </si>
  <si>
    <t>3323516971</t>
  </si>
  <si>
    <t>We already pay for high electric bills why raise it? Why not help the community</t>
  </si>
  <si>
    <t>Brewer</t>
  </si>
  <si>
    <t>No price increase. APS is price gauging. They spent millions to keep solar energy out of Arizona.</t>
  </si>
  <si>
    <t>5904989349</t>
  </si>
  <si>
    <t>Tracy</t>
  </si>
  <si>
    <t>Stop this current rate hike</t>
  </si>
  <si>
    <t>7017440000</t>
  </si>
  <si>
    <t>Herrington</t>
  </si>
  <si>
    <t>Holly</t>
  </si>
  <si>
    <t>Aps is already making huge profits. Americans are already struggling. 14% would just hurt already struggling</t>
  </si>
  <si>
    <t>Masingale</t>
  </si>
  <si>
    <t>Drayanna</t>
  </si>
  <si>
    <t>Seniors; We are already down to remen daily if we want our Rx or no meds if we eat a roast.</t>
  </si>
  <si>
    <t>7135791485</t>
  </si>
  <si>
    <t>Terra</t>
  </si>
  <si>
    <t xml:space="preserve">I am against a rate increase for APS or SRP or any other peivate entity wishing to raise rates </t>
  </si>
  <si>
    <t>Rasor</t>
  </si>
  <si>
    <t>Against yet ANOTHER rate increase.</t>
  </si>
  <si>
    <t>7167141848</t>
  </si>
  <si>
    <t>Noe</t>
  </si>
  <si>
    <t>Kelli</t>
  </si>
  <si>
    <t>APS is receiving over millions of dollars and this price increase would negatively affect our families</t>
  </si>
  <si>
    <t>7837541989</t>
  </si>
  <si>
    <t>Guerena</t>
  </si>
  <si>
    <t>We don't need a rate increase. We pay enough as is. We have other things to pay for as well.</t>
  </si>
  <si>
    <t>4728431000</t>
  </si>
  <si>
    <t xml:space="preserve"> l'm a senior citizen on a fixed income and they are already profiting millions of dollars a year</t>
  </si>
  <si>
    <t>1584750000</t>
  </si>
  <si>
    <t>Jasmyne</t>
  </si>
  <si>
    <t xml:space="preserve">I am a single mom of 6.  I am already working two jobs just to handle the demand of the bills and other necessities </t>
  </si>
  <si>
    <t>Richardson</t>
  </si>
  <si>
    <t>This hike will hurt me and make me choose food or electricity. We do everything we can to conserve energy</t>
  </si>
  <si>
    <t>9393011000</t>
  </si>
  <si>
    <t>No MEP R3-47 ($239.72)</t>
  </si>
  <si>
    <t>Terrones</t>
  </si>
  <si>
    <t>Sharice</t>
  </si>
  <si>
    <t>I urge the commission and APS to consider alternative solutions that do not disproportionately impact customers</t>
  </si>
  <si>
    <t>8421411000</t>
  </si>
  <si>
    <t>Lederer</t>
  </si>
  <si>
    <t>Gordon</t>
  </si>
  <si>
    <t>Economy is barely catching up and we've just recently had a rate hike of 8% in 2024.</t>
  </si>
  <si>
    <t>Lawhead</t>
  </si>
  <si>
    <t>Jon</t>
  </si>
  <si>
    <t>l'll not pay more. l'II go off the grid</t>
  </si>
  <si>
    <t>1348524311</t>
  </si>
  <si>
    <t>No MEP R-BASIC ($73.44)</t>
  </si>
  <si>
    <t>Colcord</t>
  </si>
  <si>
    <t>APS already makes millions off of us. Corporate greed is a pox on society and the people deserve better.</t>
  </si>
  <si>
    <t>9329250000</t>
  </si>
  <si>
    <t>please take a minute or two and try to remember what it was like to get through the day when you don't have all the money in the world</t>
  </si>
  <si>
    <t>3529182418</t>
  </si>
  <si>
    <t>No MEP R-XS ($159.52)</t>
  </si>
  <si>
    <t>Rothanburg</t>
  </si>
  <si>
    <t>I have not turned my heat on this winter because I can't afford it. Yet their pockets and those of stockholders get fatter</t>
  </si>
  <si>
    <t>8128520000</t>
  </si>
  <si>
    <t>Sisco</t>
  </si>
  <si>
    <t>Christina</t>
  </si>
  <si>
    <t xml:space="preserve">My husband and I are retired. We can barely pay for our utilities, food, mortgage and meds. </t>
  </si>
  <si>
    <t>3918610000</t>
  </si>
  <si>
    <t>Perryman</t>
  </si>
  <si>
    <t xml:space="preserve">I also believe the higher cost of electricity is caused by electric car use. The country was not prepared for this at all. The grid is too small so APS... make prices higher. </t>
  </si>
  <si>
    <t>Saliba</t>
  </si>
  <si>
    <t>(APS) already profits millions, but they're trying to raise our prices even more</t>
  </si>
  <si>
    <t>8253626106</t>
  </si>
  <si>
    <t>Maribel</t>
  </si>
  <si>
    <t>Bills are already high I'm living pay check to pay check. Please don't raise the price up.</t>
  </si>
  <si>
    <t>You people keep raising prices having no concern for the customers and are only focused on your shareholders</t>
  </si>
  <si>
    <t>5811606019</t>
  </si>
  <si>
    <t>Sours</t>
  </si>
  <si>
    <t>No NetZero... Keep energy cheap and affordable and reliable!! Nobody wants blackouts when it's 114 at night time!</t>
  </si>
  <si>
    <t>4886048295</t>
  </si>
  <si>
    <t>Kasten</t>
  </si>
  <si>
    <t>Surpsie</t>
  </si>
  <si>
    <t>No other company in the world gets to increase rates over 20% in a years time. If you make record profits</t>
  </si>
  <si>
    <t>9312211000</t>
  </si>
  <si>
    <t>Hatfield</t>
  </si>
  <si>
    <t>lm a handicapped senior with medical problems and I live on sandi so I have no money for a increase</t>
  </si>
  <si>
    <t>1293888411</t>
  </si>
  <si>
    <t>Zazzi</t>
  </si>
  <si>
    <t>My APS bill is so high . I struggle every month just to get it paid.</t>
  </si>
  <si>
    <t>3587630000</t>
  </si>
  <si>
    <t>its CEO almost $15,000,00. Seriously. And we have to pay an increase on a $30,000 salary a year.</t>
  </si>
  <si>
    <t>Rates have risen every year up to 5% We even have solar and are still paying over 200.00</t>
  </si>
  <si>
    <t>7156731000</t>
  </si>
  <si>
    <t>They say the grid needs improvement and corporations pay little or nothing ; they need to pay for improvements not residential</t>
  </si>
  <si>
    <t>Shauna</t>
  </si>
  <si>
    <t>Please don't raise prices I'm already trying my hardest at 64 years old and working restaurants</t>
  </si>
  <si>
    <t>8951210000</t>
  </si>
  <si>
    <t>Viggiani</t>
  </si>
  <si>
    <t>Karineh</t>
  </si>
  <si>
    <t>My bill is already high and for single seniors that are living off of social security it will be almost impossible</t>
  </si>
  <si>
    <t>0820101000</t>
  </si>
  <si>
    <t>Stop the price increases let the utilities take it out of thief not consumers pockets</t>
  </si>
  <si>
    <t>Bell</t>
  </si>
  <si>
    <t>Esther</t>
  </si>
  <si>
    <t>Prices are too high already being on a fixed income it will hurt</t>
  </si>
  <si>
    <t>9614631000</t>
  </si>
  <si>
    <t>No MEP R3-47 ($97.32)</t>
  </si>
  <si>
    <t>Weiss</t>
  </si>
  <si>
    <t>Please stop raising our electric bills no one can afford this . Plus the big shots are getting very rich</t>
  </si>
  <si>
    <t>0395270000</t>
  </si>
  <si>
    <t xml:space="preserve">Bradley </t>
  </si>
  <si>
    <t xml:space="preserve">The company is already making so much and instead of working to reduce costs, they just go for price increases. </t>
  </si>
  <si>
    <t>0676710000</t>
  </si>
  <si>
    <t>Zavala</t>
  </si>
  <si>
    <t>everything is so expensive we can't no longer are able to support ourselves on the income we receive from social security</t>
  </si>
  <si>
    <t>4591520000</t>
  </si>
  <si>
    <t>Lorrie</t>
  </si>
  <si>
    <t>Do not support increase for APS Please!!!!!!</t>
  </si>
  <si>
    <t>9044440000</t>
  </si>
  <si>
    <t>Qiyan</t>
  </si>
  <si>
    <t>Bee</t>
  </si>
  <si>
    <t>APS NEEDS TO INVEST IN WINDMILL POWER SOURCE.</t>
  </si>
  <si>
    <t>Stewart</t>
  </si>
  <si>
    <t>They dent need a rate increase. They make millions in profits. Consumers deserve a rate cut!</t>
  </si>
  <si>
    <t>6124887026</t>
  </si>
  <si>
    <t>Wilkes</t>
  </si>
  <si>
    <t>Give us all a break! Prices way too high!</t>
  </si>
  <si>
    <t>Ong</t>
  </si>
  <si>
    <t>Please do not approve this, many of us are already living paycheck to paycheck for these billionaires to line their pockets</t>
  </si>
  <si>
    <t>7862501317</t>
  </si>
  <si>
    <t>La Fever</t>
  </si>
  <si>
    <t>we are already getting taxed a bunch I can varely afford the bill now</t>
  </si>
  <si>
    <t>In today's improved economy (just ask Trump) and with the help from AI, APS should be able to figure out how to keep expenses down</t>
  </si>
  <si>
    <t>Use least amount of electricity, best plan, hard time now paying my bill</t>
  </si>
  <si>
    <t>3334230000</t>
  </si>
  <si>
    <t>Jacobs</t>
  </si>
  <si>
    <t>Rodney</t>
  </si>
  <si>
    <t>They claim to be honest and trustworthy to help it's customers but at the same time increase utilities with a smile</t>
  </si>
  <si>
    <t>Marilyn</t>
  </si>
  <si>
    <t>The Corporation Commission has burdened the rate payers of Arizona for years.</t>
  </si>
  <si>
    <t>1190311000</t>
  </si>
  <si>
    <t>Heller Walstra</t>
  </si>
  <si>
    <t>MORE hardship than already has been committed, I want to use harsher language, but am restraining myself</t>
  </si>
  <si>
    <t>I am widowed, on a fixed income. My income dropped in half after my husband passed away. My income pretty much stays the same</t>
  </si>
  <si>
    <t>3107488641</t>
  </si>
  <si>
    <t>Paulden</t>
  </si>
  <si>
    <t xml:space="preserve">The current rates are high enough and any increase would put an unfair burden on those of us in the lower income bracket. </t>
  </si>
  <si>
    <t>4148665323</t>
  </si>
  <si>
    <t>Delores</t>
  </si>
  <si>
    <t>Senior on a fixed income with UTILITIES CONSTANTLY GOING UP..CAN WE PLEASE GET A BREAK...PLEASE.. THANK YOU AND</t>
  </si>
  <si>
    <t>3166080000</t>
  </si>
  <si>
    <t>Monroe</t>
  </si>
  <si>
    <t>Constance</t>
  </si>
  <si>
    <t>We are on a fixed income and can't afford this utilities hike. Our golden years is now fools gold .</t>
  </si>
  <si>
    <t>No hike needed</t>
  </si>
  <si>
    <t>Buglione</t>
  </si>
  <si>
    <t>Jerald</t>
  </si>
  <si>
    <t xml:space="preserve">Once the economy is better we can talk about it. Everything right now is in a up wing. So please wait. </t>
  </si>
  <si>
    <t>8641426607</t>
  </si>
  <si>
    <t>Mer</t>
  </si>
  <si>
    <t>watch and say maybe this one will break them. Then start raking in all your mafia corporation greed blood money</t>
  </si>
  <si>
    <t>Crow</t>
  </si>
  <si>
    <t>Becky</t>
  </si>
  <si>
    <t>It can mean children won't have heat, people could end up losing their kids because of this. Money only goes so far</t>
  </si>
  <si>
    <t>Cannon</t>
  </si>
  <si>
    <t>We the people cannot, for the most part, cannot afford a raise on our port bills. The rich are already rich</t>
  </si>
  <si>
    <t>No More Rate hikes. We are paying for their upgrades without them having to spend from their bottom line.</t>
  </si>
  <si>
    <t>7220682240</t>
  </si>
  <si>
    <t>Shirk</t>
  </si>
  <si>
    <t>There presently no justification for an increase in utility rates. The present profit level meets their operating needs</t>
  </si>
  <si>
    <t>5802184548</t>
  </si>
  <si>
    <t>Corinne</t>
  </si>
  <si>
    <t xml:space="preserve">Proces on everything has increased enough and wages for my work aren't changing with it. </t>
  </si>
  <si>
    <t>Beas</t>
  </si>
  <si>
    <t>Kristina</t>
  </si>
  <si>
    <t>increase in cost is hurting my family to the point we almost get our services shut down.</t>
  </si>
  <si>
    <t>Pittenridge</t>
  </si>
  <si>
    <t>My summer bills are already between $500-$600, I have solar (another $110) that APS buys for pennies on the dollar</t>
  </si>
  <si>
    <t>7106518603</t>
  </si>
  <si>
    <t>Denning</t>
  </si>
  <si>
    <t>Charlene (Mark)</t>
  </si>
  <si>
    <t>HAVE NO MONEY TO LIVE ON. An a.p.s. keep sucking and sucking more money out of us elderly and disable.</t>
  </si>
  <si>
    <t>2138130000</t>
  </si>
  <si>
    <t>May need information for additional assistance programs? COR filed ACC complaint 3/26/2025</t>
  </si>
  <si>
    <t>What we need is more reliable service before we ever discuss rate increases</t>
  </si>
  <si>
    <t>3853770000</t>
  </si>
  <si>
    <t>Multiple accts</t>
  </si>
  <si>
    <t>I'm begging you to freeze the price increase. We simply can't afford to be squeezed any more,</t>
  </si>
  <si>
    <t>0961541000</t>
  </si>
  <si>
    <t>Isis</t>
  </si>
  <si>
    <t>After the emergency heat warning is over, I shouldn't be paying off my light bill from a few months ago. It's sick to profit off of a necessity</t>
  </si>
  <si>
    <t>Fought</t>
  </si>
  <si>
    <t>Jacquelyn</t>
  </si>
  <si>
    <t xml:space="preserve">Should be rejected unless APS demonstrates that residential customers are not subsidizing private industrial development. Quotes AG... </t>
  </si>
  <si>
    <t>Weston</t>
  </si>
  <si>
    <t>Your CEO and CFO and all the top executives are making a fortune off of us! Please think of the average Arizonans.</t>
  </si>
  <si>
    <t>5044377438</t>
  </si>
  <si>
    <t>Caruso</t>
  </si>
  <si>
    <t xml:space="preserve">Aps can't keep my power going as it is and want to raise rates. When the service gets better then we can talk about the 15% insrease. </t>
  </si>
  <si>
    <t>Ellingson</t>
  </si>
  <si>
    <t xml:space="preserve"> It is already so expensive - when I lived in MN it was cheaper to heat a four story house in the middle of a snow storm!</t>
  </si>
  <si>
    <t>Please stop raising the utility rates</t>
  </si>
  <si>
    <t>0970302756</t>
  </si>
  <si>
    <t>Melvinna</t>
  </si>
  <si>
    <t xml:space="preserve"> it's time to humble oneself because God is coming to humble those who feel they are in control</t>
  </si>
  <si>
    <t>4067480384</t>
  </si>
  <si>
    <t>Escalera</t>
  </si>
  <si>
    <t>Arturo</t>
  </si>
  <si>
    <t>We are against any more rate hikes from APS</t>
  </si>
  <si>
    <t>Corrales</t>
  </si>
  <si>
    <t>please don't let asp rise the price on our electric bill and l don't find it fair</t>
  </si>
  <si>
    <t>2249152989</t>
  </si>
  <si>
    <t>No MEP R3-47 ($170.72)</t>
  </si>
  <si>
    <t>DeMarco</t>
  </si>
  <si>
    <t>As it is as a senior it is hard enough to pay the electric bill now without a raise. Enough is enough.</t>
  </si>
  <si>
    <t>2175301000</t>
  </si>
  <si>
    <t>Sluis</t>
  </si>
  <si>
    <t xml:space="preserve">I think the service fees are already very high. It is hard enough to pay the bills. </t>
  </si>
  <si>
    <t>7684247240</t>
  </si>
  <si>
    <t>Hopley</t>
  </si>
  <si>
    <t>The increases in utilities are ridiculous. Our income is fixed and does not increase</t>
  </si>
  <si>
    <t>Gier</t>
  </si>
  <si>
    <t>Sandye</t>
  </si>
  <si>
    <t>Pine</t>
  </si>
  <si>
    <t>Make it STOP please! Enough is enough. The burden is too much. These constant rate hikes are breaking us</t>
  </si>
  <si>
    <t>5031931000</t>
  </si>
  <si>
    <t>Not Eligible - Non-AMI Analog</t>
  </si>
  <si>
    <t>Boyle</t>
  </si>
  <si>
    <t>nothing to do with improving services. They are pricing consumers right out of living.</t>
  </si>
  <si>
    <t>7962260520</t>
  </si>
  <si>
    <t>Chaparro</t>
  </si>
  <si>
    <t>Giselle</t>
  </si>
  <si>
    <t>we are being censored and how none of the people we voted for care about the citizens of Arizona. May I remind them we pay their underseved salaries</t>
  </si>
  <si>
    <t>Gayle</t>
  </si>
  <si>
    <t>APS is raping the customers! The educated have not forgotten the APS &amp; Republicans scandal just a few years ago! It's time to stop the corruption.</t>
  </si>
  <si>
    <t>0457800000</t>
  </si>
  <si>
    <t>Luchini</t>
  </si>
  <si>
    <t>Lining the pockets of the people at the top, but if there's no substantial change in infrastructure, there's no reason to increase our bills</t>
  </si>
  <si>
    <t>2197965965</t>
  </si>
  <si>
    <t>Vago</t>
  </si>
  <si>
    <t>Most of us are going to have to pay around 50.00 more per month than 2 years ago. When is the public going to get a break.</t>
  </si>
  <si>
    <t>7653281462</t>
  </si>
  <si>
    <t>Chavira</t>
  </si>
  <si>
    <t>In this day &amp; age of changes to our atmosphere, climate shifting to Mid Central, Southwestern states in our Country.</t>
  </si>
  <si>
    <t>Temp</t>
  </si>
  <si>
    <t>People can't afford things as it is. Please don't raise rates on our utilities.</t>
  </si>
  <si>
    <t>Alcaraz</t>
  </si>
  <si>
    <t>get rid of all the unnecessary fees and reduce the salary of your executives and board of directors.</t>
  </si>
  <si>
    <t>Dannen</t>
  </si>
  <si>
    <t xml:space="preserve">APS needs to start cutting costs just like the rest of us... instead of running a poor business model and coming running to the Corporation Commission. </t>
  </si>
  <si>
    <t>7538194993</t>
  </si>
  <si>
    <t>Bapst</t>
  </si>
  <si>
    <t xml:space="preserve">I'm a single mom - I can't even afford internet let alone an increase in one of my normal costs. </t>
  </si>
  <si>
    <t>8063548465</t>
  </si>
  <si>
    <t>Gruhlke</t>
  </si>
  <si>
    <t>Why? Are energy prices not high enough? in an era of gauging, be less greedy.</t>
  </si>
  <si>
    <t>Brunton</t>
  </si>
  <si>
    <t>It's hard to keep up with the cost in the heat of Arizona let alone for the rest of the year. I have a family of four and it's really hard</t>
  </si>
  <si>
    <t>Nepley</t>
  </si>
  <si>
    <t>Claudia</t>
  </si>
  <si>
    <t>Best plan; solar panels, turn off electric from 4-7, affects my fibromyalgia.</t>
  </si>
  <si>
    <t>Ariel</t>
  </si>
  <si>
    <t>APS already profits millions off us. There is no other reason to raise rates other than greed.</t>
  </si>
  <si>
    <t>Stevens</t>
  </si>
  <si>
    <t>There is no need to raise consumer rates. The need is for APS to cut the fat!</t>
  </si>
  <si>
    <t>Kamb</t>
  </si>
  <si>
    <t>If the parent company is unable to run the utility without requiring huge profits from the public need, perhaps they should sell to the State of Arizona</t>
  </si>
  <si>
    <t>7376875088</t>
  </si>
  <si>
    <t>Mikles</t>
  </si>
  <si>
    <t>Merry</t>
  </si>
  <si>
    <t>I invested in solar and they still charge excessive amounts in the summer when it's high usage in Arizona</t>
  </si>
  <si>
    <t>9237480000</t>
  </si>
  <si>
    <t>company shouldn't be benefiting from their customers as everything is so expensive and we no longe can afford anything with social security income</t>
  </si>
  <si>
    <t>Griffin</t>
  </si>
  <si>
    <t>Robert S</t>
  </si>
  <si>
    <t>We are Directors if the Southwest Indian Missionary Association. APS classifies the chapel and SWIMA office accounts as commercial. We are NOT a store or a business</t>
  </si>
  <si>
    <t>Jorgensen</t>
  </si>
  <si>
    <t>Faith</t>
  </si>
  <si>
    <t>We already pay incredibly high energy prices in the summer. I do not approve of any increases in prices.</t>
  </si>
  <si>
    <t>3686490000</t>
  </si>
  <si>
    <t>Quit with the money grab and lower our bills, charge the data centers and other high users more</t>
  </si>
  <si>
    <t>https://docket.images.azcc.gov/E000049100.pdf</t>
  </si>
  <si>
    <t>Instead of raising utilities, why can't you find out how to recycle cables, copper, metal and use it like SRP. I am a retired... can't afford the rate hikes</t>
  </si>
  <si>
    <t>This seems to be a total disregard for the welfare of others with such a ridiculous increase. l'd like for someone, anyone to explain why</t>
  </si>
  <si>
    <t>My experience with APS has been defined by a total lack of transparency and poor service</t>
  </si>
  <si>
    <t>4132830000</t>
  </si>
  <si>
    <t>Gajon</t>
  </si>
  <si>
    <t>Anaisabel</t>
  </si>
  <si>
    <t>Everything is too expensive. It is impossible to afford electricity in this heat as is,</t>
  </si>
  <si>
    <t>0339264588</t>
  </si>
  <si>
    <t>No MEP R3-47 ($107.12)</t>
  </si>
  <si>
    <t>Please contact customer regarding plan options and additional assistance programs?</t>
  </si>
  <si>
    <t>Prices continue to go up as l currently sit in a power outage at 8:30pm which was scheduled with less than 24 hours notice.</t>
  </si>
  <si>
    <t>Pittman</t>
  </si>
  <si>
    <t>you've supported everything the federal government has done in the last year. Eat your costs, provide your public service</t>
  </si>
  <si>
    <t>9771481818</t>
  </si>
  <si>
    <t>The continual increase of pricing is hurting the community more than they know.</t>
  </si>
  <si>
    <t>STOP RAISING THE PRICES WE CANT KEEP DOING THIS</t>
  </si>
  <si>
    <t>Carmody</t>
  </si>
  <si>
    <t>I am 75 years old and living on a fixed income. APS is constantly raising the electric bill because of political nonsense</t>
  </si>
  <si>
    <t>Bright</t>
  </si>
  <si>
    <t>it is wrong to ask for more when their profits are through the roof. People are already struggling to pay their basic bills</t>
  </si>
  <si>
    <t xml:space="preserve">My fiance and I are raising two kids as a middle-class household, but with these increasing costs, it doesn't even feel like we are middle class anymore. </t>
  </si>
  <si>
    <t>1970970000</t>
  </si>
  <si>
    <t>Smouse</t>
  </si>
  <si>
    <t>Rachelle</t>
  </si>
  <si>
    <t xml:space="preserve"> I am a public school teacher and my pay cannot keep up. AC set to 80 degrees, got solar</t>
  </si>
  <si>
    <t>Crozier</t>
  </si>
  <si>
    <t xml:space="preserve">We are living paycheck to paycheck, but it's just over the limit for help with our utilities. We live in a small trailer in a RV park. </t>
  </si>
  <si>
    <t>1023732719</t>
  </si>
  <si>
    <t>Kolodinsky</t>
  </si>
  <si>
    <t>seeking to skirt the historical process of public comment and rate making procedure. Particularly in light of the fact that APS has not followed through with prior commitment to clean energy</t>
  </si>
  <si>
    <t>7279540000</t>
  </si>
  <si>
    <t>Alsbrook</t>
  </si>
  <si>
    <t>Darlene</t>
  </si>
  <si>
    <t>The  mental &amp; emotional impact of rising costs in each of these areas is contributing to the decline in mental health and directly to the riots &amp; civil unrest</t>
  </si>
  <si>
    <t>2697756949</t>
  </si>
  <si>
    <t>They already got a hike no more greed please.</t>
  </si>
  <si>
    <t>APS wants to increase cost of payback of line use on transmission of solar that they sell to others at a higer rate.</t>
  </si>
  <si>
    <t>1694440000</t>
  </si>
  <si>
    <t>Schrieber</t>
  </si>
  <si>
    <t>Silvia</t>
  </si>
  <si>
    <t>Cut back other places and do not charge residents one penny for the construction of data centers</t>
  </si>
  <si>
    <t>https://docket.images.azcc.gov/E000049142.pdf</t>
  </si>
  <si>
    <t>Tolmachoff</t>
  </si>
  <si>
    <t>As a mom helping to support a family of six, our electricity costs are already overwhelming</t>
  </si>
  <si>
    <t>2159340000</t>
  </si>
  <si>
    <t>Gorski</t>
  </si>
  <si>
    <t>Rates continue rising every year without any protection for consumers. We need help lowering rates.</t>
  </si>
  <si>
    <t>3984073978</t>
  </si>
  <si>
    <t>No MEP R3-47 ($106.33)</t>
  </si>
  <si>
    <t>Take care of an 82-year-old man you continuously increase these rates... will need assistance.</t>
  </si>
  <si>
    <t>asking ratepayers to absorb such a significant increase while the utility continues to receive guaranteed returns and protected profits-raises serious concerns about fairness,</t>
  </si>
  <si>
    <t>3846299964</t>
  </si>
  <si>
    <t>Ulreich-Power</t>
  </si>
  <si>
    <t>Siobhan</t>
  </si>
  <si>
    <t>Do NOT pass the bill to increase our costs. Encourage solar power - Arizona should be a leader in solar, not dragging our feet!</t>
  </si>
  <si>
    <t>8629551000</t>
  </si>
  <si>
    <t>If the ACC votes to allow APS to have ANY increase again, I can assure you not one Republican will be voted into office again. Y</t>
  </si>
  <si>
    <t>https://docket.images.azcc.gov/E000049112.pdf</t>
  </si>
  <si>
    <t xml:space="preserve"> I have emailed you numerous times stating how STRONGLY I AM AGAINST ANY RATE INCREASE FOR APS. I will be waiting for you to email me with the requested information. </t>
  </si>
  <si>
    <t>https://docket.images.azcc.gov/E000049115.pdf</t>
  </si>
  <si>
    <t>5494061000</t>
  </si>
  <si>
    <t>Rosalina</t>
  </si>
  <si>
    <t>A $700 light bill for a 1,691 square foot house is outrageous. Why should we need to depend on (assistance) programs...</t>
  </si>
  <si>
    <t>https://docket.images.azcc.gov/E000049211.pdf</t>
  </si>
  <si>
    <t>Haas</t>
  </si>
  <si>
    <t>(Rates) are well above inflation and need to be skated back. These large increases should be placed on all the large data centers</t>
  </si>
  <si>
    <t>Jan</t>
  </si>
  <si>
    <t>we just can not afford all these increases. Especially not when we see the savings being passed on to the large customers in terms of lower rates.</t>
  </si>
  <si>
    <t>https://docket.images.azcc.gov/E000049176.pdf</t>
  </si>
  <si>
    <t>Larson</t>
  </si>
  <si>
    <t>As someone who works n education, I am often home during the summer months and the ever rising costs for utilities sting quite a</t>
  </si>
  <si>
    <t>Thayer</t>
  </si>
  <si>
    <t>No on APS rate increase until they stop all advertising at the Phoenix Suns! Do they have a suite there? No to data centers</t>
  </si>
  <si>
    <t>Rosas</t>
  </si>
  <si>
    <t>Snowflake</t>
  </si>
  <si>
    <t>Prioritize affordability and bill stability for residential and rural customers Reliable electricity is essential, but it must remain affordable.</t>
  </si>
  <si>
    <t>https://docket.images.azcc.gov/E000049239.pdf</t>
  </si>
  <si>
    <t>Bright Future?</t>
  </si>
  <si>
    <t>I propose aperformance-based interconnection standard centered on Industrial Thermal Symbiosis</t>
  </si>
  <si>
    <t>https://docket.images.azcc.gov/E000049228.pdf</t>
  </si>
  <si>
    <t>Wederski</t>
  </si>
  <si>
    <t>Lonnie and Billie</t>
  </si>
  <si>
    <t>I'm writing to request a no vot on the FRM which would allow APS free reign to raise rates</t>
  </si>
  <si>
    <t>https://docket.images.azcc.gov/E000049260.pdf</t>
  </si>
  <si>
    <t>Maura</t>
  </si>
  <si>
    <t>*Spanish comments*</t>
  </si>
  <si>
    <t>As a military family with a son, we strongly oppose this rate increase. It is not fair that regular families are being charged more while big corp get discounts</t>
  </si>
  <si>
    <t>No MEP R3-47 ($27.99)</t>
  </si>
  <si>
    <t>Legrand</t>
  </si>
  <si>
    <t>Kareem</t>
  </si>
  <si>
    <t xml:space="preserve">APS is taking advantage of the Arizona weather and it is hurting the citizens who have no choice in the matter. </t>
  </si>
  <si>
    <t>Ostreicher</t>
  </si>
  <si>
    <t>As a single father of 2 kids, a 14% rate increase in just over a year is ridiculous</t>
  </si>
  <si>
    <t>https://docket.images.azcc.gov/E000049265.pdf</t>
  </si>
  <si>
    <t>COR is linked to multiple accounts</t>
  </si>
  <si>
    <t>Keneally</t>
  </si>
  <si>
    <t xml:space="preserve">I am fortunate enough to be able to afford any proposed rate increases, but that doesn't mean that I think its right. </t>
  </si>
  <si>
    <t>They are taking money from their customers... while donating to charities and advertising on TV</t>
  </si>
  <si>
    <t>https://docket.images.azcc.gov/E000049336.pdf</t>
  </si>
  <si>
    <t>I been living in my place for 24 years. I get low-income discounts and equalizer. I will start setting my AC to 85.</t>
  </si>
  <si>
    <t>Gerkin</t>
  </si>
  <si>
    <t>$240 extra per year for the average household. I am retired and on a fixed income, so I and many others like me, cannot afford</t>
  </si>
  <si>
    <t>Graham</t>
  </si>
  <si>
    <t>86 y/o, lives alone, Social Security Cost of Living 2.8 percent</t>
  </si>
  <si>
    <t>https://docket.images.azcc.gov/E000049357.pdf</t>
  </si>
  <si>
    <t>Litke</t>
  </si>
  <si>
    <t>Senior living in subsidized housing on a low income</t>
  </si>
  <si>
    <t>Valladares</t>
  </si>
  <si>
    <t>Data Centers are ready to work with the water and electricity.</t>
  </si>
  <si>
    <t>No MEP R3-47 ($248.22)</t>
  </si>
  <si>
    <t>SPANISH PREFERRED CUSTOMER - Please contact customer regarding plan options</t>
  </si>
  <si>
    <t xml:space="preserve">Relying solely on our Social Security benefits... we are already struggling with the rising costs of living. </t>
  </si>
  <si>
    <t>Varanauski</t>
  </si>
  <si>
    <t>Joan</t>
  </si>
  <si>
    <t>A nearly 15% increase on my utility bill is an excessive financial burden that l simply cannot afford.</t>
  </si>
  <si>
    <t>Sun City Home Owners Association</t>
  </si>
  <si>
    <t>Unknow</t>
  </si>
  <si>
    <t>SCHOA does formally oppose granting this proposed APS increase as we believe it is unfair, unjustified, and harmful to nearly 40k residents</t>
  </si>
  <si>
    <t>Rosalva</t>
  </si>
  <si>
    <t>If APS really cares about its customers look into blocking these data centers from moving to Arizona</t>
  </si>
  <si>
    <t>No MEP R3-47 ($64.75)</t>
  </si>
  <si>
    <t>Ender</t>
  </si>
  <si>
    <t xml:space="preserve">Working citizens should not have to have to have an increase on an already rising cost of living. Data centers are the ones that are taking so much energy. </t>
  </si>
  <si>
    <t>Shirreff</t>
  </si>
  <si>
    <t>Wanda</t>
  </si>
  <si>
    <t>large commercial and business customers are not bearing a greater share of this increase. Protect residential customers</t>
  </si>
  <si>
    <t>G</t>
  </si>
  <si>
    <t>Stan</t>
  </si>
  <si>
    <t>Uknown</t>
  </si>
  <si>
    <t>Concerned with the rate change from Tier 1 to Tier 2 and provides transcript of the chat with aps</t>
  </si>
  <si>
    <t>Malter</t>
  </si>
  <si>
    <t>Rosalie</t>
  </si>
  <si>
    <t>APS greed is causing suffering among people like us 80+ aged seniors.</t>
  </si>
  <si>
    <t>Hilliard</t>
  </si>
  <si>
    <t>I am concerned about the economic impact of the proposed 13.99% increase on Navajo County residential and business customers</t>
  </si>
  <si>
    <t>https://docket.images.azcc.gov/E000049383.pdf</t>
  </si>
  <si>
    <t>Sherman</t>
  </si>
  <si>
    <t>express my concern with APS's proposed rate increases, particularl the solar Grid Access Charge alongside the continued erosion of affordability for Arizona families.</t>
  </si>
  <si>
    <t>Conner</t>
  </si>
  <si>
    <t xml:space="preserve">I am a retiree on a fixed income and am very concerned about the continuing raising costs of living. </t>
  </si>
  <si>
    <t>Snapp</t>
  </si>
  <si>
    <t>I have solar and believe this should not raise my rates. I believe more investment in solar would benefit APS.</t>
  </si>
  <si>
    <t>Pappin</t>
  </si>
  <si>
    <t>My wife and I are retired and our only income is from My Navy Retirement and Social Security Benefits. You should limit the rate increase to the COLA increase.</t>
  </si>
  <si>
    <t>https://docket.images.azcc.gov/E000049378.pdf</t>
  </si>
  <si>
    <t>Stoop</t>
  </si>
  <si>
    <t>I would like to know if The ACC is requiring APS to keep Four Corners Online?</t>
  </si>
  <si>
    <t>https://docket.images.azcc.gov/E000049379.pdf</t>
  </si>
  <si>
    <t>Bean</t>
  </si>
  <si>
    <t>I dent think APS needs another 14% rate hike people are barely making ends meet.</t>
  </si>
  <si>
    <t>No MEP R3-47 ($326.85)</t>
  </si>
  <si>
    <t>Docketed 2x Please contact customer regarding plan options and additional assistance programs?</t>
  </si>
  <si>
    <t>Please stop letting APS having constant rate hikes! I leased solar panels to reduce my energy costs.</t>
  </si>
  <si>
    <t>not all that long ago that APS did not need to have an "on peak/offpeak" ... renewable energy sources are driving up costs.</t>
  </si>
  <si>
    <t>https://docket.images.azcc.gov/E000049400.pdf</t>
  </si>
  <si>
    <t>We had a rateincrease of 8% in 2024 another 8% increase in 2025 and now you expect that we should allow another increase of 14%</t>
  </si>
  <si>
    <t>January, my demand charge was $240.55. My total bill was $513.80. I am paying nearly as much for one hour of peak demand per month as I am for all 30 days</t>
  </si>
  <si>
    <t>Little</t>
  </si>
  <si>
    <t>Despite ratepayers using virtually the same or fewer KWHs, we are now being asked AGAIN to accommodate a rate increase. Let those that use the most, pay the most.</t>
  </si>
  <si>
    <t>https://docket.images.azcc.gov/E000049387.pdf</t>
  </si>
  <si>
    <t>St Clair</t>
  </si>
  <si>
    <t>APS rate increase. When is enough, enough!?!? No more rate increases. It's outrageous!</t>
  </si>
  <si>
    <t>Bowman</t>
  </si>
  <si>
    <t>My husband and I are both nurses and we have one child. Even living modestly with two professional degrees and employment, we struggle to keep up</t>
  </si>
  <si>
    <t>Noyes</t>
  </si>
  <si>
    <t>Wage growth has not caught up to the rising costs of living, especially here in Arizona</t>
  </si>
  <si>
    <t>Jack</t>
  </si>
  <si>
    <t>I am a native born Arizonan and always believed APS was here to serve the people who lived in Arizona.But I no longer feel that way.</t>
  </si>
  <si>
    <t>2 locations are AMI Opt Out</t>
  </si>
  <si>
    <t>Fleet</t>
  </si>
  <si>
    <t>October 2023 $67 credit, October 2024 $71 credit, October 2025 $81 bill</t>
  </si>
  <si>
    <t>Solar United Neighbors</t>
  </si>
  <si>
    <t>Organizational Comment Opposing APS's Proposed Grid Access Charge, Excessive ROE, and Unaffordable Rate Increase</t>
  </si>
  <si>
    <t>https://docket.images.azcc.gov/E000049395.pdf</t>
  </si>
  <si>
    <t>N/A</t>
  </si>
  <si>
    <t>Please vote against the APS rate increase application and any other increase application APS applies for</t>
  </si>
  <si>
    <t>https://docket.images.azcc.gov/E000049441.pdf</t>
  </si>
  <si>
    <t>As a senior citizen the rate increase will impact me but I do have an income. My COLA from Social Security was 2.8% this past year.</t>
  </si>
  <si>
    <t>Near retirement and invested in 34 solar panels to cover our long-term energy needs. Do not yet cover our full electrical costs and proposed increase will exacerbate this issue.</t>
  </si>
  <si>
    <t>https://docket.images.azcc.gov/E000049487.pdf</t>
  </si>
  <si>
    <t>No MEP R3-47 ($14.60)</t>
  </si>
  <si>
    <t>Furber</t>
  </si>
  <si>
    <t>Sharyn</t>
  </si>
  <si>
    <t>notes job listing for 'Leader Creative Services' and the millions of $ it will take to change the logo</t>
  </si>
  <si>
    <t>Wilkening</t>
  </si>
  <si>
    <t xml:space="preserve">They are agreeing to provide expensive gas generated power to hyperscale data centers. 2024 there were 608 heat related deaths. The number will only keep increasing. </t>
  </si>
  <si>
    <t>Sapundzhiev</t>
  </si>
  <si>
    <t>ILiya</t>
  </si>
  <si>
    <t xml:space="preserve">I am an Arizona resident, a small business owner, and a solar customer since 2020. I am writing to strongly oppose. </t>
  </si>
  <si>
    <t>Dallam</t>
  </si>
  <si>
    <t>Enough with these unnecessary rate increases! You folks campaigned on the promise of keeping rates reasonable, what happened to that?</t>
  </si>
  <si>
    <t>Lasky</t>
  </si>
  <si>
    <t>we feel ( solar people) the 50k we spent to provide additional power to the grid is a waisted money</t>
  </si>
  <si>
    <t>We don't need rate hikes, we need more investment in solar and other lower cost forms of power.</t>
  </si>
  <si>
    <t>Lipson</t>
  </si>
  <si>
    <t>Leonard</t>
  </si>
  <si>
    <t>Solar panels worth les Retired on fixed income Paying enough now.</t>
  </si>
  <si>
    <t>even with solar panels, I have to still pay APS bc of their rate increase through the years</t>
  </si>
  <si>
    <t>Meek</t>
  </si>
  <si>
    <t>concern with rate increases, particularly the solar Grid Access Charge alongside the continued erosion of affordability for AZ families</t>
  </si>
  <si>
    <t>Osborn</t>
  </si>
  <si>
    <t>Dwayne</t>
  </si>
  <si>
    <t xml:space="preserve">fixed income, with solar, do not support any increase in APS rate increases while continuing to set record profits. </t>
  </si>
  <si>
    <t>Moreno</t>
  </si>
  <si>
    <t>Energy should be free! Tesla showed us that already. Stop being greedy. Stop stop stop you greedy miserable pople whoever you are</t>
  </si>
  <si>
    <t>No MEP R3-47 ($73.15)</t>
  </si>
  <si>
    <t>Hedenreich</t>
  </si>
  <si>
    <t>Flagstff</t>
  </si>
  <si>
    <t>I strongly request that permission to raise rates for APS be denied for the common good.</t>
  </si>
  <si>
    <t>Ceballos</t>
  </si>
  <si>
    <t>I am an elderly citizen of 86 yrs. I have had increasing APS bills over the years making it harder.</t>
  </si>
  <si>
    <t>No MEP R3-47 ($142.29)</t>
  </si>
  <si>
    <t>Flgastaff</t>
  </si>
  <si>
    <t>Against further utillity rate increases. More importantly, I am against the limitations you are putting on Wind and Solar Power in Arizona.</t>
  </si>
  <si>
    <t>Armstrong</t>
  </si>
  <si>
    <t>It is criminal to ignore cheaper clearn energy like solar and wind. APS would not need to even consider a rate hike if they stopped ignoring clean</t>
  </si>
  <si>
    <t>Families across this state already struggle to pay their mortgages, cover their bills and make ends meet</t>
  </si>
  <si>
    <t>Galloway</t>
  </si>
  <si>
    <t>Electricity bills are becoming profoundly unaffordable for everyday Arizona citizens.</t>
  </si>
  <si>
    <t>Newell</t>
  </si>
  <si>
    <t>Shawn</t>
  </si>
  <si>
    <t>when APS customers like me are struggling with affordability, APS should not be guaranteed higher profits</t>
  </si>
  <si>
    <t>Budde</t>
  </si>
  <si>
    <t>How about APS stop doing commercials using the money they charge us customers for</t>
  </si>
  <si>
    <t>Chaikin</t>
  </si>
  <si>
    <t>Peggy</t>
  </si>
  <si>
    <t>As a senior citizen living on retirement income and savings, I am strongly against the proposed APS rate hike and Solar Grid Access Charge.</t>
  </si>
  <si>
    <t xml:space="preserve">Who let this happen? The correction in billing method should have been planned for </t>
  </si>
  <si>
    <t>No MEP R3-47 ($216.81)</t>
  </si>
  <si>
    <t>l am a retired postal employee and on a pension. I am sick and tired of APS ripping off its Customers</t>
  </si>
  <si>
    <t>APS has very high profits. They don't need yet another increase.</t>
  </si>
  <si>
    <t>I do not approve of allowing APS any new side steps to any rate hikes that by pass or skip the commission by the FRM</t>
  </si>
  <si>
    <t>No MEP R3-47 ($430.61)</t>
  </si>
  <si>
    <t>Sun City West Property Owners and Residents Association</t>
  </si>
  <si>
    <t>continued utility rate increases have become unsustainablew for many, Rate increases must also be dligently reviewed by RUCO without any shortcuts.</t>
  </si>
  <si>
    <t>https://docket.images.azcc.gov/E000049488.pdf</t>
  </si>
  <si>
    <t>Ybarra</t>
  </si>
  <si>
    <t>David C (or C David)</t>
  </si>
  <si>
    <t>Advanced Customer Service Advisor at APS for 2 years</t>
  </si>
  <si>
    <t>https://docket.images.azcc.gov/E000049493.pdf</t>
  </si>
  <si>
    <t>Wesolowski</t>
  </si>
  <si>
    <t>Spent over 140k on solar to negate the costs of my electricity bills and used to actually get credit on my bill each month. 2025 I never once had a month where I got a credit</t>
  </si>
  <si>
    <t>Pratt</t>
  </si>
  <si>
    <t>As a retiree, fixed income, invested in solar, prior APS rate increase negated much of my actual financial benefit and anticipated return on investment.</t>
  </si>
  <si>
    <t>Hawthorne</t>
  </si>
  <si>
    <t>Jewell</t>
  </si>
  <si>
    <t>Three rate hikes in the past three years. And to make matters worse, the utility's proposed "formula rates" would allow them to increase annually</t>
  </si>
  <si>
    <t>reject the rate increase and not allow any other tax or fee APS throws on the monthly bill.</t>
  </si>
  <si>
    <t>No MEP R3-47 ($53.67)</t>
  </si>
  <si>
    <t>Docketed 2x, Participated in public comment session on 2/18</t>
  </si>
  <si>
    <t>Conn</t>
  </si>
  <si>
    <t>IM on a fixed income and another increase. We'II be taking food off my table simple as that</t>
  </si>
  <si>
    <t>McClellan</t>
  </si>
  <si>
    <t xml:space="preserve">I am putting in more energy to their grid with my solar panels then I take out and yet they have still found back door methods to take money from  me. </t>
  </si>
  <si>
    <t>Soto</t>
  </si>
  <si>
    <t xml:space="preserve">Ratepayers should not be asked to keep footing the bill for old, expensive coal plant when cleaner, cheaper options are available. </t>
  </si>
  <si>
    <t>we need to stop this because we cannot afford these rate hikes. We are on fixed incomes.</t>
  </si>
  <si>
    <t>Ayyar</t>
  </si>
  <si>
    <t>Adarsh</t>
  </si>
  <si>
    <t>concern with APS's proposed rate increases, particularly the solar Grid Access Charge</t>
  </si>
  <si>
    <t>R-TOUE47</t>
  </si>
  <si>
    <t>Fero</t>
  </si>
  <si>
    <t>example of the already unfair and irrational penalties placed on Solar contributors to the grid.</t>
  </si>
  <si>
    <t>No MEP R3-47 ($81.32)</t>
  </si>
  <si>
    <t>Rings</t>
  </si>
  <si>
    <t xml:space="preserve">After rate increases in both 2023 and 2024, this is unconscionable, especially when APS profits last year were over $6 million. </t>
  </si>
  <si>
    <t>I am presenting this public comment on behalf of Poder Latinx</t>
  </si>
  <si>
    <t>https://docket.images.azcc.gov/E000049524.pdf</t>
  </si>
  <si>
    <t>Participated in public comment session on 2/18</t>
  </si>
  <si>
    <t>Lyall</t>
  </si>
  <si>
    <t xml:space="preserve">I am an 80 y/o low income senior citizen of Prescott Valley, AZ. I have trouble making ends meet on my Social Security income. </t>
  </si>
  <si>
    <t>Chuppa</t>
  </si>
  <si>
    <t xml:space="preserve">SRP is a not-for-profit entity... and works just fine. In cotnrast, APS is focused on making huge profits for inevestors and executieves. </t>
  </si>
  <si>
    <t>No MEP R3-47 ($319.00)</t>
  </si>
  <si>
    <t>Fine</t>
  </si>
  <si>
    <t>Jovita</t>
  </si>
  <si>
    <t>installed solar on my house a few years ago, which I appreciate having, but already APS uses most of the energy</t>
  </si>
  <si>
    <t>Tyquiengco Wilson</t>
  </si>
  <si>
    <t>Janae</t>
  </si>
  <si>
    <t>Frewer Jr.</t>
  </si>
  <si>
    <t xml:space="preserve">between the three of us, we're juggling four jobs. We work hard, pay our bills on time, and do everything America says one must do to afford a good life. Yet somehow, we're barely keeping our heads above water. </t>
  </si>
  <si>
    <t>Daily</t>
  </si>
  <si>
    <t xml:space="preserve">I think that a 14 % rate increase is a little to much to ask for all at once. Our COLA increase this year doesn't come clos to that. </t>
  </si>
  <si>
    <t>Bihary</t>
  </si>
  <si>
    <t>Judith</t>
  </si>
  <si>
    <t xml:space="preserve">We need some assurances that rate hikes will have public oversight, so future rate hikes will not be easy for APS to put through. </t>
  </si>
  <si>
    <t xml:space="preserve">considering their profits, and that they should be charging the data centers the appropriate rates they will consume, I believe they need to give consideration to permanent residents first, partial residents secondary and then businesses. </t>
  </si>
  <si>
    <t>Stallcop</t>
  </si>
  <si>
    <t>I vehemently oppose the "formula rates," which would allow the utility to fast-track rate increases every year</t>
  </si>
  <si>
    <t>Finch</t>
  </si>
  <si>
    <t>Jessie K</t>
  </si>
  <si>
    <t>Please stop charging the people of Arizona TO MAKE A PROFIT on what should be a utility FOR THE PEOPLE.</t>
  </si>
  <si>
    <t>No MEP R3-47 ($56.37)</t>
  </si>
  <si>
    <t>Sturnacle</t>
  </si>
  <si>
    <t>Arwin</t>
  </si>
  <si>
    <t>Requesting that Arizona Corporation Commission determine the relation of APS to Pinnacle West Capital Corporation</t>
  </si>
  <si>
    <t>AMI Opt-Out</t>
  </si>
  <si>
    <t xml:space="preserve">Member of Sun City PORA, with solar. </t>
  </si>
  <si>
    <t>https://docket.images.azcc.gov/0000216207.pdf</t>
  </si>
  <si>
    <t>No MEP R3-47 ($15.82)</t>
  </si>
  <si>
    <t>Opposes nuclear</t>
  </si>
  <si>
    <t>https://docket.images.azcc.gov/0000216208.pdf</t>
  </si>
  <si>
    <t>Hakari</t>
  </si>
  <si>
    <t>Lana</t>
  </si>
  <si>
    <t>The considerable increase of 14% would disproportionately affect fixed-income customers, such as myself</t>
  </si>
  <si>
    <t>https://docket.images.azcc.gov/E000049528.pdf</t>
  </si>
  <si>
    <t>Reeese</t>
  </si>
  <si>
    <t>Mykel</t>
  </si>
  <si>
    <t>The company is already profitable and the fact that they are demanding a rate increase is a great burden to folks like me who are on fixed incomes.</t>
  </si>
  <si>
    <t xml:space="preserve">I feel that APS is unfairly raising bills on homeowners without requiring the new chip manufacturers and the housing developers to pay their share of the rate increases. </t>
  </si>
  <si>
    <t>Steinert</t>
  </si>
  <si>
    <t>APS residential power rates have already increased far beyond those of SRP and I can see no good reason for this except a thirst for excessive profits</t>
  </si>
  <si>
    <t>Brame</t>
  </si>
  <si>
    <t>conern with APS's proposed rate increases, particularly the solar Grid Access Charge</t>
  </si>
  <si>
    <t>https://docket.images.azcc.gov/E000049547.pdf</t>
  </si>
  <si>
    <t>NO</t>
  </si>
  <si>
    <t>Kerata</t>
  </si>
  <si>
    <t>Pleas consider supporting solar power, solar tax credits and infrastructure so these electricity rates start to Go Down instead of continually UP.</t>
  </si>
  <si>
    <t>APS argues this increase is necessary for grid reliability, the burden is being unfairly placed on residential households</t>
  </si>
  <si>
    <t>Brianne</t>
  </si>
  <si>
    <t xml:space="preserve">Representing Arizona Alliance for Retired Americans (AARA) advocates for retirees and seniors to ensure social and economic justice after a lifetime of work. </t>
  </si>
  <si>
    <t>Engelman</t>
  </si>
  <si>
    <t xml:space="preserve">try living in the AZ heat with minimal air conditioning such as this. Try it, and I can assure you, you would never approve a rate hike. </t>
  </si>
  <si>
    <t>https://docket.images.azcc.gov/E000049561.pdf</t>
  </si>
  <si>
    <t>Hardin</t>
  </si>
  <si>
    <t xml:space="preserve">Is it possible for the company to have multi-tiered rates, considering that some power usage is for "WANTS" rather than "NEEDS". </t>
  </si>
  <si>
    <t>Arnon</t>
  </si>
  <si>
    <t xml:space="preserve">Oppose rate increase, FRM, APS will not allow solar customer to operate stand-alone facilities, deny Grid Access Charge, abandoned their clean energy goals. </t>
  </si>
  <si>
    <t>https://docket.images.azcc.gov/E000049585.pdf</t>
  </si>
  <si>
    <t>No MEP R3-47 ($310.50)</t>
  </si>
  <si>
    <t xml:space="preserve">They've made big profits and had several recent rate increases. </t>
  </si>
  <si>
    <t>https://docket.images.azcc.gov/E000049618.pdf</t>
  </si>
  <si>
    <t>Stambaugh</t>
  </si>
  <si>
    <t>Alice</t>
  </si>
  <si>
    <t>APS does NOT need to make life harder for the masses and more lucrative for shareholders,</t>
  </si>
  <si>
    <t>Outcome</t>
  </si>
  <si>
    <t/>
  </si>
  <si>
    <t>Joaquin</t>
  </si>
  <si>
    <t>YES</t>
  </si>
  <si>
    <t>CLOSED ACCT 07/09/2015</t>
  </si>
  <si>
    <t>SOLAR ACCT</t>
  </si>
  <si>
    <t>PHONE DISCONNECTED / NOT ON BEST PLAN</t>
  </si>
  <si>
    <t>DID NOT WANT TO TALK / NOT ON BEST RATE PLAN</t>
  </si>
  <si>
    <t>VERY UP SET ABOUT THE RATES POSSIBLY GOING UP</t>
  </si>
  <si>
    <t>Rate Change</t>
  </si>
  <si>
    <t>ON PA, DID ADVISE BB AFTER PA IS DONE</t>
  </si>
  <si>
    <t>BETTER RATE TIME OF USE WITH DEMAND $1046</t>
  </si>
  <si>
    <t>E3/E4</t>
  </si>
  <si>
    <t>General Education</t>
  </si>
  <si>
    <t>Other (fill in)</t>
  </si>
  <si>
    <t>solar acct////WILL CB TO REVIEW OPTION TO LOWER BILL</t>
  </si>
  <si>
    <t>ON THE BEST PLAN</t>
  </si>
  <si>
    <t>SOLAR</t>
  </si>
  <si>
    <t>SOLAR, PA</t>
  </si>
  <si>
    <t>PA, ON BEST RATE PLAN</t>
  </si>
  <si>
    <t>GAVE ASSISTANCE NUMBERS AND ADVISED TO APPLY FOR E-3</t>
  </si>
  <si>
    <t>SAID SHE DID SIGN PETITION</t>
  </si>
  <si>
    <t># ON ACCT NO GOOD CALLED 12/6/25</t>
  </si>
  <si>
    <t>Updated/New PA</t>
  </si>
  <si>
    <t>Utility Assistance</t>
  </si>
  <si>
    <t>VMs</t>
  </si>
  <si>
    <t>Priority</t>
  </si>
  <si>
    <t>Associate</t>
  </si>
  <si>
    <t>Remaining</t>
  </si>
  <si>
    <t>Avg Calls/Week</t>
  </si>
  <si>
    <t>Spoke With</t>
  </si>
  <si>
    <t>ASSOCIATE PERFORMANCE</t>
  </si>
  <si>
    <t>Calls Made</t>
  </si>
  <si>
    <t>Contacts</t>
  </si>
  <si>
    <t>CALL OUTCOMES</t>
  </si>
  <si>
    <t>Count</t>
  </si>
  <si>
    <t>Other</t>
  </si>
  <si>
    <t>VM - No Answer</t>
  </si>
  <si>
    <t>Week Of</t>
  </si>
  <si>
    <t>Total Calls</t>
  </si>
  <si>
    <t>Total</t>
  </si>
  <si>
    <t>ACT 0644019886</t>
  </si>
  <si>
    <t>SENT E3</t>
  </si>
  <si>
    <t>DID TALK PHILLIPS,CRYSTAL OFFER REVIEW ACCT</t>
  </si>
  <si>
    <t>CORE ON BB PROGRAM</t>
  </si>
  <si>
    <t>LEFT VOICE MESSAGE</t>
  </si>
  <si>
    <t>RATE CHANGE</t>
  </si>
  <si>
    <t>BETTER RATE TIME OF USE WITH DEMAND</t>
  </si>
  <si>
    <t>WANTED INFO DATA CENTER RATES</t>
  </si>
  <si>
    <t>VOICE MAIL WAS FULL</t>
  </si>
  <si>
    <t>VOICE MESSAGE</t>
  </si>
  <si>
    <t>TIME OF USE WITH DEMAND BEST PLAN</t>
  </si>
  <si>
    <t>sent claim form to fill out updated contact#</t>
  </si>
  <si>
    <t>LEFT VOICE MAIL</t>
  </si>
  <si>
    <t>DID TALK TO CORE OFFER TO REVIEW ACCT</t>
  </si>
  <si>
    <t>IS ON DEMAND &amp; IS VERY HIGH</t>
  </si>
  <si>
    <t>NUMBER OUT OF SERVICE</t>
  </si>
  <si>
    <t>5372102528</t>
  </si>
  <si>
    <t>4300170000</t>
  </si>
  <si>
    <t>0356005964</t>
  </si>
  <si>
    <t>6846061000</t>
  </si>
  <si>
    <t>4573855715</t>
  </si>
  <si>
    <t>0509660000</t>
  </si>
  <si>
    <t>2947560540</t>
  </si>
  <si>
    <t>3110727023</t>
  </si>
  <si>
    <t>9532631000</t>
  </si>
  <si>
    <t>0310740000</t>
  </si>
  <si>
    <t>3049940000</t>
  </si>
  <si>
    <t>2779220471</t>
  </si>
  <si>
    <t>7035930772</t>
  </si>
  <si>
    <t>4014511000</t>
  </si>
  <si>
    <t>5131511000</t>
  </si>
  <si>
    <t>0487982450</t>
  </si>
  <si>
    <t>7835950000</t>
  </si>
  <si>
    <t>4997806847</t>
  </si>
  <si>
    <t>2166343167</t>
  </si>
  <si>
    <t>6907731000</t>
  </si>
  <si>
    <t>0555026441</t>
  </si>
  <si>
    <t>3305713016</t>
  </si>
  <si>
    <t>5718650660</t>
  </si>
  <si>
    <t>9800380431</t>
  </si>
  <si>
    <t>9660984623</t>
  </si>
  <si>
    <t>5278430000</t>
  </si>
  <si>
    <t>6940323949</t>
  </si>
  <si>
    <t>2290331000</t>
  </si>
  <si>
    <t>4333270000</t>
  </si>
  <si>
    <t>4789794091</t>
  </si>
  <si>
    <t>5582530000</t>
  </si>
  <si>
    <t>2697623904</t>
  </si>
  <si>
    <t>7036097429</t>
  </si>
  <si>
    <t>0947385737</t>
  </si>
  <si>
    <t>0189241000</t>
  </si>
  <si>
    <t>9504901000</t>
  </si>
  <si>
    <t>9467156300</t>
  </si>
  <si>
    <t>1876163520</t>
  </si>
  <si>
    <t>0901196121</t>
  </si>
  <si>
    <t>0363441000</t>
  </si>
  <si>
    <t>9986232210</t>
  </si>
  <si>
    <t>4586872061</t>
  </si>
  <si>
    <t>5137610000</t>
  </si>
  <si>
    <t>5161972296</t>
  </si>
  <si>
    <t>6017698985</t>
  </si>
  <si>
    <t>6228956660</t>
  </si>
  <si>
    <t>9746250000</t>
  </si>
  <si>
    <t>4022467820</t>
  </si>
  <si>
    <t>3852813845</t>
  </si>
  <si>
    <t>7042751772</t>
  </si>
  <si>
    <t>4096651000</t>
  </si>
  <si>
    <t>5127241787</t>
  </si>
  <si>
    <t>4864054917</t>
  </si>
  <si>
    <t>0228851000</t>
  </si>
  <si>
    <t>7370951000</t>
  </si>
  <si>
    <t>5604121000</t>
  </si>
  <si>
    <t>5983450000</t>
  </si>
  <si>
    <t>3128248912</t>
  </si>
  <si>
    <t>2655378250</t>
  </si>
  <si>
    <t>2649331000</t>
  </si>
  <si>
    <t>8598239302</t>
  </si>
  <si>
    <t>5485214420</t>
  </si>
  <si>
    <t>3850123644</t>
  </si>
  <si>
    <t>8157321000</t>
  </si>
  <si>
    <t>1636279128</t>
  </si>
  <si>
    <t>2874030000</t>
  </si>
  <si>
    <t>6154479450</t>
  </si>
  <si>
    <t>9336980000</t>
  </si>
  <si>
    <t>7972989951</t>
  </si>
  <si>
    <t>6154174693</t>
  </si>
  <si>
    <t>6531421867</t>
  </si>
  <si>
    <t>6327806553</t>
  </si>
  <si>
    <t>7400931000</t>
  </si>
  <si>
    <t>5245451000</t>
  </si>
  <si>
    <t>4757278626</t>
  </si>
  <si>
    <t>7619340000</t>
  </si>
  <si>
    <t>5662251000</t>
  </si>
  <si>
    <t>7397370000</t>
  </si>
  <si>
    <t>5391718246</t>
  </si>
  <si>
    <t>0181561492</t>
  </si>
  <si>
    <t>3805928813</t>
  </si>
  <si>
    <t>2752541344</t>
  </si>
  <si>
    <t>8171441100</t>
  </si>
  <si>
    <t>1027321000</t>
  </si>
  <si>
    <t>0829573314</t>
  </si>
  <si>
    <t>9041804996</t>
  </si>
  <si>
    <t>1669206811</t>
  </si>
  <si>
    <t>6541680000</t>
  </si>
  <si>
    <t>3242131815</t>
  </si>
  <si>
    <t>2303209836</t>
  </si>
  <si>
    <t>8231151000</t>
  </si>
  <si>
    <t>5447681797</t>
  </si>
  <si>
    <t>6651244518</t>
  </si>
  <si>
    <t>6906826313</t>
  </si>
  <si>
    <t>4171727671</t>
  </si>
  <si>
    <t>9503447476</t>
  </si>
  <si>
    <t>2792050000</t>
  </si>
  <si>
    <t>4078611000</t>
  </si>
  <si>
    <t>7903115868</t>
  </si>
  <si>
    <t>5307870697</t>
  </si>
  <si>
    <t>9738841000</t>
  </si>
  <si>
    <t>9539410000</t>
  </si>
  <si>
    <t>6543951000</t>
  </si>
  <si>
    <t>4762621000</t>
  </si>
  <si>
    <t>1678080000</t>
  </si>
  <si>
    <t>3470156203</t>
  </si>
  <si>
    <t>7004974298</t>
  </si>
  <si>
    <t>6238748397</t>
  </si>
  <si>
    <t>0591010000</t>
  </si>
  <si>
    <t>6711360000</t>
  </si>
  <si>
    <t>5334816770</t>
  </si>
  <si>
    <t>7165151000</t>
  </si>
  <si>
    <t>9880461000</t>
  </si>
  <si>
    <t>6651201000</t>
  </si>
  <si>
    <t>0139488954</t>
  </si>
  <si>
    <t>1232541000</t>
  </si>
  <si>
    <t>8223980000</t>
  </si>
  <si>
    <t>4625460000</t>
  </si>
  <si>
    <t>9969975926</t>
  </si>
  <si>
    <t>4337494792</t>
  </si>
  <si>
    <t>7508640000</t>
  </si>
  <si>
    <t>3985375594</t>
  </si>
  <si>
    <t>1370585483</t>
  </si>
  <si>
    <t>6237080000</t>
  </si>
  <si>
    <t>1176780126</t>
  </si>
  <si>
    <t>7607661000</t>
  </si>
  <si>
    <t>8776414251</t>
  </si>
  <si>
    <t>7912130000</t>
  </si>
  <si>
    <t>5377231000</t>
  </si>
  <si>
    <t>3540008359</t>
  </si>
  <si>
    <t>3498941000</t>
  </si>
  <si>
    <t>8807453315</t>
  </si>
  <si>
    <t>5578697625</t>
  </si>
  <si>
    <t>2225101000</t>
  </si>
  <si>
    <t>9987316691</t>
  </si>
  <si>
    <t>6643300000</t>
  </si>
  <si>
    <t>2382490000</t>
  </si>
  <si>
    <t>6088988776</t>
  </si>
  <si>
    <t>9989951000</t>
  </si>
  <si>
    <t>7553261000</t>
  </si>
  <si>
    <t>4408511000</t>
  </si>
  <si>
    <t>4206800000</t>
  </si>
  <si>
    <t>8374031000</t>
  </si>
  <si>
    <t>1490131000</t>
  </si>
  <si>
    <t>1985520000</t>
  </si>
  <si>
    <t>3841761035</t>
  </si>
  <si>
    <t>3107890000</t>
  </si>
  <si>
    <t>1235903059</t>
  </si>
  <si>
    <t>8043001000</t>
  </si>
  <si>
    <t>1880001294</t>
  </si>
  <si>
    <t>5579377804</t>
  </si>
  <si>
    <t>5786437888</t>
  </si>
  <si>
    <t>8125471475</t>
  </si>
  <si>
    <t>3727344076</t>
  </si>
  <si>
    <t>0491835909</t>
  </si>
  <si>
    <t>6157060000</t>
  </si>
  <si>
    <t>2491806502</t>
  </si>
  <si>
    <t>0573685084</t>
  </si>
  <si>
    <t>5392330000</t>
  </si>
  <si>
    <t>5085875679</t>
  </si>
  <si>
    <t>2400731000</t>
  </si>
  <si>
    <t>7304972242</t>
  </si>
  <si>
    <t>6829562710</t>
  </si>
  <si>
    <t>6780889797</t>
  </si>
  <si>
    <t>7114840000</t>
  </si>
  <si>
    <t>4236731000</t>
  </si>
  <si>
    <t>0223345291</t>
  </si>
  <si>
    <t>5900820000</t>
  </si>
  <si>
    <t>1569851000</t>
  </si>
  <si>
    <t>7413433376</t>
  </si>
  <si>
    <t>7397110970</t>
  </si>
  <si>
    <t>5288831000</t>
  </si>
  <si>
    <t>3007031000</t>
  </si>
  <si>
    <t>3736855436</t>
  </si>
  <si>
    <t>2721067262</t>
  </si>
  <si>
    <t>5237011424</t>
  </si>
  <si>
    <t>6062541000</t>
  </si>
  <si>
    <t>7846277073</t>
  </si>
  <si>
    <t>1113187095</t>
  </si>
  <si>
    <t>7115261000</t>
  </si>
  <si>
    <t>8999251000</t>
  </si>
  <si>
    <t>9797240000</t>
  </si>
  <si>
    <t>5733698031</t>
  </si>
  <si>
    <t>1391416918</t>
  </si>
  <si>
    <t>6626729560</t>
  </si>
  <si>
    <t>6218364523</t>
  </si>
  <si>
    <t>3352572159</t>
  </si>
  <si>
    <t>3322263490</t>
  </si>
  <si>
    <t>6177370000</t>
  </si>
  <si>
    <t>3066335881</t>
  </si>
  <si>
    <t>6430651000</t>
  </si>
  <si>
    <t>1370139140</t>
  </si>
  <si>
    <t>3401570000</t>
  </si>
  <si>
    <t>6594526342</t>
  </si>
  <si>
    <t>1772154718</t>
  </si>
  <si>
    <t>7135590000</t>
  </si>
  <si>
    <t>3244078434</t>
  </si>
  <si>
    <t>8166327537</t>
  </si>
  <si>
    <t>4308401000</t>
  </si>
  <si>
    <t>3485675279</t>
  </si>
  <si>
    <t>1710517819</t>
  </si>
  <si>
    <t>0040730000</t>
  </si>
  <si>
    <t>8801331688</t>
  </si>
  <si>
    <t>0185829085</t>
  </si>
  <si>
    <t>6640329915</t>
  </si>
  <si>
    <t>8993658310</t>
  </si>
  <si>
    <t>2550279335</t>
  </si>
  <si>
    <t>3505331000</t>
  </si>
  <si>
    <t>7114611000</t>
  </si>
  <si>
    <t>2942450000</t>
  </si>
  <si>
    <t>4490163832</t>
  </si>
  <si>
    <t>8806340000</t>
  </si>
  <si>
    <t>7096364439</t>
  </si>
  <si>
    <t>0002746863</t>
  </si>
  <si>
    <t>2122958371</t>
  </si>
  <si>
    <t>5769060000</t>
  </si>
  <si>
    <t>5214610000</t>
  </si>
  <si>
    <t>9294235852</t>
  </si>
  <si>
    <t>0887574779</t>
  </si>
  <si>
    <t>3884451846</t>
  </si>
  <si>
    <t>9575044862</t>
  </si>
  <si>
    <t>5622315139</t>
  </si>
  <si>
    <t>6031103650</t>
  </si>
  <si>
    <t>7532070000</t>
  </si>
  <si>
    <t>5526300000</t>
  </si>
  <si>
    <t>8251801000</t>
  </si>
  <si>
    <t>3135361000</t>
  </si>
  <si>
    <t>0869170000</t>
  </si>
  <si>
    <t>4875496471</t>
  </si>
  <si>
    <t>4100903949</t>
  </si>
  <si>
    <t>6747966884</t>
  </si>
  <si>
    <t>9756846766</t>
  </si>
  <si>
    <t>3718280000</t>
  </si>
  <si>
    <t>2216771581</t>
  </si>
  <si>
    <t>9214141000</t>
  </si>
  <si>
    <t>4328013004</t>
  </si>
  <si>
    <t>8551601000</t>
  </si>
  <si>
    <t>5703576714</t>
  </si>
  <si>
    <t>0448028030</t>
  </si>
  <si>
    <t>5780730097</t>
  </si>
  <si>
    <t>8651110000</t>
  </si>
  <si>
    <t>0086465467</t>
  </si>
  <si>
    <t>9890161000</t>
  </si>
  <si>
    <t>9738604563</t>
  </si>
  <si>
    <t>6892964511</t>
  </si>
  <si>
    <t>8233981790</t>
  </si>
  <si>
    <t>7482519669</t>
  </si>
  <si>
    <t>4321958928</t>
  </si>
  <si>
    <t>9277734775</t>
  </si>
  <si>
    <t>3530497128</t>
  </si>
  <si>
    <t>0240641000</t>
  </si>
  <si>
    <t>1560882175</t>
  </si>
  <si>
    <t>2815878027</t>
  </si>
  <si>
    <t>0208180000</t>
  </si>
  <si>
    <t>8950883553</t>
  </si>
  <si>
    <t>6677040000</t>
  </si>
  <si>
    <t>3106790000</t>
  </si>
  <si>
    <t>8098420000</t>
  </si>
  <si>
    <t>0225558656</t>
  </si>
  <si>
    <t>3472796278</t>
  </si>
  <si>
    <t>3240422325</t>
  </si>
  <si>
    <t>7248154783</t>
  </si>
  <si>
    <t>1975660000</t>
  </si>
  <si>
    <t>2398680000</t>
  </si>
  <si>
    <t>2557440000</t>
  </si>
  <si>
    <t>6098358533</t>
  </si>
  <si>
    <t>2160086156</t>
  </si>
  <si>
    <t>8133906758</t>
  </si>
  <si>
    <t>4386253597</t>
  </si>
  <si>
    <t>8168993129</t>
  </si>
  <si>
    <t>8830066687</t>
  </si>
  <si>
    <t>0980512306</t>
  </si>
  <si>
    <t>2800620000</t>
  </si>
  <si>
    <t>3957802541</t>
  </si>
  <si>
    <t>0747358204</t>
  </si>
  <si>
    <t>4860597868</t>
  </si>
  <si>
    <t>7247493303</t>
  </si>
  <si>
    <t>2698642394</t>
  </si>
  <si>
    <t>0871451000</t>
  </si>
  <si>
    <t>8085100837</t>
  </si>
  <si>
    <t>6040546107</t>
  </si>
  <si>
    <t>1459950257</t>
  </si>
  <si>
    <t>0126527094</t>
  </si>
  <si>
    <t>8764120000</t>
  </si>
  <si>
    <t>1567183764</t>
  </si>
  <si>
    <t>3300419615</t>
  </si>
  <si>
    <t>3567250984</t>
  </si>
  <si>
    <t>7298780000</t>
  </si>
  <si>
    <t>4409132093</t>
  </si>
  <si>
    <t>0020521000</t>
  </si>
  <si>
    <t>7447867552</t>
  </si>
  <si>
    <t>7898944772</t>
  </si>
  <si>
    <t>4650100233</t>
  </si>
  <si>
    <t>2090761111</t>
  </si>
  <si>
    <t>7675631000</t>
  </si>
  <si>
    <t>9779470098</t>
  </si>
  <si>
    <t>6229785331</t>
  </si>
  <si>
    <t>1794260000</t>
  </si>
  <si>
    <t>7776290000</t>
  </si>
  <si>
    <t>6833563852</t>
  </si>
  <si>
    <t>7671960000</t>
  </si>
  <si>
    <t>3846098682</t>
  </si>
  <si>
    <t>6393740000</t>
  </si>
  <si>
    <t>0510900360</t>
  </si>
  <si>
    <t>6346280696</t>
  </si>
  <si>
    <t>9775140000</t>
  </si>
  <si>
    <t>1908399537</t>
  </si>
  <si>
    <t>7791021977</t>
  </si>
  <si>
    <t>4218400000</t>
  </si>
  <si>
    <t>0460101000</t>
  </si>
  <si>
    <t>5554267371</t>
  </si>
  <si>
    <t>4656135575</t>
  </si>
  <si>
    <t>7871459753</t>
  </si>
  <si>
    <t>8270011000</t>
  </si>
  <si>
    <t>0949968967</t>
  </si>
  <si>
    <t>5463797477</t>
  </si>
  <si>
    <t>8372996858</t>
  </si>
  <si>
    <t>0915272757</t>
  </si>
  <si>
    <t>1939300000</t>
  </si>
  <si>
    <t>3664029144</t>
  </si>
  <si>
    <t>2321911932</t>
  </si>
  <si>
    <t>2205290521</t>
  </si>
  <si>
    <t>8573211000</t>
  </si>
  <si>
    <t>6799540000</t>
  </si>
  <si>
    <t>2372410000</t>
  </si>
  <si>
    <t>2801777569</t>
  </si>
  <si>
    <t>6916550547</t>
  </si>
  <si>
    <t>7488840436</t>
  </si>
  <si>
    <t>4789087884</t>
  </si>
  <si>
    <t>9045311000</t>
  </si>
  <si>
    <t>4051995898</t>
  </si>
  <si>
    <t>1333897739</t>
  </si>
  <si>
    <t>8964410000</t>
  </si>
  <si>
    <t>7013259359</t>
  </si>
  <si>
    <t>6898240000</t>
  </si>
  <si>
    <t>1682180000</t>
  </si>
  <si>
    <t>3126570303</t>
  </si>
  <si>
    <t>5236586269</t>
  </si>
  <si>
    <t>0394780000</t>
  </si>
  <si>
    <t>5644842190</t>
  </si>
  <si>
    <t>0947452464</t>
  </si>
  <si>
    <t>5160556053</t>
  </si>
  <si>
    <t>3520685256</t>
  </si>
  <si>
    <t>3812550000</t>
  </si>
  <si>
    <t>6238293189</t>
  </si>
  <si>
    <t>2037614704</t>
  </si>
  <si>
    <t>5486441000</t>
  </si>
  <si>
    <t>3615886354</t>
  </si>
  <si>
    <t>0574011608</t>
  </si>
  <si>
    <t>3430450000</t>
  </si>
  <si>
    <t>6046328982</t>
  </si>
  <si>
    <t>5744736365</t>
  </si>
  <si>
    <t>0103650000</t>
  </si>
  <si>
    <t>3353472148</t>
  </si>
  <si>
    <t>6807568001</t>
  </si>
  <si>
    <t>2224828876</t>
  </si>
  <si>
    <t>4684530000</t>
  </si>
  <si>
    <t>5248721000</t>
  </si>
  <si>
    <t>8715441000</t>
  </si>
  <si>
    <t>0831730979</t>
  </si>
  <si>
    <t>0179082566</t>
  </si>
  <si>
    <t>7586510000</t>
  </si>
  <si>
    <t>8422252988</t>
  </si>
  <si>
    <t>6220501000</t>
  </si>
  <si>
    <t>6942363976</t>
  </si>
  <si>
    <t>7925230997</t>
  </si>
  <si>
    <t>4455318107</t>
  </si>
  <si>
    <t>7014080000</t>
  </si>
  <si>
    <t>2239392578</t>
  </si>
  <si>
    <t>2798910000</t>
  </si>
  <si>
    <t>1353321000</t>
  </si>
  <si>
    <t>5831790000</t>
  </si>
  <si>
    <t>4572687906</t>
  </si>
  <si>
    <t>2613256425</t>
  </si>
  <si>
    <t>5669951000</t>
  </si>
  <si>
    <t>1806989657</t>
  </si>
  <si>
    <t>7420351130</t>
  </si>
  <si>
    <t>7765620000</t>
  </si>
  <si>
    <t>9868436686</t>
  </si>
  <si>
    <t>6651001000</t>
  </si>
  <si>
    <t>0454456361</t>
  </si>
  <si>
    <t>4738111000</t>
  </si>
  <si>
    <t>0440430000</t>
  </si>
  <si>
    <t>5055918329</t>
  </si>
  <si>
    <t>2553232071</t>
  </si>
  <si>
    <t>4755350632</t>
  </si>
  <si>
    <t>9713457751</t>
  </si>
  <si>
    <t>2283931000</t>
  </si>
  <si>
    <t>7423629431</t>
  </si>
  <si>
    <t>2644830000</t>
  </si>
  <si>
    <t>6292353892</t>
  </si>
  <si>
    <t>9126001412</t>
  </si>
  <si>
    <t>4246694688</t>
  </si>
  <si>
    <t>1816340000</t>
  </si>
  <si>
    <t>2786739945</t>
  </si>
  <si>
    <t>7789171149</t>
  </si>
  <si>
    <t>4949150000</t>
  </si>
  <si>
    <t>8072751000</t>
  </si>
  <si>
    <t>9524460000</t>
  </si>
  <si>
    <t>0770620000</t>
  </si>
  <si>
    <t>1471520000</t>
  </si>
  <si>
    <t>4195950000</t>
  </si>
  <si>
    <t>6232280000</t>
  </si>
  <si>
    <t>3480611000</t>
  </si>
  <si>
    <t>2713960000</t>
  </si>
  <si>
    <t>8914685192</t>
  </si>
  <si>
    <t>8798080598</t>
  </si>
  <si>
    <t>5936601000</t>
  </si>
  <si>
    <t>5931221000</t>
  </si>
  <si>
    <t>2057731000</t>
  </si>
  <si>
    <t>5909528621</t>
  </si>
  <si>
    <t>5503296768</t>
  </si>
  <si>
    <t>8464670000</t>
  </si>
  <si>
    <t>6932600000</t>
  </si>
  <si>
    <t>6129600993</t>
  </si>
  <si>
    <t>1501070000</t>
  </si>
  <si>
    <t>4773125499</t>
  </si>
  <si>
    <t>1370851931</t>
  </si>
  <si>
    <t>9983127893</t>
  </si>
  <si>
    <t>9411880000</t>
  </si>
  <si>
    <t>4392248810</t>
  </si>
  <si>
    <t>8352070000</t>
  </si>
  <si>
    <t>1116019420</t>
  </si>
  <si>
    <t>1336550000</t>
  </si>
  <si>
    <t>5226390000</t>
  </si>
  <si>
    <t>2887200000</t>
  </si>
  <si>
    <t>0762951654</t>
  </si>
  <si>
    <t>8744753955</t>
  </si>
  <si>
    <t>6609290000</t>
  </si>
  <si>
    <t>0272930000</t>
  </si>
  <si>
    <t>6945331000</t>
  </si>
  <si>
    <t>4232034608</t>
  </si>
  <si>
    <t>0777430000</t>
  </si>
  <si>
    <t>6740473583</t>
  </si>
  <si>
    <t>4591500000</t>
  </si>
  <si>
    <t>5852690207</t>
  </si>
  <si>
    <t>0629830000</t>
  </si>
  <si>
    <t>1107990000</t>
  </si>
  <si>
    <t>6529860000</t>
  </si>
  <si>
    <t>0876477458</t>
  </si>
  <si>
    <t>5636251000</t>
  </si>
  <si>
    <t>2726500000</t>
  </si>
  <si>
    <t>2729421000</t>
  </si>
  <si>
    <t>6975666837</t>
  </si>
  <si>
    <t>0836129855</t>
  </si>
  <si>
    <t>8492801026</t>
  </si>
  <si>
    <t>5226342152</t>
  </si>
  <si>
    <t>9928983381</t>
  </si>
  <si>
    <t>3500289152</t>
  </si>
  <si>
    <t>8321721000</t>
  </si>
  <si>
    <t>4539057378</t>
  </si>
  <si>
    <t>8910276728</t>
  </si>
  <si>
    <t>2349858876</t>
  </si>
  <si>
    <t>3287157855</t>
  </si>
  <si>
    <t>8334963855</t>
  </si>
  <si>
    <t>2782988581</t>
  </si>
  <si>
    <t>4627150000</t>
  </si>
  <si>
    <t>6893057406</t>
  </si>
  <si>
    <t>5403700000</t>
  </si>
  <si>
    <t>2971450583</t>
  </si>
  <si>
    <t>9378625789</t>
  </si>
  <si>
    <t>4460413461</t>
  </si>
  <si>
    <t>5403079705</t>
  </si>
  <si>
    <t>1217381119</t>
  </si>
  <si>
    <t>6948703534</t>
  </si>
  <si>
    <t>0859906185</t>
  </si>
  <si>
    <t>3042908052</t>
  </si>
  <si>
    <t>7836090000</t>
  </si>
  <si>
    <t>4812351000</t>
  </si>
  <si>
    <t>7329530000</t>
  </si>
  <si>
    <t>1264630000</t>
  </si>
  <si>
    <t>8262211000</t>
  </si>
  <si>
    <t>7812541000</t>
  </si>
  <si>
    <t>1334820000</t>
  </si>
  <si>
    <t>0611347410</t>
  </si>
  <si>
    <t>5213017390</t>
  </si>
  <si>
    <t>7489330000</t>
  </si>
  <si>
    <t>1022760000</t>
  </si>
  <si>
    <t>3266151000</t>
  </si>
  <si>
    <t>2265569362</t>
  </si>
  <si>
    <t>1993960000</t>
  </si>
  <si>
    <t>1935101000</t>
  </si>
  <si>
    <t>7884110000</t>
  </si>
  <si>
    <t>1080686483</t>
  </si>
  <si>
    <t>6838697128</t>
  </si>
  <si>
    <t>0581519571</t>
  </si>
  <si>
    <t>5577998699</t>
  </si>
  <si>
    <t>4523821000</t>
  </si>
  <si>
    <t>1237080000</t>
  </si>
  <si>
    <t>2047225462</t>
  </si>
  <si>
    <t>8793561000</t>
  </si>
  <si>
    <t>9087250000</t>
  </si>
  <si>
    <t>3728125563</t>
  </si>
  <si>
    <t>9134311000</t>
  </si>
  <si>
    <t>0099821000</t>
  </si>
  <si>
    <t>2790610000</t>
  </si>
  <si>
    <t>5972711000</t>
  </si>
  <si>
    <t>9057041000</t>
  </si>
  <si>
    <t>3003812929</t>
  </si>
  <si>
    <t>6676790000</t>
  </si>
  <si>
    <t>1728530000</t>
  </si>
  <si>
    <t>2055710000</t>
  </si>
  <si>
    <t>8586855180</t>
  </si>
  <si>
    <t>3536710738</t>
  </si>
  <si>
    <t>0763016212</t>
  </si>
  <si>
    <t>3879241000</t>
  </si>
  <si>
    <t>6221886781</t>
  </si>
  <si>
    <t>2933051000</t>
  </si>
  <si>
    <t>7244159793</t>
  </si>
  <si>
    <t>0637500000</t>
  </si>
  <si>
    <t>2586710000</t>
  </si>
  <si>
    <t>3369131000</t>
  </si>
  <si>
    <t>7243260797</t>
  </si>
  <si>
    <t>4086961885</t>
  </si>
  <si>
    <t>2127440000</t>
  </si>
  <si>
    <t>7215060777</t>
  </si>
  <si>
    <t>3924500000</t>
  </si>
  <si>
    <t>9914120000</t>
  </si>
  <si>
    <t>1654610000</t>
  </si>
  <si>
    <t>5450260000</t>
  </si>
  <si>
    <t>6975921000</t>
  </si>
  <si>
    <t>8004441000</t>
  </si>
  <si>
    <t>8540070000</t>
  </si>
  <si>
    <t>7277849791</t>
  </si>
  <si>
    <t>6316480000</t>
  </si>
  <si>
    <t>9899890000</t>
  </si>
  <si>
    <t>1675649579</t>
  </si>
  <si>
    <t>3421360000</t>
  </si>
  <si>
    <t>3493863264</t>
  </si>
  <si>
    <t>7082251000</t>
  </si>
  <si>
    <t>3235933656</t>
  </si>
  <si>
    <t>1486220000</t>
  </si>
  <si>
    <t>6579001000</t>
  </si>
  <si>
    <t>8135001000</t>
  </si>
  <si>
    <t>2790433981</t>
  </si>
  <si>
    <t>5799850000</t>
  </si>
  <si>
    <t>6626220000</t>
  </si>
  <si>
    <t>0050340630</t>
  </si>
  <si>
    <t>0644019886</t>
  </si>
  <si>
    <t>2009184288</t>
  </si>
  <si>
    <t>4220132529</t>
  </si>
  <si>
    <t>9474035507</t>
  </si>
  <si>
    <t>6178141000</t>
  </si>
  <si>
    <t>4823746138</t>
  </si>
  <si>
    <t>6601188228</t>
  </si>
  <si>
    <t>9240700000</t>
  </si>
  <si>
    <t>4826470000</t>
  </si>
  <si>
    <t>7700448567</t>
  </si>
  <si>
    <t>6608972636</t>
  </si>
  <si>
    <t>5797101000</t>
  </si>
  <si>
    <t>9798231000</t>
  </si>
  <si>
    <t>5257583600</t>
  </si>
  <si>
    <t>2484289538</t>
  </si>
  <si>
    <t>2318631000</t>
  </si>
  <si>
    <t>2287263111</t>
  </si>
  <si>
    <t>4330169654</t>
  </si>
  <si>
    <t>7809411352</t>
  </si>
  <si>
    <t>1901940000</t>
  </si>
  <si>
    <t>2344543728</t>
  </si>
  <si>
    <t>4400568112</t>
  </si>
  <si>
    <t>0337770119</t>
  </si>
  <si>
    <t>1084589454</t>
  </si>
  <si>
    <t>8809578171</t>
  </si>
  <si>
    <t>0138600000</t>
  </si>
  <si>
    <t>9851454126</t>
  </si>
  <si>
    <t>7113636850</t>
  </si>
  <si>
    <t>8707818706</t>
  </si>
  <si>
    <t>0014802989</t>
  </si>
  <si>
    <t>8729590000</t>
  </si>
  <si>
    <t>5144511000</t>
  </si>
  <si>
    <t>4233804978</t>
  </si>
  <si>
    <t>3487507055</t>
  </si>
  <si>
    <t>1028298226</t>
  </si>
  <si>
    <t>3000474278</t>
  </si>
  <si>
    <t>9689247354</t>
  </si>
  <si>
    <t>4535728753</t>
  </si>
  <si>
    <t>6477491967</t>
  </si>
  <si>
    <t>1080436652</t>
  </si>
  <si>
    <t>9868570000</t>
  </si>
  <si>
    <t>9812684449</t>
  </si>
  <si>
    <t>7263223413</t>
  </si>
  <si>
    <t>5323810000</t>
  </si>
  <si>
    <t>6377618578</t>
  </si>
  <si>
    <t>5100177684</t>
  </si>
  <si>
    <t>2213731000</t>
  </si>
  <si>
    <t>7194070000</t>
  </si>
  <si>
    <t>3556070925</t>
  </si>
  <si>
    <t>9646530000</t>
  </si>
  <si>
    <t>9467621419</t>
  </si>
  <si>
    <t>8800511000</t>
  </si>
  <si>
    <t>6965120000</t>
  </si>
  <si>
    <t>4144330000</t>
  </si>
  <si>
    <t>7638863637</t>
  </si>
  <si>
    <t>8212166884</t>
  </si>
  <si>
    <t>9811726626</t>
  </si>
  <si>
    <t>2143830000</t>
  </si>
  <si>
    <t>9099805696</t>
  </si>
  <si>
    <t>7750680041</t>
  </si>
  <si>
    <t>7639960000</t>
  </si>
  <si>
    <t>4834742574</t>
  </si>
  <si>
    <t>3713921000</t>
  </si>
  <si>
    <t>8169892620</t>
  </si>
  <si>
    <t>0539435347</t>
  </si>
  <si>
    <t>5702540000</t>
  </si>
  <si>
    <t>2813530000</t>
  </si>
  <si>
    <t>4260226461</t>
  </si>
  <si>
    <t>7175791215</t>
  </si>
  <si>
    <t>4884885514</t>
  </si>
  <si>
    <t>6673831000</t>
  </si>
  <si>
    <t>7999643303</t>
  </si>
  <si>
    <t>5909021014</t>
  </si>
  <si>
    <t>1040821177</t>
  </si>
  <si>
    <t>6593130000</t>
  </si>
  <si>
    <t>3151454631</t>
  </si>
  <si>
    <t>5982620000</t>
  </si>
  <si>
    <t>9823890000</t>
  </si>
  <si>
    <t>5408340000</t>
  </si>
  <si>
    <t>5195558690</t>
  </si>
  <si>
    <t>8384335318</t>
  </si>
  <si>
    <t>4708815097</t>
  </si>
  <si>
    <t>3555354916</t>
  </si>
  <si>
    <t>1516066562</t>
  </si>
  <si>
    <t>2602229474</t>
  </si>
  <si>
    <t>4830007876</t>
  </si>
  <si>
    <t>9391573388</t>
  </si>
  <si>
    <t>5498445656</t>
  </si>
  <si>
    <t>8225159115</t>
  </si>
  <si>
    <t>4160660000</t>
  </si>
  <si>
    <t>6149005878</t>
  </si>
  <si>
    <t>9366820000</t>
  </si>
  <si>
    <t>1735662106</t>
  </si>
  <si>
    <t>7495690000</t>
  </si>
  <si>
    <t>1165327687</t>
  </si>
  <si>
    <t>4057601000</t>
  </si>
  <si>
    <t>4421402302</t>
  </si>
  <si>
    <t>6442661000</t>
  </si>
  <si>
    <t>9399510000</t>
  </si>
  <si>
    <t>4029770000</t>
  </si>
  <si>
    <t>8289821000</t>
  </si>
  <si>
    <t>4197620114</t>
  </si>
  <si>
    <t>5575896939</t>
  </si>
  <si>
    <t>3482449172</t>
  </si>
  <si>
    <t>7095896229</t>
  </si>
  <si>
    <t>6996682837</t>
  </si>
  <si>
    <t>8783763808</t>
  </si>
  <si>
    <t>4613459862</t>
  </si>
  <si>
    <t>8501883965</t>
  </si>
  <si>
    <t>3248157690</t>
  </si>
  <si>
    <t>8215139884</t>
  </si>
  <si>
    <t>5372451122</t>
  </si>
  <si>
    <t>3204790000</t>
  </si>
  <si>
    <t>6591101000</t>
  </si>
  <si>
    <t>7295561000</t>
  </si>
  <si>
    <t>6697601000</t>
  </si>
  <si>
    <t>8065380000</t>
  </si>
  <si>
    <t>5257261000</t>
  </si>
  <si>
    <t>1461856288</t>
  </si>
  <si>
    <t>9378830912</t>
  </si>
  <si>
    <t>5843594786</t>
  </si>
  <si>
    <t>7667970000</t>
  </si>
  <si>
    <t>6947951000</t>
  </si>
  <si>
    <t>3660458784</t>
  </si>
  <si>
    <t>0519511958</t>
  </si>
  <si>
    <t>9840231734</t>
  </si>
  <si>
    <t>6393049300</t>
  </si>
  <si>
    <t>5751430000</t>
  </si>
  <si>
    <t>0616290000</t>
  </si>
  <si>
    <t>2174790000</t>
  </si>
  <si>
    <t>1040090000</t>
  </si>
  <si>
    <t>2426870000</t>
  </si>
  <si>
    <t>7393110000</t>
  </si>
  <si>
    <t>1130640000</t>
  </si>
  <si>
    <t>4161750000</t>
  </si>
  <si>
    <t>9230683411</t>
  </si>
  <si>
    <t>8465277693</t>
  </si>
  <si>
    <t>2414554339</t>
  </si>
  <si>
    <t>6810195712</t>
  </si>
  <si>
    <t>0800411000</t>
  </si>
  <si>
    <t>7131023762</t>
  </si>
  <si>
    <t>1733200000</t>
  </si>
  <si>
    <t>9697522299</t>
  </si>
  <si>
    <t>6512865567</t>
  </si>
  <si>
    <t>6910890000</t>
  </si>
  <si>
    <t>3995860000</t>
  </si>
  <si>
    <t>7251710000</t>
  </si>
  <si>
    <t>1346040000</t>
  </si>
  <si>
    <t>4329109684</t>
  </si>
  <si>
    <t>8400273014</t>
  </si>
  <si>
    <t>4420690000</t>
  </si>
  <si>
    <t>1367611000</t>
  </si>
  <si>
    <t>2508401000</t>
  </si>
  <si>
    <t>5865680000</t>
  </si>
  <si>
    <t>5145361000</t>
  </si>
  <si>
    <t>2236812917</t>
  </si>
  <si>
    <t>3472511000</t>
  </si>
  <si>
    <t>5649900000</t>
  </si>
  <si>
    <t>5729136090</t>
  </si>
  <si>
    <t>4235588313</t>
  </si>
  <si>
    <t>2531312124</t>
  </si>
  <si>
    <t>1657964605</t>
  </si>
  <si>
    <t>7283731000</t>
  </si>
  <si>
    <t>5106490000</t>
  </si>
  <si>
    <t>3207210000</t>
  </si>
  <si>
    <t>1440430000</t>
  </si>
  <si>
    <t>0362190628</t>
  </si>
  <si>
    <t>9651100000</t>
  </si>
  <si>
    <t>1714040979</t>
  </si>
  <si>
    <t>8493970000</t>
  </si>
  <si>
    <t>9093518390</t>
  </si>
  <si>
    <t>8365380635</t>
  </si>
  <si>
    <t>2445041000</t>
  </si>
  <si>
    <t>6085118737</t>
  </si>
  <si>
    <t>7209213637</t>
  </si>
  <si>
    <t>0342680000</t>
  </si>
  <si>
    <t>3856949221</t>
  </si>
  <si>
    <t>3604131000</t>
  </si>
  <si>
    <t>2720371841</t>
  </si>
  <si>
    <t>5730448493</t>
  </si>
  <si>
    <t>7866236989</t>
  </si>
  <si>
    <t>9065406549</t>
  </si>
  <si>
    <t>6128271693</t>
  </si>
  <si>
    <t>9282570000</t>
  </si>
  <si>
    <t>7961900940</t>
  </si>
  <si>
    <t>6597211402</t>
  </si>
  <si>
    <t>9287216468</t>
  </si>
  <si>
    <t>3157160000</t>
  </si>
  <si>
    <t>2547200000</t>
  </si>
  <si>
    <t>9849411000</t>
  </si>
  <si>
    <t>7953727588</t>
  </si>
  <si>
    <t>9798240000</t>
  </si>
  <si>
    <t>4026100541</t>
  </si>
  <si>
    <t>3516164640</t>
  </si>
  <si>
    <t>2235600000</t>
  </si>
  <si>
    <t>1055401000</t>
  </si>
  <si>
    <t>4774490000</t>
  </si>
  <si>
    <t>4875921000</t>
  </si>
  <si>
    <t>4722240000</t>
  </si>
  <si>
    <t>2616411000</t>
  </si>
  <si>
    <t>5875521000</t>
  </si>
  <si>
    <t>AccountNumber</t>
  </si>
  <si>
    <t>DateCalled</t>
  </si>
  <si>
    <t>VM</t>
  </si>
  <si>
    <t>CustomerName</t>
  </si>
  <si>
    <t>RatePlan</t>
  </si>
  <si>
    <t>MEPStatus</t>
  </si>
  <si>
    <t>Issue</t>
  </si>
  <si>
    <t>LEFT VM, NOT ON BEST PLAN, NOT BB, NOT E-3</t>
  </si>
  <si>
    <t>LEFT VM</t>
  </si>
  <si>
    <t>DID NOT WANT TO SPEAK WITH ME AND HUNG UP</t>
  </si>
  <si>
    <t>TIME OF USE PLAN WITH DEMAND BEST PLAN</t>
  </si>
  <si>
    <t>UNHAPPY W/ RATE CASE</t>
  </si>
  <si>
    <t>REFUSED TOTAKE CALL HUNG UP</t>
  </si>
  <si>
    <t>LEFT VM, ON BEST PLAN, NOT ON BB, NOT E-3</t>
  </si>
  <si>
    <t>PHONE WAS PICKED UP AND HUNG UP</t>
  </si>
  <si>
    <t>SAID HE WAS GOOD</t>
  </si>
  <si>
    <t>WILL CALL US BACK</t>
  </si>
  <si>
    <t>SET UP BB $123</t>
  </si>
  <si>
    <t>WILL CB TO MAKE CHANGES</t>
  </si>
  <si>
    <t>UNHAPPY WITH THE RATE INCREASE CASE</t>
  </si>
  <si>
    <t>LEFT V-M</t>
  </si>
  <si>
    <t>COULD NOT LEAVE MESSAGE, VM NOT SET UP</t>
  </si>
  <si>
    <t>SOLAR ACT</t>
  </si>
  <si>
    <t>VM NOT SET UP</t>
  </si>
  <si>
    <t>DID TALK TO CORE BUT HUNG UP</t>
  </si>
  <si>
    <t>POSITIVE INFO</t>
  </si>
  <si>
    <t>COULD SAVE MONEY ON TOU 4-7 W/DEMAND</t>
  </si>
  <si>
    <t>WILL CB IF NEEDED</t>
  </si>
  <si>
    <t>NUMBER DISCONNECTED</t>
  </si>
  <si>
    <t>WILL REVIEW ON LINE THEN MAKE CHANGES</t>
  </si>
  <si>
    <t>NO GOOD CBR# ON FILE</t>
  </si>
  <si>
    <t>NOT FOR THE RATE CASE PROPOSAL</t>
  </si>
  <si>
    <t>RATE CHANGE  NEXT BILL DATE 2/21/26</t>
  </si>
  <si>
    <t>NO V-M OPTION</t>
  </si>
  <si>
    <t>PROVIDED TIPS LINE #S</t>
  </si>
  <si>
    <t>CORE HUNG UP CALL</t>
  </si>
  <si>
    <t>STOPPED S-A 2025-06-04 to 2025-11-03</t>
  </si>
  <si>
    <t>MAILED OUT E3</t>
  </si>
  <si>
    <t>OFFER OPTION TO LOWER BILL</t>
  </si>
  <si>
    <t>NO VOICE MAIL OPTION</t>
  </si>
  <si>
    <t>DID REVIEW OPTION TO LOWER BILL</t>
  </si>
  <si>
    <t>SENT E3 TO APPLY</t>
  </si>
  <si>
    <t>NO GOOD CONTACT # ON ACCT</t>
  </si>
  <si>
    <t>DID OFFER OPTION TO LOWER BILL</t>
  </si>
  <si>
    <t>S-A WAS STOPPED AS OF 12/11/25</t>
  </si>
  <si>
    <t>NO VM OPTION</t>
  </si>
  <si>
    <t>BETTER PLAN TIME OF WITH DEMAND</t>
  </si>
  <si>
    <t>BETTER RATE</t>
  </si>
  <si>
    <t>NOT  FOR RATE INCREASE</t>
  </si>
  <si>
    <t>ACCT IS ON P-A PAST DUE NO E3 ON ACCT</t>
  </si>
  <si>
    <t>2ND TIME LEAVING V-M</t>
  </si>
  <si>
    <t>not for rate increases</t>
  </si>
  <si>
    <t>ACCT CURRENT NO E3</t>
  </si>
  <si>
    <t>BB PROGRAM 114.00</t>
  </si>
  <si>
    <t>POSITIVE WITH OPTION OFFERED TO SAVE OR LOWER BILL</t>
  </si>
  <si>
    <t>ACCT CURRENT NO E3 LEFT VM</t>
  </si>
  <si>
    <t>DOUBLE IN SPREAD SHEET</t>
  </si>
  <si>
    <t>AGENCYS #S TO ASSIST WITH BILL</t>
  </si>
  <si>
    <t>CURRENT ON ACT LEFT VM</t>
  </si>
  <si>
    <t>ACCT IS ON P-A NO E3 OR MED</t>
  </si>
  <si>
    <t>ED ON PLANS TO HELP SAVE &amp; REBATE INFO</t>
  </si>
  <si>
    <t>BETTER PLAN TIME OF USE WITH DEMAND</t>
  </si>
  <si>
    <t>ACCT IS CURRENT .NO E3</t>
  </si>
  <si>
    <t>CHANGE PLAN TIME OF USE PLAN ACCT CURRENT</t>
  </si>
  <si>
    <t>CALLER HUNG UP</t>
  </si>
  <si>
    <t>ACT HAS 2 SERVICES ADDRESS</t>
  </si>
  <si>
    <t>NEW BB  Total Budget Amount $237.00</t>
  </si>
  <si>
    <t>NEW BB  AMOUNT 309.00</t>
  </si>
  <si>
    <t>REJECTED CALL</t>
  </si>
  <si>
    <t>IS ON P-A &amp;  NO E3 ON ACCT</t>
  </si>
  <si>
    <t>ACCT CURRENT NO PAST DUE NO E3</t>
  </si>
  <si>
    <t>OPTIONS TO HELP LOWER BILL</t>
  </si>
  <si>
    <t>DID TALK TO ROMINA LYNDH IS ON P-A MAILED E3</t>
  </si>
  <si>
    <t>MOVED OUT OF STATE</t>
  </si>
  <si>
    <t>PENDING STOP OF SERVICES FOR 1/7/25</t>
  </si>
  <si>
    <t>PENDING STOP OF SERVICES FOR 1/23/26</t>
  </si>
  <si>
    <t>TIME OF USE WITH DEMAND</t>
  </si>
  <si>
    <t>DID TALK TO CORE IS ON P-A SENT E3</t>
  </si>
  <si>
    <t>STILL NOT FOR RATE INCREASE</t>
  </si>
  <si>
    <t>NO E3 ON ACCT IS ON PAYMENT ARRANGEMENT</t>
  </si>
  <si>
    <t>ACCT IS CURRENT .NO E3  LEFT VM</t>
  </si>
  <si>
    <t>IS ON PAYMENT ARRANGEMENT</t>
  </si>
  <si>
    <t>NOT SAME NAME FOR ACCT HAS CREDIT 1122.94</t>
  </si>
  <si>
    <t>DID TALK TO MS BARBOSA ENROLLED IN BB PROGRAM</t>
  </si>
  <si>
    <t>WILL CB TO REVIEW OPTIONS TO LOWER BILL</t>
  </si>
  <si>
    <t>CLOSED ACCT 10/27/25</t>
  </si>
  <si>
    <t>WILL REVIEW THEN CB TO MAKE CHANGES TO ACT</t>
  </si>
  <si>
    <t>WILL APPLY ON LINE FOR E-3</t>
  </si>
  <si>
    <t>CONTACT # NEEDS TO BE UPDATED ON ACCT</t>
  </si>
  <si>
    <t>E-3 BB PROGRAM</t>
  </si>
  <si>
    <t>BETTER RATE FIXXED ENERGY PLAN</t>
  </si>
  <si>
    <t>DID NOT WANT TO BE CALLED</t>
  </si>
  <si>
    <t>OFFER OPTION TO LOWER BILL E3 --SOLAR ACCT</t>
  </si>
  <si>
    <t>CORE WAS PROVIDED WITH AGENCYS #</t>
  </si>
  <si>
    <t>E3</t>
  </si>
  <si>
    <t>WILL CB NEXT  WEEK</t>
  </si>
  <si>
    <t>SOLAR ACCT GRANDFATHER  PLAN 9-9</t>
  </si>
  <si>
    <t>HUNG UP</t>
  </si>
  <si>
    <t>STREETLIGHT ISSUE REPORTED</t>
  </si>
  <si>
    <t>INFO ON E3</t>
  </si>
  <si>
    <t>DID CB TO GET ON BETER RATE ON 1/5/26</t>
  </si>
  <si>
    <t>WILL REVIEW BILL THEN CB</t>
  </si>
  <si>
    <t>RATE CASE OUTREACH — EXECUTIVE SUMMARY</t>
  </si>
  <si>
    <t>Total Docketed</t>
  </si>
  <si>
    <t>Callable</t>
  </si>
  <si>
    <t>Contacted</t>
  </si>
  <si>
    <t>Progress</t>
  </si>
  <si>
    <t>Comments Filed</t>
  </si>
  <si>
    <t>Valid Customers</t>
  </si>
  <si>
    <t>To Contact</t>
  </si>
  <si>
    <t>Completion</t>
  </si>
  <si>
    <t>CUSTOMER INSIGHTS</t>
  </si>
  <si>
    <t>Not on MEP Left</t>
  </si>
  <si>
    <t>Payoff Balance Left</t>
  </si>
  <si>
    <t>On MEP</t>
  </si>
  <si>
    <t>Unable to Locate</t>
  </si>
  <si>
    <t>Currently Enrolled</t>
  </si>
  <si>
    <t>Per Week</t>
  </si>
  <si>
    <t>Removed from Queue</t>
  </si>
  <si>
    <t>WEEKLY PERFORMANCE</t>
  </si>
  <si>
    <t>Calls</t>
  </si>
  <si>
    <t>VMs Left</t>
  </si>
  <si>
    <t>Voicemails</t>
  </si>
  <si>
    <t>Conversations</t>
  </si>
  <si>
    <t>Docket Link</t>
  </si>
  <si>
    <t>MEP</t>
  </si>
  <si>
    <t>MEP Savings</t>
  </si>
  <si>
    <t>Status</t>
  </si>
  <si>
    <t>Called</t>
  </si>
  <si>
    <t>P1</t>
  </si>
  <si>
    <t>P4</t>
  </si>
  <si>
    <t>P3</t>
  </si>
  <si>
    <t>P2</t>
  </si>
  <si>
    <t xml:space="preserve">Why </t>
  </si>
  <si>
    <t>Issue_Complaint</t>
  </si>
  <si>
    <t>MCP</t>
  </si>
  <si>
    <t>PA</t>
  </si>
  <si>
    <t>ResponseDate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</si>
</sst>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8" formatCode="&quot;$&quot;#,##0.00_);[Red]\(&quot;$&quot;#,##0.00\)"/>
    <numFmt numFmtId="164" formatCode="&quot;$&quot;#,##0.00"/>
    <numFmt numFmtId="165" formatCode="mm/dd/yyyy"/>
    <numFmt numFmtId="166" formatCode="0.0%"/>
    <numFmt numFmtId="167" formatCode="mm/dd/yy"/>
  </numFmts>
  <fonts count="35">
    <font>
      <sz val="11"/>
      <color theme="1"/>
      <name val="Aptos Narrow"/>
      <family val="2"/>
      <scheme val="minor"/>
    </font>
    <font>
      <u/>
      <sz val="11"/>
      <color theme="10"/>
      <name val="Aptos Narrow"/>
      <family val="2"/>
      <scheme val="minor"/>
    </font>
    <font>
      <b/>
      <sz val="9"/>
      <color rgb="FF000000"/>
      <name val="Arial Nova Cond"/>
      <family val="2"/>
    </font>
    <font>
      <b/>
      <sz val="9"/>
      <color theme="1"/>
      <name val="Arial Nova Cond"/>
      <family val="2"/>
    </font>
    <font>
      <sz val="9"/>
      <color theme="1"/>
      <name val="Arial Nova Cond"/>
      <family val="2"/>
    </font>
    <font>
      <sz val="9"/>
      <color rgb="FF212121"/>
      <name val="Arial Nova Cond"/>
      <family val="2"/>
    </font>
    <font>
      <u/>
      <sz val="9"/>
      <color theme="10"/>
      <name val="Arial Nova Cond"/>
      <family val="2"/>
    </font>
    <font>
      <sz val="9"/>
      <name val="Arial Nova Cond"/>
      <family val="2"/>
    </font>
    <font>
      <sz val="9"/>
      <color rgb="FFFF0000"/>
      <name val="Arial Nova Cond"/>
      <family val="2"/>
    </font>
    <font>
      <sz val="9"/>
      <color rgb="FF000000"/>
      <name val="Arial Nova Cond"/>
      <family val="2"/>
    </font>
    <font>
      <sz val="9"/>
      <color rgb="FF000000"/>
      <name val="Arial Nova Cond"/>
    </font>
    <font>
      <sz val="9"/>
      <color theme="1"/>
      <name val="Arial Unicode MS"/>
      <family val="2"/>
    </font>
    <font>
      <sz val="9"/>
      <color rgb="FFFF0000"/>
      <name val="Arial Unicode MS"/>
      <family val="2"/>
    </font>
    <font>
      <sz val="9"/>
      <color rgb="FFFF0000"/>
      <name val="Arial Nova Cond"/>
    </font>
    <font>
      <sz val="11"/>
      <color theme="1"/>
      <name val="Aptos Narrow"/>
      <scheme val="minor"/>
    </font>
    <font>
      <b/>
      <sz val="11"/>
      <color rgb="FFFFFFFF"/>
      <name val="Aptos Narrow"/>
      <scheme val="minor"/>
    </font>
    <font>
      <b/>
      <sz val="11"/>
      <color rgb="FF1B5E20"/>
      <name val="Aptos Narrow"/>
      <scheme val="minor"/>
    </font>
    <font>
      <b/>
      <sz val="24"/>
      <color rgb="FF2E7D32"/>
      <name val="Aptos Display"/>
    </font>
    <font>
      <b/>
      <sz val="18"/>
      <color rgb="FFFFFFFF"/>
      <name val="Aptos Display"/>
    </font>
    <font>
      <b/>
      <sz val="28"/>
      <color rgb="FF2E7D32"/>
      <name val="Aptos Display"/>
    </font>
    <font>
      <i/>
      <sz val="8"/>
      <color rgb="FF999999"/>
      <name val="Aptos Narrow"/>
      <scheme val="minor"/>
    </font>
    <font>
      <b/>
      <sz val="9"/>
      <color rgb="FFFFFFFF"/>
      <name val="Aptos Narrow"/>
      <scheme val="minor"/>
    </font>
    <font>
      <sz val="10"/>
      <color theme="1"/>
      <name val="Aptos Narrow"/>
      <scheme val="minor"/>
    </font>
    <font>
      <i/>
      <sz val="9"/>
      <color rgb="FF999999"/>
      <name val="Aptos Narrow"/>
      <scheme val="minor"/>
    </font>
    <font>
      <sz val="9"/>
      <color rgb="FF2E7D32"/>
      <name val="Aptos Narrow"/>
      <scheme val="minor"/>
    </font>
    <font>
      <b/>
      <sz val="28"/>
      <color rgb="FF2C3E50"/>
      <name val="Aptos Display"/>
    </font>
    <font>
      <b/>
      <sz val="28"/>
      <color rgb="FF00695C"/>
      <name val="Aptos Display"/>
    </font>
    <font>
      <b/>
      <sz val="28"/>
      <color rgb="FF4527A0"/>
      <name val="Aptos Display"/>
    </font>
    <font>
      <b/>
      <sz val="9"/>
      <color rgb="FF555555"/>
      <name val="Aptos Narrow"/>
      <scheme val="minor"/>
    </font>
    <font>
      <b/>
      <sz val="24"/>
      <color rgb="FFAD1457"/>
      <name val="Aptos Display"/>
    </font>
    <font>
      <b/>
      <sz val="24"/>
      <color rgb="FF00695C"/>
      <name val="Aptos Display"/>
    </font>
    <font>
      <b/>
      <sz val="24"/>
      <color rgb="FF283593"/>
      <name val="Aptos Display"/>
    </font>
    <font>
      <b/>
      <sz val="24"/>
      <color rgb="FF455A64"/>
      <name val="Aptos Display"/>
    </font>
    <font>
      <b/>
      <sz val="24"/>
      <color rgb="FF2C3E50"/>
      <name val="Aptos Display"/>
    </font>
    <font>
      <sz val="11"/>
      <color rgb="FF9E9E9E"/>
      <name val="Aptos Narrow"/>
      <scheme val="minor"/>
    </font>
  </fonts>
  <fills count="25">
    <fill>
      <patternFill patternType="none"/>
    </fill>
    <fill>
      <patternFill patternType="gray125"/>
    </fill>
    <fill>
      <patternFill patternType="solid">
        <fgColor theme="5" tint="0.39997558519241921"/>
        <bgColor rgb="FF000000"/>
      </patternFill>
    </fill>
    <fill>
      <patternFill patternType="solid">
        <fgColor theme="5" tint="0.39997558519241921"/>
        <bgColor indexed="64"/>
      </patternFill>
    </fill>
    <fill>
      <patternFill patternType="solid">
        <fgColor rgb="FF00FF00"/>
        <bgColor indexed="64"/>
      </patternFill>
    </fill>
    <fill>
      <patternFill patternType="solid">
        <fgColor rgb="FFFFFF00"/>
        <bgColor indexed="64"/>
      </patternFill>
    </fill>
    <fill>
      <patternFill patternType="solid">
        <fgColor theme="8" tint="0.59999389629810485"/>
        <bgColor indexed="64"/>
      </patternFill>
    </fill>
    <fill>
      <patternFill patternType="solid">
        <fgColor rgb="FFD9D9D9"/>
        <bgColor rgb="FF000000"/>
      </patternFill>
    </fill>
    <fill>
      <patternFill patternType="solid">
        <fgColor theme="0" tint="-0.14999847407452621"/>
        <bgColor indexed="64"/>
      </patternFill>
    </fill>
    <fill>
      <patternFill patternType="solid">
        <fgColor rgb="FFFFFFFF"/>
        <bgColor indexed="64"/>
      </patternFill>
    </fill>
    <fill>
      <patternFill patternType="solid">
        <fgColor rgb="FF37474F"/>
        <bgColor indexed="64"/>
      </patternFill>
    </fill>
    <fill>
      <patternFill patternType="solid">
        <fgColor rgb="FFECEFF1"/>
        <bgColor indexed="64"/>
      </patternFill>
    </fill>
    <fill>
      <patternFill patternType="solid">
        <fgColor rgb="FF1565C0"/>
        <bgColor indexed="64"/>
      </patternFill>
    </fill>
    <fill>
      <patternFill patternType="solid">
        <fgColor rgb="FF1B3A5C"/>
        <bgColor indexed="64"/>
      </patternFill>
    </fill>
    <fill>
      <patternFill patternType="solid">
        <fgColor rgb="FF263238"/>
        <bgColor indexed="64"/>
      </patternFill>
    </fill>
    <fill>
      <patternFill patternType="solid">
        <fgColor rgb="FFFFF3E0"/>
        <bgColor indexed="64"/>
      </patternFill>
    </fill>
    <fill>
      <patternFill patternType="solid">
        <fgColor rgb="FFE8F5E9"/>
        <bgColor indexed="64"/>
      </patternFill>
    </fill>
    <fill>
      <patternFill patternType="solid">
        <fgColor rgb="FFFFF8E1"/>
        <bgColor indexed="64"/>
      </patternFill>
    </fill>
    <fill>
      <patternFill patternType="solid">
        <fgColor rgb="FFE8EDF2"/>
        <bgColor indexed="64"/>
      </patternFill>
    </fill>
    <fill>
      <patternFill patternType="solid">
        <fgColor rgb="FFE0F2F1"/>
        <bgColor indexed="64"/>
      </patternFill>
    </fill>
    <fill>
      <patternFill patternType="solid">
        <fgColor rgb="FFEDE7F6"/>
        <bgColor indexed="64"/>
      </patternFill>
    </fill>
    <fill>
      <patternFill patternType="solid">
        <fgColor rgb="FFFCE4EC"/>
        <bgColor indexed="64"/>
      </patternFill>
    </fill>
    <fill>
      <patternFill patternType="solid">
        <fgColor rgb="FFE0F7FA"/>
        <bgColor indexed="64"/>
      </patternFill>
    </fill>
    <fill>
      <patternFill patternType="solid">
        <fgColor rgb="FFE8EAF6"/>
        <bgColor indexed="64"/>
      </patternFill>
    </fill>
    <fill>
      <patternFill patternType="solid">
        <fgColor rgb="FFF8FAFB"/>
        <bgColor indexed="64"/>
      </patternFill>
    </fill>
  </fills>
  <borders count="14">
    <border>
      <left/>
      <right/>
      <top/>
      <bottom/>
      <diagonal/>
    </border>
    <border>
      <left style="thin">
        <color indexed="64"/>
      </left>
      <right style="thin">
        <color indexed="64"/>
      </right>
      <top/>
      <bottom style="thin">
        <color indexed="64"/>
      </bottom>
      <diagonal/>
    </border>
    <border>
      <left style="thin">
        <color rgb="FFE0E0E0"/>
      </left>
      <right style="thin">
        <color rgb="FFE0E0E0"/>
      </right>
      <top/>
      <bottom style="thin">
        <color rgb="FFE0E0E0"/>
      </bottom>
      <diagonal/>
    </border>
    <border>
      <left style="thin">
        <color rgb="FFE0E0E0"/>
      </left>
      <right/>
      <top/>
      <bottom style="thin">
        <color rgb="FFE0E0E0"/>
      </bottom>
      <diagonal/>
    </border>
    <border>
      <left style="thin">
        <color rgb="FFE0E0E0"/>
      </left>
      <right style="thin">
        <color rgb="FFE0E0E0"/>
      </right>
      <top style="thin">
        <color rgb="FFE0E0E0"/>
      </top>
      <bottom/>
      <diagonal/>
    </border>
    <border>
      <left style="thin">
        <color rgb="FFE0E0E0"/>
      </left>
      <right/>
      <top style="thin">
        <color rgb="FFE0E0E0"/>
      </top>
      <bottom/>
      <diagonal/>
    </border>
    <border>
      <left/>
      <right/>
      <top/>
      <bottom style="thin">
        <color rgb="FF1B5E20"/>
      </bottom>
      <diagonal/>
    </border>
    <border>
      <left style="thin">
        <color rgb="FFE0E0E0"/>
      </left>
      <right/>
      <top/>
      <bottom/>
      <diagonal/>
    </border>
    <border>
      <left style="thin">
        <color rgb="FFE0E0E0"/>
      </left>
      <right style="thin">
        <color rgb="FFE0E0E0"/>
      </right>
      <top/>
      <bottom/>
      <diagonal/>
    </border>
    <border>
      <left/>
      <right/>
      <top style="thin">
        <color rgb="FF44B3E1"/>
      </top>
      <bottom/>
      <diagonal/>
    </border>
    <border>
      <left/>
      <right/>
      <top style="thin">
        <color rgb="FF44B3E1"/>
      </top>
      <bottom style="thin">
        <color rgb="FF44B3E1"/>
      </bottom>
      <diagonal/>
    </border>
    <border>
      <left style="thin">
        <color rgb="FF44B3E1"/>
      </left>
      <right style="thin">
        <color rgb="FF44B3E1"/>
      </right>
      <top style="thin">
        <color rgb="FF44B3E1"/>
      </top>
      <bottom style="thin">
        <color rgb="FF44B3E1"/>
      </bottom>
      <diagonal/>
    </border>
    <border>
      <left style="thin">
        <color rgb="FF44B3E1"/>
      </left>
      <right/>
      <top style="thin">
        <color rgb="FF44B3E1"/>
      </top>
      <bottom/>
      <diagonal/>
    </border>
    <border>
      <left style="thin">
        <color rgb="FF44B3E1"/>
      </left>
      <right/>
      <top style="thin">
        <color rgb="FF44B3E1"/>
      </top>
      <bottom style="thin">
        <color rgb="FF44B3E1"/>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4" fillId="0" borderId="0" xfId="0" applyFont="1"/>
    <xf numFmtId="14" fontId="4" fillId="0" borderId="0" xfId="0" applyNumberFormat="1" applyFont="1" applyAlignment="1">
      <alignment horizontal="center"/>
    </xf>
    <xf numFmtId="0" fontId="4" fillId="0" borderId="0" xfId="0" applyFont="1" applyAlignment="1">
      <alignment wrapText="1"/>
    </xf>
    <xf numFmtId="49" fontId="4" fillId="0" borderId="0" xfId="0" applyNumberFormat="1" applyFont="1" applyAlignment="1">
      <alignment horizontal="center"/>
    </xf>
    <xf numFmtId="0" fontId="4" fillId="0" borderId="0" xfId="0" applyFont="1" applyAlignment="1">
      <alignment horizontal="center"/>
    </xf>
    <xf numFmtId="0" fontId="5" fillId="0" borderId="0" xfId="0" applyFont="1" applyAlignment="1">
      <alignment horizontal="center"/>
    </xf>
    <xf numFmtId="0" fontId="4" fillId="4" borderId="0" xfId="0" applyFont="1" applyFill="1" applyAlignment="1">
      <alignment horizontal="center"/>
    </xf>
    <xf numFmtId="0" fontId="6" fillId="0" borderId="0" xfId="1" applyFont="1"/>
    <xf numFmtId="49" fontId="4" fillId="4" borderId="0" xfId="0" applyNumberFormat="1" applyFont="1" applyFill="1" applyAlignment="1">
      <alignment horizontal="center"/>
    </xf>
    <xf numFmtId="0" fontId="7" fillId="0" borderId="0" xfId="0" applyFont="1" applyAlignment="1">
      <alignment horizontal="center"/>
    </xf>
    <xf numFmtId="0" fontId="4" fillId="5" borderId="0" xfId="0" applyFont="1" applyFill="1" applyAlignment="1">
      <alignment wrapText="1"/>
    </xf>
    <xf numFmtId="49" fontId="4" fillId="0" borderId="0" xfId="0" applyNumberFormat="1" applyFont="1" applyAlignment="1">
      <alignment horizontal="center" vertical="top"/>
    </xf>
    <xf numFmtId="8" fontId="4" fillId="0" borderId="0" xfId="0" applyNumberFormat="1" applyFont="1" applyAlignment="1">
      <alignment horizontal="center"/>
    </xf>
    <xf numFmtId="14" fontId="4" fillId="5" borderId="0" xfId="0" applyNumberFormat="1" applyFont="1" applyFill="1" applyAlignment="1">
      <alignment horizontal="center"/>
    </xf>
    <xf numFmtId="8" fontId="4" fillId="4" borderId="0" xfId="0" applyNumberFormat="1" applyFont="1" applyFill="1" applyAlignment="1">
      <alignment horizontal="center"/>
    </xf>
    <xf numFmtId="0" fontId="7" fillId="0" borderId="0" xfId="1" applyFont="1" applyAlignment="1">
      <alignment horizontal="center"/>
    </xf>
    <xf numFmtId="0" fontId="4" fillId="5" borderId="0" xfId="0" applyFont="1" applyFill="1" applyAlignment="1">
      <alignment horizontal="center"/>
    </xf>
    <xf numFmtId="0" fontId="9" fillId="0" borderId="0" xfId="0" applyFont="1" applyAlignment="1">
      <alignment horizontal="center"/>
    </xf>
    <xf numFmtId="6" fontId="4" fillId="0" borderId="0" xfId="0" applyNumberFormat="1" applyFont="1" applyAlignment="1">
      <alignment horizontal="center"/>
    </xf>
    <xf numFmtId="16" fontId="4" fillId="0" borderId="0" xfId="0" applyNumberFormat="1" applyFont="1"/>
    <xf numFmtId="49" fontId="9" fillId="0" borderId="0" xfId="0" applyNumberFormat="1" applyFont="1" applyAlignment="1">
      <alignment horizontal="center"/>
    </xf>
    <xf numFmtId="14" fontId="4" fillId="0" borderId="0" xfId="0" applyNumberFormat="1" applyFont="1"/>
    <xf numFmtId="0" fontId="4" fillId="0" borderId="0" xfId="0" applyFont="1" applyAlignment="1">
      <alignment horizontal="right"/>
    </xf>
    <xf numFmtId="0" fontId="4" fillId="5" borderId="0" xfId="0" applyFont="1" applyFill="1"/>
    <xf numFmtId="49" fontId="4" fillId="5" borderId="0" xfId="0" applyNumberFormat="1" applyFont="1" applyFill="1" applyAlignment="1">
      <alignment horizontal="center"/>
    </xf>
    <xf numFmtId="49" fontId="4" fillId="0" borderId="0" xfId="0" applyNumberFormat="1" applyFont="1" applyAlignment="1">
      <alignment horizontal="left"/>
    </xf>
    <xf numFmtId="0" fontId="7" fillId="0" borderId="0" xfId="0" applyFont="1"/>
    <xf numFmtId="0" fontId="4" fillId="6" borderId="0" xfId="0" applyFont="1" applyFill="1"/>
    <xf numFmtId="14" fontId="4" fillId="4" borderId="0" xfId="0" applyNumberFormat="1" applyFont="1" applyFill="1" applyAlignment="1">
      <alignment horizontal="center"/>
    </xf>
    <xf numFmtId="0" fontId="4" fillId="0" borderId="0" xfId="0" applyFont="1" applyAlignment="1">
      <alignment horizontal="left"/>
    </xf>
    <xf numFmtId="0" fontId="6" fillId="0" borderId="0" xfId="1" applyFont="1" applyFill="1"/>
    <xf numFmtId="0" fontId="8" fillId="0" borderId="0" xfId="0" applyFont="1"/>
    <xf numFmtId="14" fontId="9" fillId="0" borderId="0" xfId="0" applyNumberFormat="1" applyFont="1" applyAlignment="1">
      <alignment horizontal="center"/>
    </xf>
    <xf numFmtId="0" fontId="9" fillId="0" borderId="0" xfId="0" applyFont="1"/>
    <xf numFmtId="0" fontId="10" fillId="0" borderId="0" xfId="0" applyFont="1"/>
    <xf numFmtId="14" fontId="9" fillId="7" borderId="0" xfId="0" applyNumberFormat="1" applyFont="1" applyFill="1" applyAlignment="1">
      <alignment horizontal="center"/>
    </xf>
    <xf numFmtId="0" fontId="9" fillId="7" borderId="0" xfId="0" applyFont="1" applyFill="1"/>
    <xf numFmtId="0" fontId="9" fillId="7" borderId="0" xfId="0" applyFont="1" applyFill="1" applyAlignment="1">
      <alignment horizontal="center"/>
    </xf>
    <xf numFmtId="0" fontId="11" fillId="0" borderId="0" xfId="0" applyFont="1"/>
    <xf numFmtId="0" fontId="1" fillId="0" borderId="0" xfId="1" applyFill="1"/>
    <xf numFmtId="14" fontId="8" fillId="0" borderId="0" xfId="0" applyNumberFormat="1" applyFont="1" applyAlignment="1">
      <alignment horizontal="center"/>
    </xf>
    <xf numFmtId="0" fontId="8" fillId="0" borderId="0" xfId="0" applyFont="1" applyAlignment="1">
      <alignment horizontal="center"/>
    </xf>
    <xf numFmtId="0" fontId="12" fillId="0" borderId="0" xfId="0" applyFont="1"/>
    <xf numFmtId="49" fontId="8" fillId="0" borderId="0" xfId="0" applyNumberFormat="1" applyFont="1" applyAlignment="1">
      <alignment horizontal="center"/>
    </xf>
    <xf numFmtId="0" fontId="4" fillId="8" borderId="0" xfId="0" applyFont="1" applyFill="1"/>
    <xf numFmtId="0" fontId="2" fillId="2" borderId="1" xfId="0" applyFont="1" applyFill="1" applyBorder="1" applyAlignment="1">
      <alignment horizontal="center" wrapText="1"/>
    </xf>
    <xf numFmtId="0" fontId="2" fillId="2" borderId="1" xfId="0" applyFont="1" applyFill="1" applyBorder="1" applyAlignment="1">
      <alignment horizontal="center"/>
    </xf>
    <xf numFmtId="49" fontId="3" fillId="3" borderId="1" xfId="0" applyNumberFormat="1" applyFont="1" applyFill="1" applyBorder="1" applyAlignment="1">
      <alignment horizontal="center"/>
    </xf>
    <xf numFmtId="0" fontId="2" fillId="3" borderId="1" xfId="0" applyFont="1" applyFill="1" applyBorder="1" applyAlignment="1">
      <alignment horizontal="center" wrapText="1"/>
    </xf>
    <xf numFmtId="0" fontId="3" fillId="3" borderId="1" xfId="0" applyFont="1" applyFill="1" applyBorder="1" applyAlignment="1">
      <alignment horizontal="center"/>
    </xf>
    <xf numFmtId="0" fontId="3" fillId="3" borderId="1" xfId="0" applyFont="1" applyFill="1" applyBorder="1" applyAlignment="1">
      <alignment horizontal="center" wrapText="1"/>
    </xf>
    <xf numFmtId="0" fontId="2" fillId="2" borderId="1" xfId="0" applyFont="1" applyFill="1" applyBorder="1" applyAlignment="1">
      <alignment wrapText="1"/>
    </xf>
    <xf numFmtId="0" fontId="4" fillId="8" borderId="0" xfId="1" applyFont="1" applyFill="1"/>
    <xf numFmtId="8" fontId="8" fillId="0" borderId="0" xfId="0" applyNumberFormat="1" applyFont="1" applyAlignment="1">
      <alignment horizontal="center"/>
    </xf>
    <xf numFmtId="14" fontId="10" fillId="8" borderId="0" xfId="0" applyNumberFormat="1" applyFont="1" applyFill="1"/>
    <xf numFmtId="0" fontId="10" fillId="8" borderId="0" xfId="0" applyFont="1" applyFill="1"/>
    <xf numFmtId="14" fontId="13" fillId="8" borderId="0" xfId="0" applyNumberFormat="1" applyFont="1" applyFill="1"/>
    <xf numFmtId="0" fontId="13" fillId="8" borderId="0" xfId="0" applyFont="1" applyFill="1"/>
    <xf numFmtId="14" fontId="2" fillId="2" borderId="1" xfId="0" applyNumberFormat="1" applyFont="1" applyFill="1" applyBorder="1" applyAlignment="1">
      <alignment wrapText="1"/>
    </xf>
    <xf numFmtId="14" fontId="10" fillId="0" borderId="0" xfId="0" applyNumberFormat="1" applyFont="1"/>
    <xf numFmtId="0" fontId="10" fillId="0" borderId="0" xfId="0" applyFont="1" applyAlignment="1">
      <alignment horizontal="center"/>
    </xf>
    <xf numFmtId="14" fontId="10" fillId="0" borderId="0" xfId="0" applyNumberFormat="1" applyFont="1" applyAlignment="1">
      <alignment horizontal="center"/>
    </xf>
    <xf numFmtId="14" fontId="13" fillId="0" borderId="0" xfId="0" applyNumberFormat="1" applyFont="1"/>
    <xf numFmtId="14" fontId="13" fillId="0" borderId="0" xfId="0" applyNumberFormat="1" applyFont="1" applyAlignment="1">
      <alignment horizontal="center"/>
    </xf>
    <xf numFmtId="0" fontId="14" fillId="0" borderId="0" xfId="0" applyFont="1"/>
    <xf numFmtId="0" fontId="14" fillId="9" borderId="0" xfId="0" applyFont="1" applyFill="1"/>
    <xf numFmtId="0" fontId="15" fillId="10" borderId="0" xfId="0" applyFont="1" applyFill="1" applyAlignment="1">
      <alignment horizontal="center"/>
    </xf>
    <xf numFmtId="0" fontId="15" fillId="12" borderId="0" xfId="0" applyFont="1" applyFill="1" applyAlignment="1">
      <alignment horizontal="center"/>
    </xf>
    <xf numFmtId="0" fontId="14" fillId="0" borderId="0" xfId="0" applyFont="1" applyAlignment="1">
      <alignment horizontal="center"/>
    </xf>
    <xf numFmtId="165" fontId="14" fillId="0" borderId="0" xfId="0" applyNumberFormat="1" applyFont="1" applyAlignment="1">
      <alignment horizontal="center"/>
    </xf>
    <xf numFmtId="49" fontId="14" fillId="0" borderId="0" xfId="0" applyNumberFormat="1" applyFont="1"/>
    <xf numFmtId="49" fontId="9" fillId="0" borderId="0" xfId="0" applyNumberFormat="1" applyFont="1" applyAlignment="1">
      <alignment horizontal="center" vertical="center"/>
    </xf>
    <xf numFmtId="49" fontId="9" fillId="7" borderId="0" xfId="0" applyNumberFormat="1" applyFont="1" applyFill="1" applyAlignment="1">
      <alignment horizontal="center"/>
    </xf>
    <xf numFmtId="14" fontId="4" fillId="8" borderId="0" xfId="0" applyNumberFormat="1" applyFont="1" applyFill="1" applyAlignment="1">
      <alignment horizontal="center"/>
    </xf>
    <xf numFmtId="0" fontId="4" fillId="8" borderId="0" xfId="0" quotePrefix="1" applyFont="1" applyFill="1"/>
    <xf numFmtId="0" fontId="11" fillId="8" borderId="0" xfId="0" applyFont="1" applyFill="1"/>
    <xf numFmtId="0" fontId="11" fillId="8" borderId="0" xfId="0" applyFont="1" applyFill="1" applyAlignment="1">
      <alignment horizontal="left"/>
    </xf>
    <xf numFmtId="49" fontId="11" fillId="8" borderId="0" xfId="0" applyNumberFormat="1" applyFont="1" applyFill="1" applyAlignment="1">
      <alignment horizontal="left"/>
    </xf>
    <xf numFmtId="0" fontId="11" fillId="8" borderId="0" xfId="1" applyFont="1" applyFill="1" applyAlignment="1">
      <alignment horizontal="left"/>
    </xf>
    <xf numFmtId="49" fontId="4" fillId="8" borderId="0" xfId="0" applyNumberFormat="1" applyFont="1" applyFill="1" applyAlignment="1">
      <alignment horizontal="center"/>
    </xf>
    <xf numFmtId="0" fontId="4" fillId="8" borderId="0" xfId="0" applyFont="1" applyFill="1" applyAlignment="1">
      <alignment horizontal="center"/>
    </xf>
    <xf numFmtId="8" fontId="4" fillId="8" borderId="0" xfId="0" applyNumberFormat="1" applyFont="1" applyFill="1" applyAlignment="1">
      <alignment horizontal="center"/>
    </xf>
    <xf numFmtId="164" fontId="4" fillId="8" borderId="0" xfId="0" applyNumberFormat="1" applyFont="1" applyFill="1" applyAlignment="1">
      <alignment horizontal="center"/>
    </xf>
    <xf numFmtId="0" fontId="14" fillId="9" borderId="0" xfId="0" applyFont="1" applyFill="1" applyAlignment="1">
      <alignment horizontal="center"/>
    </xf>
    <xf numFmtId="167" fontId="22" fillId="9" borderId="0" xfId="0" applyNumberFormat="1" applyFont="1" applyFill="1"/>
    <xf numFmtId="0" fontId="22" fillId="9" borderId="0" xfId="0" applyFont="1" applyFill="1" applyAlignment="1">
      <alignment horizontal="center"/>
    </xf>
    <xf numFmtId="0" fontId="23" fillId="9" borderId="0" xfId="0" applyFont="1" applyFill="1"/>
    <xf numFmtId="0" fontId="24" fillId="9" borderId="0" xfId="0" applyFont="1" applyFill="1"/>
    <xf numFmtId="0" fontId="16" fillId="9" borderId="6" xfId="0" applyFont="1" applyFill="1" applyBorder="1"/>
    <xf numFmtId="0" fontId="14" fillId="9" borderId="6" xfId="0" applyFont="1" applyFill="1" applyBorder="1"/>
    <xf numFmtId="0" fontId="21" fillId="14" borderId="0" xfId="0" applyFont="1" applyFill="1" applyAlignment="1">
      <alignment horizontal="center"/>
    </xf>
    <xf numFmtId="0" fontId="15" fillId="14" borderId="0" xfId="0" applyFont="1" applyFill="1"/>
    <xf numFmtId="0" fontId="15" fillId="14" borderId="0" xfId="0" applyFont="1" applyFill="1" applyAlignment="1">
      <alignment horizontal="center"/>
    </xf>
    <xf numFmtId="167" fontId="22" fillId="24" borderId="0" xfId="0" applyNumberFormat="1" applyFont="1" applyFill="1"/>
    <xf numFmtId="0" fontId="22" fillId="24" borderId="0" xfId="0" applyFont="1" applyFill="1" applyAlignment="1">
      <alignment horizontal="center"/>
    </xf>
    <xf numFmtId="0" fontId="14" fillId="24" borderId="0" xfId="0" applyFont="1" applyFill="1"/>
    <xf numFmtId="0" fontId="14" fillId="24" borderId="0" xfId="0" applyFont="1" applyFill="1" applyAlignment="1">
      <alignment horizontal="center"/>
    </xf>
    <xf numFmtId="0" fontId="25" fillId="18" borderId="7" xfId="0" applyFont="1" applyFill="1" applyBorder="1" applyAlignment="1">
      <alignment horizontal="center"/>
    </xf>
    <xf numFmtId="0" fontId="28" fillId="18" borderId="5" xfId="0" applyFont="1" applyFill="1" applyBorder="1" applyAlignment="1">
      <alignment horizontal="center"/>
    </xf>
    <xf numFmtId="0" fontId="20" fillId="18" borderId="3" xfId="0" applyFont="1" applyFill="1" applyBorder="1" applyAlignment="1">
      <alignment horizontal="center"/>
    </xf>
    <xf numFmtId="0" fontId="26" fillId="19" borderId="7" xfId="0" applyFont="1" applyFill="1" applyBorder="1" applyAlignment="1">
      <alignment horizontal="center"/>
    </xf>
    <xf numFmtId="0" fontId="28" fillId="19" borderId="5" xfId="0" applyFont="1" applyFill="1" applyBorder="1" applyAlignment="1">
      <alignment horizontal="center"/>
    </xf>
    <xf numFmtId="0" fontId="20" fillId="19" borderId="3" xfId="0" applyFont="1" applyFill="1" applyBorder="1" applyAlignment="1">
      <alignment horizontal="center"/>
    </xf>
    <xf numFmtId="0" fontId="19" fillId="16" borderId="7" xfId="0" applyFont="1" applyFill="1" applyBorder="1" applyAlignment="1">
      <alignment horizontal="center"/>
    </xf>
    <xf numFmtId="0" fontId="28" fillId="16" borderId="8" xfId="0" applyFont="1" applyFill="1" applyBorder="1" applyAlignment="1">
      <alignment horizontal="center"/>
    </xf>
    <xf numFmtId="0" fontId="20" fillId="16" borderId="2" xfId="0" applyFont="1" applyFill="1" applyBorder="1" applyAlignment="1">
      <alignment horizontal="center"/>
    </xf>
    <xf numFmtId="0" fontId="28" fillId="16" borderId="5" xfId="0" applyFont="1" applyFill="1" applyBorder="1" applyAlignment="1">
      <alignment horizontal="center"/>
    </xf>
    <xf numFmtId="0" fontId="20" fillId="16" borderId="3" xfId="0" applyFont="1" applyFill="1" applyBorder="1" applyAlignment="1">
      <alignment horizontal="center"/>
    </xf>
    <xf numFmtId="0" fontId="28" fillId="15" borderId="5" xfId="0" applyFont="1" applyFill="1" applyBorder="1" applyAlignment="1">
      <alignment horizontal="center"/>
    </xf>
    <xf numFmtId="0" fontId="20" fillId="15" borderId="3" xfId="0" applyFont="1" applyFill="1" applyBorder="1" applyAlignment="1">
      <alignment horizontal="center"/>
    </xf>
    <xf numFmtId="166" fontId="27" fillId="20" borderId="7" xfId="0" applyNumberFormat="1" applyFont="1" applyFill="1" applyBorder="1" applyAlignment="1">
      <alignment horizontal="center"/>
    </xf>
    <xf numFmtId="0" fontId="29" fillId="21" borderId="7" xfId="0" applyFont="1" applyFill="1" applyBorder="1" applyAlignment="1">
      <alignment horizontal="center"/>
    </xf>
    <xf numFmtId="0" fontId="20" fillId="21" borderId="3" xfId="0" applyFont="1" applyFill="1" applyBorder="1" applyAlignment="1">
      <alignment horizontal="center"/>
    </xf>
    <xf numFmtId="0" fontId="20" fillId="17" borderId="3" xfId="0" applyFont="1" applyFill="1" applyBorder="1" applyAlignment="1">
      <alignment horizontal="center"/>
    </xf>
    <xf numFmtId="0" fontId="30" fillId="22" borderId="7" xfId="0" applyFont="1" applyFill="1" applyBorder="1" applyAlignment="1">
      <alignment horizontal="center"/>
    </xf>
    <xf numFmtId="0" fontId="20" fillId="22" borderId="3" xfId="0" applyFont="1" applyFill="1" applyBorder="1" applyAlignment="1">
      <alignment horizontal="center"/>
    </xf>
    <xf numFmtId="0" fontId="31" fillId="23" borderId="7" xfId="0" applyFont="1" applyFill="1" applyBorder="1" applyAlignment="1">
      <alignment horizontal="center"/>
    </xf>
    <xf numFmtId="0" fontId="28" fillId="23" borderId="4" xfId="0" applyFont="1" applyFill="1" applyBorder="1" applyAlignment="1">
      <alignment horizontal="center"/>
    </xf>
    <xf numFmtId="0" fontId="20" fillId="23" borderId="2" xfId="0" applyFont="1" applyFill="1" applyBorder="1" applyAlignment="1">
      <alignment horizontal="center"/>
    </xf>
    <xf numFmtId="0" fontId="20" fillId="23" borderId="3" xfId="0" applyFont="1" applyFill="1" applyBorder="1" applyAlignment="1">
      <alignment horizontal="center"/>
    </xf>
    <xf numFmtId="49" fontId="32" fillId="11" borderId="7" xfId="0" applyNumberFormat="1" applyFont="1" applyFill="1" applyBorder="1" applyAlignment="1">
      <alignment horizontal="center"/>
    </xf>
    <xf numFmtId="0" fontId="28" fillId="20" borderId="5" xfId="0" applyFont="1" applyFill="1" applyBorder="1" applyAlignment="1">
      <alignment horizontal="center"/>
    </xf>
    <xf numFmtId="0" fontId="20" fillId="20" borderId="3" xfId="0" applyFont="1" applyFill="1" applyBorder="1" applyAlignment="1">
      <alignment horizontal="center"/>
    </xf>
    <xf numFmtId="0" fontId="20" fillId="11" borderId="3" xfId="0" applyFont="1" applyFill="1" applyBorder="1" applyAlignment="1">
      <alignment horizontal="center"/>
    </xf>
    <xf numFmtId="0" fontId="17" fillId="16" borderId="8" xfId="0" applyFont="1" applyFill="1" applyBorder="1" applyAlignment="1">
      <alignment horizontal="center"/>
    </xf>
    <xf numFmtId="0" fontId="28" fillId="21" borderId="7" xfId="0" applyFont="1" applyFill="1" applyBorder="1" applyAlignment="1">
      <alignment horizontal="center"/>
    </xf>
    <xf numFmtId="0" fontId="28" fillId="17" borderId="7" xfId="0" applyFont="1" applyFill="1" applyBorder="1" applyAlignment="1">
      <alignment horizontal="center"/>
    </xf>
    <xf numFmtId="0" fontId="28" fillId="22" borderId="7" xfId="0" applyFont="1" applyFill="1" applyBorder="1" applyAlignment="1">
      <alignment horizontal="center"/>
    </xf>
    <xf numFmtId="0" fontId="28" fillId="23" borderId="7" xfId="0" applyFont="1" applyFill="1" applyBorder="1" applyAlignment="1">
      <alignment horizontal="center"/>
    </xf>
    <xf numFmtId="0" fontId="28" fillId="11" borderId="7" xfId="0" applyFont="1" applyFill="1" applyBorder="1" applyAlignment="1">
      <alignment horizontal="center"/>
    </xf>
    <xf numFmtId="0" fontId="25" fillId="15" borderId="7" xfId="0" applyFont="1" applyFill="1" applyBorder="1" applyAlignment="1">
      <alignment horizontal="center"/>
    </xf>
    <xf numFmtId="0" fontId="33" fillId="17" borderId="7" xfId="0" applyFont="1" applyFill="1" applyBorder="1" applyAlignment="1">
      <alignment horizontal="center"/>
    </xf>
    <xf numFmtId="0" fontId="25" fillId="23" borderId="8" xfId="0" applyFont="1" applyFill="1" applyBorder="1" applyAlignment="1">
      <alignment horizontal="center"/>
    </xf>
    <xf numFmtId="0" fontId="15" fillId="10" borderId="9" xfId="0" applyFont="1" applyFill="1" applyBorder="1" applyAlignment="1">
      <alignment horizontal="center"/>
    </xf>
    <xf numFmtId="0" fontId="34" fillId="16" borderId="10" xfId="0" applyFont="1" applyFill="1" applyBorder="1"/>
    <xf numFmtId="164" fontId="34" fillId="16" borderId="11" xfId="0" applyNumberFormat="1" applyFont="1" applyFill="1" applyBorder="1"/>
    <xf numFmtId="0" fontId="1" fillId="16" borderId="10" xfId="1" applyFill="1" applyBorder="1"/>
    <xf numFmtId="0" fontId="18" fillId="13" borderId="0" xfId="0" applyFont="1" applyFill="1" applyAlignment="1">
      <alignment horizontal="center"/>
    </xf>
    <xf numFmtId="0" fontId="14" fillId="13" borderId="0" xfId="0" applyFont="1" applyFill="1"/>
    <xf numFmtId="0" fontId="14" fillId="0" borderId="0" xfId="0" applyNumberFormat="1" applyFont="1"/>
    <xf numFmtId="0" fontId="15" fillId="10" borderId="12" xfId="0" applyFont="1" applyFill="1" applyBorder="1" applyAlignment="1">
      <alignment horizontal="center"/>
    </xf>
    <xf numFmtId="0" fontId="15" fillId="10" borderId="13" xfId="0" applyFont="1" applyFill="1" applyBorder="1" applyAlignment="1">
      <alignment horizontal="center"/>
    </xf>
    <xf numFmtId="0" fontId="15" fillId="10" borderId="11" xfId="0" applyFont="1" applyFill="1" applyBorder="1" applyAlignment="1">
      <alignment horizontal="center"/>
    </xf>
    <xf numFmtId="0" fontId="14" fillId="0" borderId="0" xfId="0" applyNumberFormat="1" applyFont="1" applyAlignment="1">
      <alignment horizontal="center"/>
    </xf>
  </cellXfs>
  <cellStyles count="2">
    <cellStyle name="Hyperlink" xfId="1" builtinId="8"/>
    <cellStyle name="Normal" xfId="0" builtinId="0"/>
  </cellStyles>
  <dxfs count="55">
    <dxf>
      <font>
        <b val="0"/>
        <i val="0"/>
        <strike val="0"/>
        <condense val="0"/>
        <extend val="0"/>
        <outline val="0"/>
        <shadow val="0"/>
        <u val="none"/>
        <vertAlign val="baseline"/>
        <sz val="11"/>
        <color theme="1"/>
        <name val="Aptos Narrow"/>
        <scheme val="minor"/>
      </font>
      <numFmt numFmtId="0" formatCode="General"/>
      <alignment horizontal="center"/>
    </dxf>
    <dxf>
      <font>
        <b val="0"/>
        <i val="0"/>
        <strike val="0"/>
        <condense val="0"/>
        <extend val="0"/>
        <outline val="0"/>
        <shadow val="0"/>
        <u val="none"/>
        <vertAlign val="baseline"/>
        <sz val="11"/>
        <color theme="1"/>
        <name val="Aptos Narrow"/>
        <scheme val="minor"/>
      </font>
      <numFmt numFmtId="0" formatCode="General"/>
    </dxf>
    <dxf>
      <font>
        <color rgb="FF2E7D32"/>
      </font>
      <fill>
        <patternFill patternType="solid">
          <fgColor indexed="64"/>
          <bgColor rgb="FFE8F5E9"/>
        </patternFill>
      </fill>
    </dxf>
    <dxf>
      <font>
        <b/>
        <i val="0"/>
        <color rgb="FFE65100"/>
      </font>
      <fill>
        <patternFill patternType="solid">
          <fgColor indexed="64"/>
          <bgColor rgb="FFFFF3E0"/>
        </patternFill>
      </fill>
    </dxf>
    <dxf>
      <font>
        <b/>
        <i val="0"/>
        <color rgb="FFB71C1C"/>
      </font>
      <fill>
        <patternFill patternType="solid">
          <fgColor indexed="64"/>
          <bgColor rgb="FFFFCDD2"/>
        </patternFill>
      </fill>
    </dxf>
    <dxf>
      <font>
        <b/>
        <i val="0"/>
        <color rgb="FF1B5E20"/>
      </font>
      <fill>
        <patternFill patternType="solid">
          <fgColor indexed="64"/>
          <bgColor rgb="FFA5D6A7"/>
        </patternFill>
      </fill>
    </dxf>
    <dxf>
      <font>
        <color rgb="FF757575"/>
      </font>
      <fill>
        <patternFill patternType="solid">
          <fgColor indexed="64"/>
          <bgColor rgb="FFE0E0E0"/>
        </patternFill>
      </fill>
    </dxf>
    <dxf>
      <font>
        <b/>
        <i val="0"/>
        <color rgb="FF000000"/>
      </font>
      <fill>
        <patternFill patternType="solid">
          <fgColor indexed="64"/>
          <bgColor rgb="FFFFD600"/>
        </patternFill>
      </fill>
    </dxf>
    <dxf>
      <font>
        <b/>
        <i val="0"/>
        <color rgb="FFFFFFFF"/>
      </font>
      <fill>
        <patternFill patternType="solid">
          <fgColor indexed="64"/>
          <bgColor rgb="FFE65100"/>
        </patternFill>
      </fill>
    </dxf>
    <dxf>
      <font>
        <b/>
        <i val="0"/>
        <color rgb="FFFFFFFF"/>
      </font>
      <fill>
        <patternFill patternType="solid">
          <fgColor indexed="64"/>
          <bgColor rgb="FFC62828"/>
        </patternFill>
      </fill>
    </dxf>
    <dxf>
      <fill>
        <patternFill patternType="solid">
          <fgColor indexed="64"/>
          <bgColor rgb="FFFFF3F3"/>
        </patternFill>
      </fill>
    </dxf>
    <dxf>
      <font>
        <color rgb="FF9E9E9E"/>
      </font>
      <fill>
        <patternFill patternType="solid">
          <fgColor indexed="64"/>
          <bgColor rgb="FFE8F5E9"/>
        </patternFill>
      </fill>
    </dxf>
    <dxf>
      <font>
        <b val="0"/>
        <i val="0"/>
        <strike val="0"/>
        <condense val="0"/>
        <extend val="0"/>
        <outline val="0"/>
        <shadow val="0"/>
        <u val="none"/>
        <vertAlign val="baseline"/>
        <sz val="9"/>
        <color theme="1"/>
        <name val="Arial Nova Cond"/>
        <family val="2"/>
        <scheme val="none"/>
      </font>
      <numFmt numFmtId="0" formatCode="General"/>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numFmt numFmtId="30" formatCode="@"/>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Unicode MS"/>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numFmt numFmtId="19" formatCode="m/d/yyyy"/>
      <fill>
        <patternFill patternType="solid">
          <fgColor indexed="64"/>
          <bgColor theme="0" tint="-0.14999847407452621"/>
        </patternFill>
      </fill>
      <alignment horizontal="center" vertical="bottom" textRotation="0" wrapText="0" indent="0" justifyLastLine="0" shrinkToFit="0" readingOrder="0"/>
    </dxf>
    <dxf>
      <border outline="0">
        <top style="thin">
          <color indexed="64"/>
        </top>
      </border>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border outline="0">
        <bottom style="thin">
          <color indexed="64"/>
        </bottom>
      </border>
    </dxf>
    <dxf>
      <font>
        <b/>
        <i val="0"/>
        <strike val="0"/>
        <condense val="0"/>
        <extend val="0"/>
        <outline val="0"/>
        <shadow val="0"/>
        <u val="none"/>
        <vertAlign val="baseline"/>
        <sz val="9"/>
        <color rgb="FF000000"/>
        <name val="Arial Nova Cond"/>
        <family val="2"/>
        <scheme val="none"/>
      </font>
      <fill>
        <patternFill patternType="solid">
          <fgColor rgb="FF000000"/>
          <bgColor theme="5" tint="0.39997558519241921"/>
        </patternFill>
      </fill>
      <alignment horizontal="general" vertical="bottom"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Aptos Narrow"/>
        <scheme val="minor"/>
      </font>
      <numFmt numFmtId="164" formatCode="&quot;$&quot;#,##0.00"/>
    </dxf>
    <dxf>
      <font>
        <b val="0"/>
        <i val="0"/>
        <strike val="0"/>
        <condense val="0"/>
        <extend val="0"/>
        <outline val="0"/>
        <shadow val="0"/>
        <u val="none"/>
        <vertAlign val="baseline"/>
        <sz val="11"/>
        <color theme="1"/>
        <name val="Aptos Narrow"/>
        <scheme val="minor"/>
      </font>
      <numFmt numFmtId="0" formatCode="General"/>
    </dxf>
    <dxf>
      <font>
        <b val="0"/>
        <i val="0"/>
        <strike val="0"/>
        <condense val="0"/>
        <extend val="0"/>
        <outline val="0"/>
        <shadow val="0"/>
        <u val="none"/>
        <vertAlign val="baseline"/>
        <sz val="11"/>
        <color theme="1"/>
        <name val="Aptos Narrow"/>
        <scheme val="minor"/>
      </font>
      <numFmt numFmtId="0" formatCode="General"/>
    </dxf>
    <dxf>
      <font>
        <b val="0"/>
        <i val="0"/>
        <strike val="0"/>
        <condense val="0"/>
        <extend val="0"/>
        <outline val="0"/>
        <shadow val="0"/>
        <u val="none"/>
        <vertAlign val="baseline"/>
        <sz val="11"/>
        <color theme="1"/>
        <name val="Aptos Narrow"/>
        <scheme val="minor"/>
      </font>
      <numFmt numFmtId="0" formatCode="General"/>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numFmt numFmtId="165" formatCode="mm/dd/yyyy"/>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numFmt numFmtId="30" formatCode="@"/>
    </dxf>
    <dxf>
      <font>
        <b val="0"/>
        <i val="0"/>
        <strike val="0"/>
        <condense val="0"/>
        <extend val="0"/>
        <outline val="0"/>
        <shadow val="0"/>
        <u val="none"/>
        <vertAlign val="baseline"/>
        <sz val="11"/>
        <color theme="1"/>
        <name val="Aptos Narrow"/>
        <scheme val="minor"/>
      </font>
    </dxf>
    <dxf>
      <font>
        <b/>
        <i val="0"/>
        <strike val="0"/>
        <condense val="0"/>
        <extend val="0"/>
        <outline val="0"/>
        <shadow val="0"/>
        <u val="none"/>
        <vertAlign val="baseline"/>
        <sz val="11"/>
        <color rgb="FFFFFFFF"/>
        <name val="Aptos Narrow"/>
        <scheme val="minor"/>
      </font>
      <fill>
        <patternFill patternType="solid">
          <fgColor indexed="64"/>
          <bgColor rgb="FF37474F"/>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1.xml"/><Relationship Id="rId5" Type="http://schemas.openxmlformats.org/officeDocument/2006/relationships/connections" Target="connections.xml"/><Relationship Id="rId10" Type="http://schemas.openxmlformats.org/officeDocument/2006/relationships/calcChain" Target="calcChain.xml"/><Relationship Id="rId4" Type="http://schemas.openxmlformats.org/officeDocument/2006/relationships/theme" Target="theme/theme1.xml"/><Relationship Id="rId9" Type="http://schemas.microsoft.com/office/2017/10/relationships/person" Target="persons/person.xml"/><Relationship Id="rId14"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Campaign Progress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Summary!$K$1</c:f>
              <c:strCache>
                <c:ptCount val="1"/>
              </c:strCache>
            </c:strRef>
          </c:tx>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Summary!$K$2:$K$3</c:f>
            </c:numRef>
          </c:val>
          <c:extLst>
            <c:ext xmlns:c15="http://schemas.microsoft.com/office/drawing/2012/chart" uri="{02D57815-91ED-43cb-92C2-25804820EDAC}">
              <c15:filteredCategoryTitle>
                <c15:cat>
                  <c:multiLvlStrRef>
                    <c:extLst>
                      <c:ext uri="{02D57815-91ED-43cb-92C2-25804820EDAC}">
                        <c15:formulaRef>
                          <c15:sqref>Summary!$J$2:$J$3</c15:sqref>
                        </c15:formulaRef>
                      </c:ext>
                    </c:extLst>
                  </c:multiLvlStrRef>
                </c15:cat>
              </c15:filteredCategoryTitle>
            </c:ext>
            <c:ext xmlns:c16="http://schemas.microsoft.com/office/drawing/2014/chart" uri="{C3380CC4-5D6E-409C-BE32-E72D297353CC}">
              <c16:uniqueId val="{00000000-54E6-8140-9BBB-88C565A7303C}"/>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Call Outcomes (Contacts Only)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Summary!$K$11</c:f>
              <c:strCache>
                <c:ptCount val="1"/>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Summary!$K$12:$K$17</c:f>
            </c:numRef>
          </c:val>
          <c:extLst>
            <c:ext xmlns:c15="http://schemas.microsoft.com/office/drawing/2012/chart" uri="{02D57815-91ED-43cb-92C2-25804820EDAC}">
              <c15:filteredCategoryTitle>
                <c15:cat>
                  <c:multiLvlStrRef>
                    <c:extLst>
                      <c:ext uri="{02D57815-91ED-43cb-92C2-25804820EDAC}">
                        <c15:formulaRef>
                          <c15:sqref>Summary!$J$12:$J$17</c15:sqref>
                        </c15:formulaRef>
                      </c:ext>
                    </c:extLst>
                  </c:multiLvlStrRef>
                </c15:cat>
              </c15:filteredCategoryTitle>
            </c:ext>
            <c:ext xmlns:c16="http://schemas.microsoft.com/office/drawing/2014/chart" uri="{C3380CC4-5D6E-409C-BE32-E72D297353CC}">
              <c16:uniqueId val="{00000000-D632-B24D-AC95-80E6A2C79CF0}"/>
            </c:ext>
          </c:extLst>
        </c:ser>
        <c:dLbls>
          <c:showLegendKey val="0"/>
          <c:showVal val="0"/>
          <c:showCatName val="0"/>
          <c:showSerName val="0"/>
          <c:showPercent val="0"/>
          <c:showBubbleSize val="0"/>
        </c:dLbls>
        <c:gapWidth val="182"/>
        <c:axId val="806602496"/>
        <c:axId val="806602944"/>
      </c:barChart>
      <c:catAx>
        <c:axId val="806602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6602944"/>
        <c:crosses val="autoZero"/>
        <c:auto val="1"/>
        <c:lblAlgn val="ctr"/>
        <c:lblOffset val="100"/>
        <c:noMultiLvlLbl val="0"/>
      </c:catAx>
      <c:valAx>
        <c:axId val="8066029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6602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Priority Breakdown — Called vs Remaining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Summary!$K$5</c:f>
              <c:strCache>
                <c:ptCount val="1"/>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Summary!$K$6:$K$9</c:f>
            </c:numRef>
          </c:val>
          <c:extLst>
            <c:ext xmlns:c15="http://schemas.microsoft.com/office/drawing/2012/chart" uri="{02D57815-91ED-43cb-92C2-25804820EDAC}">
              <c15:filteredCategoryTitle>
                <c15:cat>
                  <c:multiLvlStrRef>
                    <c:extLst>
                      <c:ext uri="{02D57815-91ED-43cb-92C2-25804820EDAC}">
                        <c15:formulaRef>
                          <c15:sqref>Summary!$J$6:$J$9</c15:sqref>
                        </c15:formulaRef>
                      </c:ext>
                    </c:extLst>
                  </c:multiLvlStrRef>
                </c15:cat>
              </c15:filteredCategoryTitle>
            </c:ext>
            <c:ext xmlns:c16="http://schemas.microsoft.com/office/drawing/2014/chart" uri="{C3380CC4-5D6E-409C-BE32-E72D297353CC}">
              <c16:uniqueId val="{00000000-79AF-E644-9B3F-3F87AB0BA50E}"/>
            </c:ext>
          </c:extLst>
        </c:ser>
        <c:ser>
          <c:idx val="1"/>
          <c:order val="1"/>
          <c:tx>
            <c:strRef>
              <c:f>Summary!$L$5</c:f>
              <c:strCache>
                <c:ptCount val="1"/>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Summary!$L$6:$L$9</c:f>
            </c:numRef>
          </c:val>
          <c:extLst>
            <c:ext xmlns:c15="http://schemas.microsoft.com/office/drawing/2012/chart" uri="{02D57815-91ED-43cb-92C2-25804820EDAC}">
              <c15:filteredCategoryTitle>
                <c15:cat>
                  <c:multiLvlStrRef>
                    <c:extLst>
                      <c:ext uri="{02D57815-91ED-43cb-92C2-25804820EDAC}">
                        <c15:formulaRef>
                          <c15:sqref>Summary!$J$6:$J$9</c15:sqref>
                        </c15:formulaRef>
                      </c:ext>
                    </c:extLst>
                  </c:multiLvlStrRef>
                </c15:cat>
              </c15:filteredCategoryTitle>
            </c:ext>
            <c:ext xmlns:c16="http://schemas.microsoft.com/office/drawing/2014/chart" uri="{C3380CC4-5D6E-409C-BE32-E72D297353CC}">
              <c16:uniqueId val="{00000001-79AF-E644-9B3F-3F87AB0BA50E}"/>
            </c:ext>
          </c:extLst>
        </c:ser>
        <c:dLbls>
          <c:showLegendKey val="0"/>
          <c:showVal val="0"/>
          <c:showCatName val="0"/>
          <c:showSerName val="0"/>
          <c:showPercent val="0"/>
          <c:showBubbleSize val="0"/>
        </c:dLbls>
        <c:gapWidth val="150"/>
        <c:overlap val="100"/>
        <c:axId val="757948736"/>
        <c:axId val="757950976"/>
      </c:barChart>
      <c:catAx>
        <c:axId val="7579487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7950976"/>
        <c:crosses val="autoZero"/>
        <c:auto val="1"/>
        <c:lblAlgn val="ctr"/>
        <c:lblOffset val="100"/>
        <c:noMultiLvlLbl val="0"/>
      </c:catAx>
      <c:valAx>
        <c:axId val="757950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7948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Weekly Call Volume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Summary!$K$19</c:f>
              <c:strCache>
                <c:ptCount val="1"/>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Summary!$K$20:$K$31</c:f>
            </c:numRef>
          </c:val>
          <c:smooth val="0"/>
          <c:extLst>
            <c:ext xmlns:c15="http://schemas.microsoft.com/office/drawing/2012/chart" uri="{02D57815-91ED-43cb-92C2-25804820EDAC}">
              <c15:filteredCategoryTitle>
                <c15:cat>
                  <c:multiLvlStrRef>
                    <c:extLst>
                      <c:ext uri="{02D57815-91ED-43cb-92C2-25804820EDAC}">
                        <c15:formulaRef>
                          <c15:sqref>Summary!$J$20:$J$31</c15:sqref>
                        </c15:formulaRef>
                      </c:ext>
                    </c:extLst>
                  </c:multiLvlStrRef>
                </c15:cat>
              </c15:filteredCategoryTitle>
            </c:ext>
            <c:ext xmlns:c16="http://schemas.microsoft.com/office/drawing/2014/chart" uri="{C3380CC4-5D6E-409C-BE32-E72D297353CC}">
              <c16:uniqueId val="{00000000-F40E-3849-85EF-66DBF6B8D834}"/>
            </c:ext>
          </c:extLst>
        </c:ser>
        <c:ser>
          <c:idx val="1"/>
          <c:order val="1"/>
          <c:tx>
            <c:strRef>
              <c:f>Summary!$L$19</c:f>
              <c:strCache>
                <c:ptCount val="1"/>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Summary!$L$20:$L$31</c:f>
            </c:numRef>
          </c:val>
          <c:smooth val="0"/>
          <c:extLst>
            <c:ext xmlns:c15="http://schemas.microsoft.com/office/drawing/2012/chart" uri="{02D57815-91ED-43cb-92C2-25804820EDAC}">
              <c15:filteredCategoryTitle>
                <c15:cat>
                  <c:multiLvlStrRef>
                    <c:extLst>
                      <c:ext uri="{02D57815-91ED-43cb-92C2-25804820EDAC}">
                        <c15:formulaRef>
                          <c15:sqref>Summary!$J$20:$J$31</c15:sqref>
                        </c15:formulaRef>
                      </c:ext>
                    </c:extLst>
                  </c:multiLvlStrRef>
                </c15:cat>
              </c15:filteredCategoryTitle>
            </c:ext>
            <c:ext xmlns:c16="http://schemas.microsoft.com/office/drawing/2014/chart" uri="{C3380CC4-5D6E-409C-BE32-E72D297353CC}">
              <c16:uniqueId val="{00000001-F40E-3849-85EF-66DBF6B8D834}"/>
            </c:ext>
          </c:extLst>
        </c:ser>
        <c:ser>
          <c:idx val="2"/>
          <c:order val="2"/>
          <c:tx>
            <c:strRef>
              <c:f>Summary!$M$19</c:f>
              <c:strCache>
                <c:ptCount val="1"/>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val>
            <c:numRef>
              <c:f>Summary!$M$20:$M$31</c:f>
            </c:numRef>
          </c:val>
          <c:smooth val="0"/>
          <c:extLst>
            <c:ext xmlns:c15="http://schemas.microsoft.com/office/drawing/2012/chart" uri="{02D57815-91ED-43cb-92C2-25804820EDAC}">
              <c15:filteredCategoryTitle>
                <c15:cat>
                  <c:multiLvlStrRef>
                    <c:extLst>
                      <c:ext uri="{02D57815-91ED-43cb-92C2-25804820EDAC}">
                        <c15:formulaRef>
                          <c15:sqref>Summary!$J$20:$J$31</c15:sqref>
                        </c15:formulaRef>
                      </c:ext>
                    </c:extLst>
                  </c:multiLvlStrRef>
                </c15:cat>
              </c15:filteredCategoryTitle>
            </c:ext>
            <c:ext xmlns:c16="http://schemas.microsoft.com/office/drawing/2014/chart" uri="{C3380CC4-5D6E-409C-BE32-E72D297353CC}">
              <c16:uniqueId val="{00000002-F40E-3849-85EF-66DBF6B8D834}"/>
            </c:ext>
          </c:extLst>
        </c:ser>
        <c:dLbls>
          <c:showLegendKey val="0"/>
          <c:showVal val="0"/>
          <c:showCatName val="0"/>
          <c:showSerName val="0"/>
          <c:showPercent val="0"/>
          <c:showBubbleSize val="0"/>
        </c:dLbls>
        <c:marker val="1"/>
        <c:smooth val="0"/>
        <c:axId val="812388736"/>
        <c:axId val="812386048"/>
      </c:lineChart>
      <c:catAx>
        <c:axId val="812388736"/>
        <c:scaling>
          <c:orientation val="minMax"/>
        </c:scaling>
        <c:delete val="0"/>
        <c:axPos val="b"/>
        <c:numFmt formatCode="mm/dd"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2386048"/>
        <c:crosses val="autoZero"/>
        <c:auto val="1"/>
        <c:lblAlgn val="ctr"/>
        <c:lblOffset val="100"/>
        <c:noMultiLvlLbl val="0"/>
      </c:catAx>
      <c:valAx>
        <c:axId val="812386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2388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Call Outcomes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Summary!$G$31</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E79-4384-AD12-5156EF533B2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E79-4384-AD12-5156EF533B2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E79-4384-AD12-5156EF533B2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E79-4384-AD12-5156EF533B2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E79-4384-AD12-5156EF533B2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E79-4384-AD12-5156EF533B2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E79-4384-AD12-5156EF533B2A}"/>
              </c:ext>
            </c:extLst>
          </c:dPt>
          <c:cat>
            <c:strRef>
              <c:f>Summary!$F$32:$F$38</c:f>
              <c:strCache>
                <c:ptCount val="7"/>
                <c:pt idx="0">
                  <c:v>General Education</c:v>
                </c:pt>
                <c:pt idx="1">
                  <c:v>Rate Change</c:v>
                </c:pt>
                <c:pt idx="2">
                  <c:v>Updated/New PA</c:v>
                </c:pt>
                <c:pt idx="3">
                  <c:v>Utility Assistance</c:v>
                </c:pt>
                <c:pt idx="4">
                  <c:v>E3/E4</c:v>
                </c:pt>
                <c:pt idx="5">
                  <c:v>Other</c:v>
                </c:pt>
                <c:pt idx="6">
                  <c:v>VM - No Answer</c:v>
                </c:pt>
              </c:strCache>
            </c:strRef>
          </c:cat>
          <c:val>
            <c:numRef>
              <c:f>Summary!$G$32:$G$38</c:f>
              <c:numCache>
                <c:formatCode>General</c:formatCode>
                <c:ptCount val="7"/>
                <c:pt idx="0">
                  <c:v>75</c:v>
                </c:pt>
                <c:pt idx="1">
                  <c:v>10</c:v>
                </c:pt>
                <c:pt idx="2">
                  <c:v>1</c:v>
                </c:pt>
                <c:pt idx="3">
                  <c:v>3</c:v>
                </c:pt>
                <c:pt idx="4">
                  <c:v>7</c:v>
                </c:pt>
                <c:pt idx="5">
                  <c:v>9</c:v>
                </c:pt>
                <c:pt idx="6">
                  <c:v>244</c:v>
                </c:pt>
              </c:numCache>
            </c:numRef>
          </c:val>
          <c:extLst>
            <c:ext xmlns:c16="http://schemas.microsoft.com/office/drawing/2014/chart" uri="{C3380CC4-5D6E-409C-BE32-E72D297353CC}">
              <c16:uniqueId val="{00000000-BBCB-4A55-962B-3B617E308E0B}"/>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Weekly Call Volume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Summary!$C$14</c:f>
              <c:strCache>
                <c:ptCount val="1"/>
                <c:pt idx="0">
                  <c:v>Total Calls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Summary!$B$15:$B$27</c:f>
              <c:numCache>
                <c:formatCode>mm/dd/yy</c:formatCode>
                <c:ptCount val="13"/>
                <c:pt idx="0">
                  <c:v>45997</c:v>
                </c:pt>
                <c:pt idx="1">
                  <c:v>46011</c:v>
                </c:pt>
                <c:pt idx="2">
                  <c:v>46018</c:v>
                </c:pt>
                <c:pt idx="3">
                  <c:v>46025</c:v>
                </c:pt>
                <c:pt idx="4">
                  <c:v>46032</c:v>
                </c:pt>
                <c:pt idx="5">
                  <c:v>46039</c:v>
                </c:pt>
                <c:pt idx="6">
                  <c:v>46046</c:v>
                </c:pt>
                <c:pt idx="7">
                  <c:v>46053</c:v>
                </c:pt>
                <c:pt idx="8">
                  <c:v>46060</c:v>
                </c:pt>
                <c:pt idx="9">
                  <c:v>46067</c:v>
                </c:pt>
                <c:pt idx="10">
                  <c:v>46074</c:v>
                </c:pt>
                <c:pt idx="11">
                  <c:v>46081</c:v>
                </c:pt>
              </c:numCache>
            </c:numRef>
          </c:cat>
          <c:val>
            <c:numRef>
              <c:f>Summary!$C$15:$C$27</c:f>
              <c:numCache>
                <c:formatCode>General</c:formatCode>
                <c:ptCount val="13"/>
                <c:pt idx="0">
                  <c:v>46</c:v>
                </c:pt>
                <c:pt idx="1">
                  <c:v>26</c:v>
                </c:pt>
                <c:pt idx="2">
                  <c:v>11</c:v>
                </c:pt>
                <c:pt idx="3">
                  <c:v>37</c:v>
                </c:pt>
                <c:pt idx="4">
                  <c:v>20</c:v>
                </c:pt>
                <c:pt idx="5">
                  <c:v>28</c:v>
                </c:pt>
                <c:pt idx="6">
                  <c:v>41</c:v>
                </c:pt>
                <c:pt idx="7">
                  <c:v>38</c:v>
                </c:pt>
                <c:pt idx="8">
                  <c:v>38</c:v>
                </c:pt>
                <c:pt idx="9">
                  <c:v>46</c:v>
                </c:pt>
                <c:pt idx="10">
                  <c:v>42</c:v>
                </c:pt>
                <c:pt idx="11">
                  <c:v>26</c:v>
                </c:pt>
                <c:pt idx="12">
                  <c:v>0</c:v>
                </c:pt>
              </c:numCache>
            </c:numRef>
          </c:val>
          <c:smooth val="0"/>
          <c:extLst>
            <c:ext xmlns:c16="http://schemas.microsoft.com/office/drawing/2014/chart" uri="{C3380CC4-5D6E-409C-BE32-E72D297353CC}">
              <c16:uniqueId val="{00000000-4FB6-4951-BDB7-E3DF15ACAEDF}"/>
            </c:ext>
          </c:extLst>
        </c:ser>
        <c:dLbls>
          <c:showLegendKey val="0"/>
          <c:showVal val="0"/>
          <c:showCatName val="0"/>
          <c:showSerName val="0"/>
          <c:showPercent val="0"/>
          <c:showBubbleSize val="0"/>
        </c:dLbls>
        <c:marker val="1"/>
        <c:smooth val="0"/>
        <c:axId val="1010543616"/>
        <c:axId val="1010534496"/>
      </c:lineChart>
      <c:dateAx>
        <c:axId val="1010543616"/>
        <c:scaling>
          <c:orientation val="minMax"/>
        </c:scaling>
        <c:delete val="0"/>
        <c:axPos val="b"/>
        <c:numFmt formatCode="mm/dd/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0534496"/>
        <c:crosses val="autoZero"/>
        <c:auto val="1"/>
        <c:lblOffset val="100"/>
        <c:baseTimeUnit val="days"/>
      </c:dateAx>
      <c:valAx>
        <c:axId val="1010534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0543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Calls by Associate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3"/>
          <c:order val="0"/>
          <c:tx>
            <c:strRef>
              <c:f>Summary!$F$14</c:f>
              <c:strCache>
                <c:ptCount val="1"/>
                <c:pt idx="0">
                  <c:v>Michelle</c:v>
                </c:pt>
              </c:strCache>
            </c:strRef>
          </c:tx>
          <c:spPr>
            <a:solidFill>
              <a:schemeClr val="accent4"/>
            </a:solidFill>
            <a:ln>
              <a:noFill/>
            </a:ln>
            <a:effectLst/>
          </c:spPr>
          <c:invertIfNegative val="0"/>
          <c:cat>
            <c:numRef>
              <c:f>Summary!$B$15:$B$27</c:f>
              <c:numCache>
                <c:formatCode>mm/dd/yy</c:formatCode>
                <c:ptCount val="13"/>
                <c:pt idx="0">
                  <c:v>45997</c:v>
                </c:pt>
                <c:pt idx="1">
                  <c:v>46011</c:v>
                </c:pt>
                <c:pt idx="2">
                  <c:v>46018</c:v>
                </c:pt>
                <c:pt idx="3">
                  <c:v>46025</c:v>
                </c:pt>
                <c:pt idx="4">
                  <c:v>46032</c:v>
                </c:pt>
                <c:pt idx="5">
                  <c:v>46039</c:v>
                </c:pt>
                <c:pt idx="6">
                  <c:v>46046</c:v>
                </c:pt>
                <c:pt idx="7">
                  <c:v>46053</c:v>
                </c:pt>
                <c:pt idx="8">
                  <c:v>46060</c:v>
                </c:pt>
                <c:pt idx="9">
                  <c:v>46067</c:v>
                </c:pt>
                <c:pt idx="10">
                  <c:v>46074</c:v>
                </c:pt>
                <c:pt idx="11">
                  <c:v>46081</c:v>
                </c:pt>
              </c:numCache>
            </c:numRef>
          </c:cat>
          <c:val>
            <c:numRef>
              <c:f>Summary!$F$15:$F$27</c:f>
              <c:numCache>
                <c:formatCode>General</c:formatCode>
                <c:ptCount val="13"/>
                <c:pt idx="0">
                  <c:v>15</c:v>
                </c:pt>
                <c:pt idx="1">
                  <c:v>0</c:v>
                </c:pt>
                <c:pt idx="2">
                  <c:v>2</c:v>
                </c:pt>
                <c:pt idx="3">
                  <c:v>2</c:v>
                </c:pt>
                <c:pt idx="4">
                  <c:v>4</c:v>
                </c:pt>
                <c:pt idx="5">
                  <c:v>9</c:v>
                </c:pt>
                <c:pt idx="6">
                  <c:v>10</c:v>
                </c:pt>
                <c:pt idx="7">
                  <c:v>10</c:v>
                </c:pt>
                <c:pt idx="8">
                  <c:v>12</c:v>
                </c:pt>
                <c:pt idx="9">
                  <c:v>22</c:v>
                </c:pt>
                <c:pt idx="10">
                  <c:v>16</c:v>
                </c:pt>
                <c:pt idx="11">
                  <c:v>1</c:v>
                </c:pt>
                <c:pt idx="12">
                  <c:v>0</c:v>
                </c:pt>
              </c:numCache>
            </c:numRef>
          </c:val>
          <c:extLst>
            <c:ext xmlns:c16="http://schemas.microsoft.com/office/drawing/2014/chart" uri="{C3380CC4-5D6E-409C-BE32-E72D297353CC}">
              <c16:uniqueId val="{00000003-C299-4CB0-A62C-651F0B8C222E}"/>
            </c:ext>
          </c:extLst>
        </c:ser>
        <c:ser>
          <c:idx val="4"/>
          <c:order val="1"/>
          <c:tx>
            <c:strRef>
              <c:f>Summary!$G$14</c:f>
              <c:strCache>
                <c:ptCount val="1"/>
                <c:pt idx="0">
                  <c:v>Joaquin</c:v>
                </c:pt>
              </c:strCache>
            </c:strRef>
          </c:tx>
          <c:spPr>
            <a:solidFill>
              <a:schemeClr val="accent5"/>
            </a:solidFill>
            <a:ln>
              <a:noFill/>
            </a:ln>
            <a:effectLst/>
          </c:spPr>
          <c:invertIfNegative val="0"/>
          <c:cat>
            <c:numRef>
              <c:f>Summary!$B$15:$B$27</c:f>
              <c:numCache>
                <c:formatCode>mm/dd/yy</c:formatCode>
                <c:ptCount val="13"/>
                <c:pt idx="0">
                  <c:v>45997</c:v>
                </c:pt>
                <c:pt idx="1">
                  <c:v>46011</c:v>
                </c:pt>
                <c:pt idx="2">
                  <c:v>46018</c:v>
                </c:pt>
                <c:pt idx="3">
                  <c:v>46025</c:v>
                </c:pt>
                <c:pt idx="4">
                  <c:v>46032</c:v>
                </c:pt>
                <c:pt idx="5">
                  <c:v>46039</c:v>
                </c:pt>
                <c:pt idx="6">
                  <c:v>46046</c:v>
                </c:pt>
                <c:pt idx="7">
                  <c:v>46053</c:v>
                </c:pt>
                <c:pt idx="8">
                  <c:v>46060</c:v>
                </c:pt>
                <c:pt idx="9">
                  <c:v>46067</c:v>
                </c:pt>
                <c:pt idx="10">
                  <c:v>46074</c:v>
                </c:pt>
                <c:pt idx="11">
                  <c:v>46081</c:v>
                </c:pt>
              </c:numCache>
            </c:numRef>
          </c:cat>
          <c:val>
            <c:numRef>
              <c:f>Summary!$G$15:$G$27</c:f>
              <c:numCache>
                <c:formatCode>General</c:formatCode>
                <c:ptCount val="13"/>
                <c:pt idx="0">
                  <c:v>31</c:v>
                </c:pt>
                <c:pt idx="1">
                  <c:v>26</c:v>
                </c:pt>
                <c:pt idx="2">
                  <c:v>9</c:v>
                </c:pt>
                <c:pt idx="3">
                  <c:v>35</c:v>
                </c:pt>
                <c:pt idx="4">
                  <c:v>16</c:v>
                </c:pt>
                <c:pt idx="5">
                  <c:v>19</c:v>
                </c:pt>
                <c:pt idx="6">
                  <c:v>31</c:v>
                </c:pt>
                <c:pt idx="7">
                  <c:v>28</c:v>
                </c:pt>
                <c:pt idx="8">
                  <c:v>26</c:v>
                </c:pt>
                <c:pt idx="9">
                  <c:v>24</c:v>
                </c:pt>
                <c:pt idx="10">
                  <c:v>26</c:v>
                </c:pt>
                <c:pt idx="11">
                  <c:v>25</c:v>
                </c:pt>
                <c:pt idx="12">
                  <c:v>0</c:v>
                </c:pt>
              </c:numCache>
            </c:numRef>
          </c:val>
          <c:extLst>
            <c:ext xmlns:c16="http://schemas.microsoft.com/office/drawing/2014/chart" uri="{C3380CC4-5D6E-409C-BE32-E72D297353CC}">
              <c16:uniqueId val="{00000004-C299-4CB0-A62C-651F0B8C222E}"/>
            </c:ext>
          </c:extLst>
        </c:ser>
        <c:dLbls>
          <c:showLegendKey val="0"/>
          <c:showVal val="0"/>
          <c:showCatName val="0"/>
          <c:showSerName val="0"/>
          <c:showPercent val="0"/>
          <c:showBubbleSize val="0"/>
        </c:dLbls>
        <c:gapWidth val="150"/>
        <c:overlap val="100"/>
        <c:axId val="950121232"/>
        <c:axId val="950116432"/>
      </c:barChart>
      <c:dateAx>
        <c:axId val="950121232"/>
        <c:scaling>
          <c:orientation val="minMax"/>
        </c:scaling>
        <c:delete val="0"/>
        <c:axPos val="b"/>
        <c:numFmt formatCode="mm/dd/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116432"/>
        <c:crosses val="autoZero"/>
        <c:auto val="1"/>
        <c:lblOffset val="100"/>
        <c:baseTimeUnit val="days"/>
      </c:dateAx>
      <c:valAx>
        <c:axId val="9501164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1212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56</xdr:row>
      <xdr:rowOff>0</xdr:rowOff>
    </xdr:from>
    <xdr:to>
      <xdr:col>2</xdr:col>
      <xdr:colOff>254000</xdr:colOff>
      <xdr:row>70</xdr:row>
      <xdr:rowOff>76200</xdr:rowOff>
    </xdr:to>
    <xdr:graphicFrame macro="">
      <xdr:nvGraphicFramePr>
        <xdr:cNvPr id="3" name="Chart 2">
          <a:extLst>
            <a:ext uri="{FF2B5EF4-FFF2-40B4-BE49-F238E27FC236}">
              <a16:creationId xmlns:a16="http://schemas.microsoft.com/office/drawing/2014/main" id="{76671725-C79D-A7B2-1785-9C809173C5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74</xdr:row>
      <xdr:rowOff>0</xdr:rowOff>
    </xdr:from>
    <xdr:to>
      <xdr:col>2</xdr:col>
      <xdr:colOff>254000</xdr:colOff>
      <xdr:row>88</xdr:row>
      <xdr:rowOff>76200</xdr:rowOff>
    </xdr:to>
    <xdr:graphicFrame macro="">
      <xdr:nvGraphicFramePr>
        <xdr:cNvPr id="5" name="Chart 4">
          <a:extLst>
            <a:ext uri="{FF2B5EF4-FFF2-40B4-BE49-F238E27FC236}">
              <a16:creationId xmlns:a16="http://schemas.microsoft.com/office/drawing/2014/main" id="{3F08F935-EE0C-C7F9-9C03-B3CE1B0EF8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0</xdr:colOff>
      <xdr:row>74</xdr:row>
      <xdr:rowOff>0</xdr:rowOff>
    </xdr:from>
    <xdr:to>
      <xdr:col>8</xdr:col>
      <xdr:colOff>25400</xdr:colOff>
      <xdr:row>88</xdr:row>
      <xdr:rowOff>76200</xdr:rowOff>
    </xdr:to>
    <xdr:graphicFrame macro="">
      <xdr:nvGraphicFramePr>
        <xdr:cNvPr id="6" name="Chart 5">
          <a:extLst>
            <a:ext uri="{FF2B5EF4-FFF2-40B4-BE49-F238E27FC236}">
              <a16:creationId xmlns:a16="http://schemas.microsoft.com/office/drawing/2014/main" id="{C1B6B59D-FB23-20BF-6600-58335B64DA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0</xdr:colOff>
      <xdr:row>56</xdr:row>
      <xdr:rowOff>0</xdr:rowOff>
    </xdr:from>
    <xdr:to>
      <xdr:col>8</xdr:col>
      <xdr:colOff>25400</xdr:colOff>
      <xdr:row>70</xdr:row>
      <xdr:rowOff>76200</xdr:rowOff>
    </xdr:to>
    <xdr:graphicFrame macro="">
      <xdr:nvGraphicFramePr>
        <xdr:cNvPr id="7" name="Chart 6">
          <a:extLst>
            <a:ext uri="{FF2B5EF4-FFF2-40B4-BE49-F238E27FC236}">
              <a16:creationId xmlns:a16="http://schemas.microsoft.com/office/drawing/2014/main" id="{7BBF0218-5432-B60F-D175-2F5BC6343A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63500</xdr:colOff>
      <xdr:row>3</xdr:row>
      <xdr:rowOff>6350</xdr:rowOff>
    </xdr:from>
    <xdr:to>
      <xdr:col>15</xdr:col>
      <xdr:colOff>1050925</xdr:colOff>
      <xdr:row>9</xdr:row>
      <xdr:rowOff>460375</xdr:rowOff>
    </xdr:to>
    <xdr:graphicFrame macro="">
      <xdr:nvGraphicFramePr>
        <xdr:cNvPr id="12" name="Chart 1">
          <a:extLst>
            <a:ext uri="{FF2B5EF4-FFF2-40B4-BE49-F238E27FC236}">
              <a16:creationId xmlns:a16="http://schemas.microsoft.com/office/drawing/2014/main" id="{54A7BD26-4877-9A6F-B06D-DCA0472AB5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63500</xdr:colOff>
      <xdr:row>11</xdr:row>
      <xdr:rowOff>38100</xdr:rowOff>
    </xdr:from>
    <xdr:to>
      <xdr:col>15</xdr:col>
      <xdr:colOff>1050925</xdr:colOff>
      <xdr:row>25</xdr:row>
      <xdr:rowOff>25400</xdr:rowOff>
    </xdr:to>
    <xdr:graphicFrame macro="">
      <xdr:nvGraphicFramePr>
        <xdr:cNvPr id="16" name="Chart 3">
          <a:extLst>
            <a:ext uri="{FF2B5EF4-FFF2-40B4-BE49-F238E27FC236}">
              <a16:creationId xmlns:a16="http://schemas.microsoft.com/office/drawing/2014/main" id="{4F396A60-797F-167E-D972-2BE3FCD0E2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63500</xdr:colOff>
      <xdr:row>26</xdr:row>
      <xdr:rowOff>88900</xdr:rowOff>
    </xdr:from>
    <xdr:to>
      <xdr:col>15</xdr:col>
      <xdr:colOff>1050925</xdr:colOff>
      <xdr:row>40</xdr:row>
      <xdr:rowOff>47625</xdr:rowOff>
    </xdr:to>
    <xdr:graphicFrame macro="">
      <xdr:nvGraphicFramePr>
        <xdr:cNvPr id="20" name="Chart 7">
          <a:extLst>
            <a:ext uri="{FF2B5EF4-FFF2-40B4-BE49-F238E27FC236}">
              <a16:creationId xmlns:a16="http://schemas.microsoft.com/office/drawing/2014/main" id="{48E2A2E8-E428-141C-2BFE-5B9431AF98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0370AA4-B24F-4C17-A956-79824B9DE7E1}" name="tblCallTracker" displayName="tblCallTracker" ref="A1:R1101" totalsRowShown="0" headerRowDxfId="54" dataDxfId="53">
  <autoFilter ref="A1:R1101" xr:uid="{C0370AA4-B24F-4C17-A956-79824B9DE7E1}"/>
  <tableColumns count="18">
    <tableColumn id="1" xr3:uid="{00AC7C7D-1530-46B9-8E5C-5F6F3E29A723}" name="AccountNumber" dataDxfId="52"/>
    <tableColumn id="2" xr3:uid="{D41E057F-3BC9-4522-A25B-A4A3AC52F35E}" name="Associate" dataDxfId="51"/>
    <tableColumn id="3" xr3:uid="{BD4339E5-2668-4DCE-A493-35A715E6CCE8}" name="DateCalled" dataDxfId="50"/>
    <tableColumn id="4" xr3:uid="{77699A6D-03CE-4320-BEF6-DF560306BAC6}" name="VM" dataDxfId="49"/>
    <tableColumn id="5" xr3:uid="{8368496B-7983-4973-9174-5C55497F8E43}" name="Outcome" dataDxfId="48"/>
    <tableColumn id="6" xr3:uid="{B5AA9271-CA83-4786-BF07-320F3C121B6E}" name="Notes" dataDxfId="47"/>
    <tableColumn id="7" xr3:uid="{97F10169-811D-481F-9A2A-FFF7DD3129C0}" name="Priority" dataDxfId="46"/>
    <tableColumn id="8" xr3:uid="{A2D3D94B-F0FE-440C-ADB8-0DD495FAF584}" name="CustomerName" dataDxfId="45"/>
    <tableColumn id="9" xr3:uid="{A364EA9A-03B0-4F79-A22E-0C4290FBA7DC}" name="City" dataDxfId="44"/>
    <tableColumn id="10" xr3:uid="{DC8B0B55-26AF-43C3-8E6B-BD93D6AD2008}" name="RatePlan" dataDxfId="43"/>
    <tableColumn id="11" xr3:uid="{B8CA624F-6E5D-4406-8EFF-6C9E384177CD}" name="MEPStatus" dataDxfId="42"/>
    <tableColumn id="12" xr3:uid="{C5CE013B-838A-4332-9903-4FEE636CC29D}" name="Issue" dataDxfId="41"/>
    <tableColumn id="13" xr3:uid="{84101A34-32AA-44D4-A816-AC70BE9C8ED0}" name="Docket Link" dataDxfId="40">
      <calculatedColumnFormula>IFERROR(HYPERLINK(INDEX('Docketed Comments'!G:G,MATCH(A2,'Docketed Comments'!H:H,0)),"📄 View Docket"),"")</calculatedColumnFormula>
    </tableColumn>
    <tableColumn id="14" xr3:uid="{7BAB1D63-F48E-4460-8C54-981C6EFD6AB8}" name="Payoff Balance" dataDxfId="39">
      <calculatedColumnFormula>IFERROR(INDEX('Docketed Comments'!N:N,MATCH(A2,'Docketed Comments'!H:H,0)),"")</calculatedColumnFormula>
    </tableColumn>
    <tableColumn id="15" xr3:uid="{C09CD8A4-C899-46B9-A23A-8FBD7D5C66BE}" name="MEP" dataDxfId="38">
      <calculatedColumnFormula>IFERROR(INDEX('Docketed Comments'!L:L,MATCH(A2,'Docketed Comments'!H:H,0)),"")</calculatedColumnFormula>
    </tableColumn>
    <tableColumn id="16" xr3:uid="{68B9668E-AA0A-4DF7-85CE-202819178348}" name="MEP Savings" dataDxfId="37">
      <calculatedColumnFormula>IFERROR(IF(ISNUMBER(SEARCH("$",O2)),VALUE(SUBSTITUTE(SUBSTITUTE(MID(O2,FIND("$",O2)+1,FIND(")",O2)-FIND("$",O2)-1),",","")," ","")),VALUE(SUBSTITUTE(SUBSTITUTE(MID(O2,FIND("(",O2)+1,FIND(")",O2)-FIND("(",O2)-1),",","")," ",""))),0)</calculatedColumnFormula>
    </tableColumn>
    <tableColumn id="17" xr3:uid="{0D76ED6B-BDF8-4B9E-9034-87A2B6ED766A}" name="Status" dataDxfId="1"/>
    <tableColumn id="18" xr3:uid="{A40D210B-6161-4002-BA1A-55A4FB585A52}" name="Include_Row"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3ECC22-5000-4B81-8AD9-7A0546146C56}" name="tblDocketedComments" displayName="tblDocketedComments" ref="A1:V1949" totalsRowShown="0" headerRowDxfId="36" dataDxfId="34" headerRowBorderDxfId="35" tableBorderDxfId="33">
  <autoFilter ref="A1:V1949" xr:uid="{553ECC22-5000-4B81-8AD9-7A0546146C56}">
    <filterColumn colId="1">
      <filters>
        <filter val="Hall"/>
      </filters>
    </filterColumn>
    <filterColumn colId="7">
      <customFilters>
        <customFilter operator="notEqual" val="*unable*"/>
      </customFilters>
    </filterColumn>
    <filterColumn colId="17">
      <filters blank="1"/>
    </filterColumn>
    <filterColumn colId="18">
      <filters blank="1"/>
    </filterColumn>
  </autoFilter>
  <tableColumns count="22">
    <tableColumn id="1" xr3:uid="{E4B9745C-4273-40E7-883A-9E596B402E74}" name="Date" dataDxfId="32"/>
    <tableColumn id="2" xr3:uid="{E95AB26C-A20E-401E-A50D-AD28831FDD6D}" name="Last Name" dataDxfId="31"/>
    <tableColumn id="3" xr3:uid="{2B0DC8A7-3C6B-4704-AA1A-FCEC82A05F6F}" name="First Name" dataDxfId="30"/>
    <tableColumn id="4" xr3:uid="{0AED137A-FEAB-44FF-BBB5-75C656A0C58C}" name="City" dataDxfId="29"/>
    <tableColumn id="5" xr3:uid="{0A255EA7-2F02-4036-AC79-92147DF412A5}" name="Zip code" dataDxfId="28"/>
    <tableColumn id="6" xr3:uid="{4465E407-E612-468D-8A5D-45EF1D685B0B}" name="Issue_Complaint" dataDxfId="27"/>
    <tableColumn id="7" xr3:uid="{86785CEF-DACE-4E84-A553-3F625DDFBA88}" name="Docketed Consumer Comments" dataDxfId="26"/>
    <tableColumn id="8" xr3:uid="{29884FE9-C9D9-4AC9-B77C-F6155ED83DD4}" name="AccountNumber" dataDxfId="25"/>
    <tableColumn id="9" xr3:uid="{16DD30F1-9DD7-4A34-890F-E6A7FC8A7F55}" name="Rate Plan" dataDxfId="24"/>
    <tableColumn id="10" xr3:uid="{9F98B7C2-6EE6-409C-9460-281763628DEF}" name="E3" dataDxfId="23"/>
    <tableColumn id="11" xr3:uid="{031E5A87-2562-4F54-ADE8-1A4092C917FC}" name="MCP" dataDxfId="22"/>
    <tableColumn id="12" xr3:uid="{ECCB4753-5728-401B-98F5-1420A59F31D9}" name="Cust on MEP" dataDxfId="21"/>
    <tableColumn id="13" xr3:uid="{B1D89EB0-3E86-4B21-9834-AF8EAD79EE6A}" name="PA" dataDxfId="20"/>
    <tableColumn id="14" xr3:uid="{844D0CEE-5708-4EDA-A10B-4A2306C6C9EB}" name="Payoff Balance" dataDxfId="19"/>
    <tableColumn id="15" xr3:uid="{24AB0749-49BF-4674-BB3F-C69CE98CB21F}" name="Team Reviewed" dataDxfId="18"/>
    <tableColumn id="16" xr3:uid="{30C7FE8B-5DF2-446D-8637-7F09233A8345}" name="ResponseDate" dataDxfId="17"/>
    <tableColumn id="17" xr3:uid="{743F67D8-60FF-43A2-948E-DFA227732B8C}" name="Last date of Account review"/>
    <tableColumn id="18" xr3:uid="{DF85349F-1019-4882-B27E-89BC23EE4E80}" name="Notes" dataDxfId="16"/>
    <tableColumn id="19" xr3:uid="{8B1B90E2-EBC0-428E-8638-AF63AB1E69CA}" name="ACC Inquiry Sent to CA" dataDxfId="15"/>
    <tableColumn id="20" xr3:uid="{939C72A8-2207-43B3-8551-3EA069B26C66}" name="APS CA Referral" dataDxfId="14"/>
    <tableColumn id="21" xr3:uid="{B60A159D-8C37-4918-BC1D-247DC8A23F6E}" name="Comments" dataDxfId="13"/>
    <tableColumn id="22" xr3:uid="{B5C9691D-F0C1-4D7C-8CB5-08C931FABBFC}" name="Include_Row" dataDxfId="12">
      <calculatedColumnFormula>IF(
  OR(
    ISNUMBER(SEARCH("unable to locate acct", tblDocketedComments[[#This Row],[Docketed Consumer Comments]])),
    ISNUMBER(SEARCH("unknown", tblDocketedComments[[#This Row],[Docketed Consumer Comments]])),
    ISNUMBER(SEARCH("inactive", tblDocketedComments[[#This Row],[Docketed Consumer Comments]]))
  ),
  0,
  1
)</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2CB5FD8-5E92-1F47-B6AD-7170CE57051A}">
  <we:reference id="wa200009404" version="1.0.0.8" store="en-US" storeType="OMEX"/>
  <we:alternateReferences>
    <we:reference id="WA200009404" version="1.0.0.8" store=""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s://docket.images.azcc.gov/0000215712.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3E2925-20AA-1245-9B79-8C0006DDEFA4}">
  <dimension ref="A1:R1303"/>
  <sheetViews>
    <sheetView topLeftCell="A10" workbookViewId="0"/>
  </sheetViews>
  <sheetFormatPr defaultColWidth="11.42578125" defaultRowHeight="15" outlineLevelCol="1"/>
  <cols>
    <col min="1" max="1" width="22.85546875" customWidth="1"/>
    <col min="2" max="2" width="16.140625" customWidth="1"/>
    <col min="3" max="3" width="17.140625" customWidth="1"/>
    <col min="4" max="4" width="10.42578125" customWidth="1"/>
    <col min="5" max="5" width="21" customWidth="1"/>
    <col min="6" max="6" width="38.140625" customWidth="1"/>
    <col min="7" max="7" width="12.42578125" customWidth="1"/>
    <col min="8" max="8" width="30.42578125" customWidth="1"/>
    <col min="9" max="9" width="19" customWidth="1"/>
    <col min="10" max="10" width="21" customWidth="1"/>
    <col min="11" max="11" width="24.7109375" customWidth="1"/>
    <col min="12" max="12" width="57.140625" customWidth="1"/>
    <col min="13" max="13" width="34.28515625" customWidth="1"/>
    <col min="14" max="14" width="21" customWidth="1"/>
    <col min="15" max="15" width="33.28515625" customWidth="1"/>
    <col min="16" max="16" width="22.85546875" customWidth="1" outlineLevel="1"/>
  </cols>
  <sheetData>
    <row r="1" spans="1:18" ht="30" customHeight="1">
      <c r="A1" s="68" t="s">
        <v>5681</v>
      </c>
      <c r="B1" s="68" t="s">
        <v>4912</v>
      </c>
      <c r="C1" s="68" t="s">
        <v>5682</v>
      </c>
      <c r="D1" s="68" t="s">
        <v>5683</v>
      </c>
      <c r="E1" s="68" t="s">
        <v>4885</v>
      </c>
      <c r="F1" s="68" t="s">
        <v>11</v>
      </c>
      <c r="G1" s="67" t="s">
        <v>4911</v>
      </c>
      <c r="H1" s="67" t="s">
        <v>5684</v>
      </c>
      <c r="I1" s="67" t="s">
        <v>3</v>
      </c>
      <c r="J1" s="67" t="s">
        <v>5685</v>
      </c>
      <c r="K1" s="67" t="s">
        <v>5686</v>
      </c>
      <c r="L1" s="67" t="s">
        <v>5687</v>
      </c>
      <c r="M1" s="134" t="s">
        <v>5805</v>
      </c>
      <c r="N1" s="134" t="s">
        <v>8</v>
      </c>
      <c r="O1" s="134" t="s">
        <v>5806</v>
      </c>
      <c r="P1" s="141" t="s">
        <v>5807</v>
      </c>
      <c r="Q1" s="142" t="s">
        <v>5808</v>
      </c>
      <c r="R1" s="143" t="s">
        <v>15</v>
      </c>
    </row>
    <row r="2" spans="1:18" ht="21.95" customHeight="1">
      <c r="A2" s="71" t="s">
        <v>659</v>
      </c>
      <c r="B2" s="69" t="s">
        <v>111</v>
      </c>
      <c r="C2" s="70">
        <v>46025</v>
      </c>
      <c r="D2" s="69" t="s">
        <v>4888</v>
      </c>
      <c r="E2" s="69"/>
      <c r="F2" s="65"/>
      <c r="G2" s="65"/>
      <c r="H2" s="65" t="str">
        <f>IFERROR(INDEX('Docketed Comments'!C:C,MATCH(A2,'Docketed Comments'!H:H,0))&amp;", "&amp;INDEX('Docketed Comments'!B:B,MATCH(A2,'Docketed Comments'!H:H,0)),"")</f>
        <v>Lise, Coudriet</v>
      </c>
      <c r="I2" s="65" t="str">
        <f>IFERROR(INDEX('Docketed Comments'!D:D,MATCH(A2,'Docketed Comments'!H:H,0)),"")</f>
        <v>Goodyear</v>
      </c>
      <c r="J2" s="65" t="str">
        <f>IFERROR(INDEX('Docketed Comments'!I:I,MATCH(A2,'Docketed Comments'!H:H,0)),"")</f>
        <v>R-BASICL</v>
      </c>
      <c r="K2" s="65" t="str">
        <f>IFERROR(IF(OR(LEFT(O2,2)="No",LEFT(O2,3)="Not"),"❌ Not on Best Plan",IF(OR(O2="Yes",O2="Y",O2="Yes "),"✅ On Best Plan","⚠ "&amp;O2)),"")</f>
        <v>❌ Not on Best Plan</v>
      </c>
      <c r="L2" s="65" t="str">
        <f>IFERROR(INDEX('Docketed Comments'!F:F,MATCH(A2,'Docketed Comments'!H:H,0)),"")</f>
        <v xml:space="preserve">Will cause hardships </v>
      </c>
      <c r="M2" s="137" t="str">
        <f>IFERROR(HYPERLINK(INDEX('Docketed Comments'!G:G,MATCH(A2,'Docketed Comments'!H:H,0)),"📄 View Docket"),"")</f>
        <v>📄 View Docket</v>
      </c>
      <c r="N2" s="135">
        <f>IFERROR(INDEX('Docketed Comments'!N:N,MATCH(A2,'Docketed Comments'!H:H,0)),"")</f>
        <v>3681.83</v>
      </c>
      <c r="O2" s="135" t="str">
        <f>IFERROR(INDEX('Docketed Comments'!L:L,MATCH(A2,'Docketed Comments'!H:H,0)),"")</f>
        <v>No MEP R3-47(755.73)</v>
      </c>
      <c r="P2" s="136">
        <f t="shared" ref="P2:P65" si="0">IFERROR(IF(ISNUMBER(SEARCH("$",O2)),VALUE(SUBSTITUTE(SUBSTITUTE(MID(O2,FIND("$",O2)+1,FIND(")",O2)-FIND("$",O2)-1),",","")," ","")),VALUE(SUBSTITUTE(SUBSTITUTE(MID(O2,FIND("(",O2)+1,FIND(")",O2)-FIND("(",O2)-1),",","")," ",""))),0)</f>
        <v>755.73</v>
      </c>
      <c r="Q2" s="140" t="s">
        <v>5809</v>
      </c>
      <c r="R2" s="144">
        <v>0</v>
      </c>
    </row>
    <row r="3" spans="1:18" ht="21.95" customHeight="1">
      <c r="A3" s="71" t="s">
        <v>4942</v>
      </c>
      <c r="B3" s="69" t="s">
        <v>111</v>
      </c>
      <c r="C3" s="70">
        <v>46046</v>
      </c>
      <c r="D3" s="69" t="s">
        <v>4865</v>
      </c>
      <c r="E3" s="69" t="s">
        <v>4909</v>
      </c>
      <c r="F3" s="65"/>
      <c r="G3" s="65"/>
      <c r="H3" s="65" t="str">
        <f>IFERROR(INDEX('Docketed Comments'!C:C,MATCH(A3,'Docketed Comments'!H:H,0))&amp;", "&amp;INDEX('Docketed Comments'!B:B,MATCH(A3,'Docketed Comments'!H:H,0)),"")</f>
        <v>Shannon, Price</v>
      </c>
      <c r="I3" s="65" t="str">
        <f>IFERROR(INDEX('Docketed Comments'!D:D,MATCH(A3,'Docketed Comments'!H:H,0)),"")</f>
        <v>Phoenix</v>
      </c>
      <c r="J3" s="65" t="str">
        <f>IFERROR(INDEX('Docketed Comments'!I:I,MATCH(A3,'Docketed Comments'!H:H,0)),"")</f>
        <v>R3-47</v>
      </c>
      <c r="K3" s="65" t="str">
        <f t="shared" ref="K3:K66" si="1">IFERROR(IF(OR(LEFT(O3,2)="No",LEFT(O3,3)="Not"),"❌ Not on Best Plan",IF(OR(O3="Yes",O3="Y",O3="Yes "),"✅ On Best Plan","⚠ "&amp;O3)),"")</f>
        <v>❌ Not on Best Plan</v>
      </c>
      <c r="L3" s="65" t="str">
        <f>IFERROR(INDEX('Docketed Comments'!F:F,MATCH(A3,'Docketed Comments'!H:H,0)),"")</f>
        <v>Form letter</v>
      </c>
      <c r="M3" s="137" t="str">
        <f>IFERROR(HYPERLINK(INDEX('Docketed Comments'!G:G,MATCH(A3,'Docketed Comments'!H:H,0)),"📄 View Docket"),"")</f>
        <v>📄 View Docket</v>
      </c>
      <c r="N3" s="135">
        <f>IFERROR(INDEX('Docketed Comments'!N:N,MATCH(A3,'Docketed Comments'!H:H,0)),"")</f>
        <v>487.48</v>
      </c>
      <c r="O3" s="135" t="str">
        <f>IFERROR(INDEX('Docketed Comments'!L:L,MATCH(A3,'Docketed Comments'!H:H,0)),"")</f>
        <v>No MEP R-BASIC(31.45)</v>
      </c>
      <c r="P3" s="136">
        <f t="shared" si="0"/>
        <v>31.45</v>
      </c>
      <c r="Q3" s="140" t="s">
        <v>5809</v>
      </c>
      <c r="R3" s="144">
        <v>0</v>
      </c>
    </row>
    <row r="4" spans="1:18" ht="21.95" customHeight="1">
      <c r="A4" s="71" t="s">
        <v>4943</v>
      </c>
      <c r="B4" s="69" t="s">
        <v>4887</v>
      </c>
      <c r="C4" s="70">
        <v>46046</v>
      </c>
      <c r="D4" s="69" t="s">
        <v>4888</v>
      </c>
      <c r="E4" s="69"/>
      <c r="F4" s="65" t="s">
        <v>5717</v>
      </c>
      <c r="G4" s="65"/>
      <c r="H4" s="65" t="str">
        <f>IFERROR(INDEX('Docketed Comments'!C:C,MATCH(A4,'Docketed Comments'!H:H,0))&amp;", "&amp;INDEX('Docketed Comments'!B:B,MATCH(A4,'Docketed Comments'!H:H,0)),"")</f>
        <v>Shelby, Bryant</v>
      </c>
      <c r="I4" s="65" t="str">
        <f>IFERROR(INDEX('Docketed Comments'!D:D,MATCH(A4,'Docketed Comments'!H:H,0)),"")</f>
        <v>Phoenix</v>
      </c>
      <c r="J4" s="65" t="str">
        <f>IFERROR(INDEX('Docketed Comments'!I:I,MATCH(A4,'Docketed Comments'!H:H,0)),"")</f>
        <v>RTOUE47</v>
      </c>
      <c r="K4" s="65" t="str">
        <f t="shared" si="1"/>
        <v>❌ Not on Best Plan</v>
      </c>
      <c r="L4" s="65" t="str">
        <f>IFERROR(INDEX('Docketed Comments'!F:F,MATCH(A4,'Docketed Comments'!H:H,0)),"")</f>
        <v>Opposed, unfair burden on families and seniors</v>
      </c>
      <c r="M4" s="137" t="str">
        <f>IFERROR(HYPERLINK(INDEX('Docketed Comments'!G:G,MATCH(A4,'Docketed Comments'!H:H,0)),"📄 View Docket"),"")</f>
        <v>📄 View Docket</v>
      </c>
      <c r="N4" s="135">
        <f>IFERROR(INDEX('Docketed Comments'!N:N,MATCH(A4,'Docketed Comments'!H:H,0)),"")</f>
        <v>470.06</v>
      </c>
      <c r="O4" s="135" t="str">
        <f>IFERROR(INDEX('Docketed Comments'!L:L,MATCH(A4,'Docketed Comments'!H:H,0)),"")</f>
        <v>No MEP R3-47(28.19)</v>
      </c>
      <c r="P4" s="136">
        <f t="shared" si="0"/>
        <v>28.19</v>
      </c>
      <c r="Q4" s="140" t="s">
        <v>5809</v>
      </c>
      <c r="R4" s="144">
        <v>0</v>
      </c>
    </row>
    <row r="5" spans="1:18" ht="21.95" customHeight="1">
      <c r="A5" s="71" t="s">
        <v>4944</v>
      </c>
      <c r="B5" s="69" t="s">
        <v>4887</v>
      </c>
      <c r="C5" s="70">
        <v>46046</v>
      </c>
      <c r="D5" s="69" t="s">
        <v>4865</v>
      </c>
      <c r="E5" s="69" t="s">
        <v>4898</v>
      </c>
      <c r="F5" s="65" t="s">
        <v>5719</v>
      </c>
      <c r="G5" s="65"/>
      <c r="H5" s="65" t="str">
        <f>IFERROR(INDEX('Docketed Comments'!C:C,MATCH(A5,'Docketed Comments'!H:H,0))&amp;", "&amp;INDEX('Docketed Comments'!B:B,MATCH(A5,'Docketed Comments'!H:H,0)),"")</f>
        <v>Ashlee, Santoyo</v>
      </c>
      <c r="I5" s="65" t="str">
        <f>IFERROR(INDEX('Docketed Comments'!D:D,MATCH(A5,'Docketed Comments'!H:H,0)),"")</f>
        <v>Surprise</v>
      </c>
      <c r="J5" s="65" t="str">
        <f>IFERROR(INDEX('Docketed Comments'!I:I,MATCH(A5,'Docketed Comments'!H:H,0)),"")</f>
        <v>RTOUE47</v>
      </c>
      <c r="K5" s="65" t="str">
        <f t="shared" si="1"/>
        <v>❌ Not on Best Plan</v>
      </c>
      <c r="L5" s="65" t="str">
        <f>IFERROR(INDEX('Docketed Comments'!F:F,MATCH(A5,'Docketed Comments'!H:H,0)),"")</f>
        <v>Form letter</v>
      </c>
      <c r="M5" s="137" t="str">
        <f>IFERROR(HYPERLINK(INDEX('Docketed Comments'!G:G,MATCH(A5,'Docketed Comments'!H:H,0)),"📄 View Docket"),"")</f>
        <v>📄 View Docket</v>
      </c>
      <c r="N5" s="135">
        <f>IFERROR(INDEX('Docketed Comments'!N:N,MATCH(A5,'Docketed Comments'!H:H,0)),"")</f>
        <v>1278.31</v>
      </c>
      <c r="O5" s="135" t="str">
        <f>IFERROR(INDEX('Docketed Comments'!L:L,MATCH(A5,'Docketed Comments'!H:H,0)),"")</f>
        <v>No MEP R3-47($153.61)</v>
      </c>
      <c r="P5" s="136">
        <f t="shared" si="0"/>
        <v>153.61000000000001</v>
      </c>
      <c r="Q5" s="140" t="s">
        <v>5809</v>
      </c>
      <c r="R5" s="144">
        <v>0</v>
      </c>
    </row>
    <row r="6" spans="1:18" ht="21.95" customHeight="1">
      <c r="A6" s="71" t="s">
        <v>4945</v>
      </c>
      <c r="B6" s="69" t="s">
        <v>4887</v>
      </c>
      <c r="C6" s="70">
        <v>46039</v>
      </c>
      <c r="D6" s="69" t="s">
        <v>4888</v>
      </c>
      <c r="E6" s="69"/>
      <c r="F6" s="65"/>
      <c r="G6" s="65"/>
      <c r="H6" s="65" t="str">
        <f>IFERROR(INDEX('Docketed Comments'!C:C,MATCH(A6,'Docketed Comments'!H:H,0))&amp;", "&amp;INDEX('Docketed Comments'!B:B,MATCH(A6,'Docketed Comments'!H:H,0)),"")</f>
        <v>Jason, McCloud</v>
      </c>
      <c r="I6" s="65" t="str">
        <f>IFERROR(INDEX('Docketed Comments'!D:D,MATCH(A6,'Docketed Comments'!H:H,0)),"")</f>
        <v>Surprise</v>
      </c>
      <c r="J6" s="65" t="str">
        <f>IFERROR(INDEX('Docketed Comments'!I:I,MATCH(A6,'Docketed Comments'!H:H,0)),"")</f>
        <v>RTOUE47</v>
      </c>
      <c r="K6" s="65" t="str">
        <f t="shared" si="1"/>
        <v>❌ Not on Best Plan</v>
      </c>
      <c r="L6" s="65" t="str">
        <f>IFERROR(INDEX('Docketed Comments'!F:F,MATCH(A6,'Docketed Comments'!H:H,0)),"")</f>
        <v>Unchecked greed</v>
      </c>
      <c r="M6" s="137" t="str">
        <f>IFERROR(HYPERLINK(INDEX('Docketed Comments'!G:G,MATCH(A6,'Docketed Comments'!H:H,0)),"📄 View Docket"),"")</f>
        <v>📄 View Docket</v>
      </c>
      <c r="N6" s="135">
        <f>IFERROR(INDEX('Docketed Comments'!N:N,MATCH(A6,'Docketed Comments'!H:H,0)),"")</f>
        <v>803.66</v>
      </c>
      <c r="O6" s="135" t="str">
        <f>IFERROR(INDEX('Docketed Comments'!L:L,MATCH(A6,'Docketed Comments'!H:H,0)),"")</f>
        <v>No MEP R3-47($74.50)</v>
      </c>
      <c r="P6" s="136">
        <f t="shared" si="0"/>
        <v>74.5</v>
      </c>
      <c r="Q6" s="140" t="s">
        <v>5809</v>
      </c>
      <c r="R6" s="144">
        <v>0</v>
      </c>
    </row>
    <row r="7" spans="1:18" ht="21.95" customHeight="1">
      <c r="A7" s="71" t="s">
        <v>2307</v>
      </c>
      <c r="B7" s="69" t="s">
        <v>4887</v>
      </c>
      <c r="C7" s="70">
        <v>46025</v>
      </c>
      <c r="D7" s="69" t="s">
        <v>4888</v>
      </c>
      <c r="E7" s="69"/>
      <c r="F7" s="65" t="s">
        <v>4938</v>
      </c>
      <c r="G7" s="65"/>
      <c r="H7" s="65" t="str">
        <f>IFERROR(INDEX('Docketed Comments'!C:C,MATCH(A7,'Docketed Comments'!H:H,0))&amp;", "&amp;INDEX('Docketed Comments'!B:B,MATCH(A7,'Docketed Comments'!H:H,0)),"")</f>
        <v>Bonnie, Inman</v>
      </c>
      <c r="I7" s="65" t="str">
        <f>IFERROR(INDEX('Docketed Comments'!D:D,MATCH(A7,'Docketed Comments'!H:H,0)),"")</f>
        <v>Phoenix</v>
      </c>
      <c r="J7" s="65" t="str">
        <f>IFERROR(INDEX('Docketed Comments'!I:I,MATCH(A7,'Docketed Comments'!H:H,0)),"")</f>
        <v>RTOUE47</v>
      </c>
      <c r="K7" s="65" t="str">
        <f t="shared" si="1"/>
        <v>❌ Not on Best Plan</v>
      </c>
      <c r="L7" s="65" t="str">
        <f>IFERROR(INDEX('Docketed Comments'!F:F,MATCH(A7,'Docketed Comments'!H:H,0)),"")</f>
        <v>Form letter</v>
      </c>
      <c r="M7" s="137" t="str">
        <f>IFERROR(HYPERLINK(INDEX('Docketed Comments'!G:G,MATCH(A7,'Docketed Comments'!H:H,0)),"📄 View Docket"),"")</f>
        <v>📄 View Docket</v>
      </c>
      <c r="N7" s="135">
        <f>IFERROR(INDEX('Docketed Comments'!N:N,MATCH(A7,'Docketed Comments'!H:H,0)),"")</f>
        <v>508.72</v>
      </c>
      <c r="O7" s="135" t="str">
        <f>IFERROR(INDEX('Docketed Comments'!L:L,MATCH(A7,'Docketed Comments'!H:H,0)),"")</f>
        <v>No MEP R3-47 ($79.77)</v>
      </c>
      <c r="P7" s="136">
        <f t="shared" si="0"/>
        <v>79.77</v>
      </c>
      <c r="Q7" s="140" t="s">
        <v>5809</v>
      </c>
      <c r="R7" s="144">
        <v>0</v>
      </c>
    </row>
    <row r="8" spans="1:18" ht="21.95" customHeight="1">
      <c r="A8" s="71" t="s">
        <v>2448</v>
      </c>
      <c r="B8" s="69" t="s">
        <v>4887</v>
      </c>
      <c r="C8" s="70">
        <v>46025</v>
      </c>
      <c r="D8" s="69"/>
      <c r="E8" s="69"/>
      <c r="F8" s="65" t="s">
        <v>4938</v>
      </c>
      <c r="G8" s="65"/>
      <c r="H8" s="65" t="str">
        <f>IFERROR(INDEX('Docketed Comments'!C:C,MATCH(A8,'Docketed Comments'!H:H,0))&amp;", "&amp;INDEX('Docketed Comments'!B:B,MATCH(A8,'Docketed Comments'!H:H,0)),"")</f>
        <v>Anne, Josselyn</v>
      </c>
      <c r="I8" s="65" t="str">
        <f>IFERROR(INDEX('Docketed Comments'!D:D,MATCH(A8,'Docketed Comments'!H:H,0)),"")</f>
        <v xml:space="preserve">Sun City </v>
      </c>
      <c r="J8" s="65" t="str">
        <f>IFERROR(INDEX('Docketed Comments'!I:I,MATCH(A8,'Docketed Comments'!H:H,0)),"")</f>
        <v>R-BASIC</v>
      </c>
      <c r="K8" s="65" t="str">
        <f t="shared" si="1"/>
        <v>❌ Not on Best Plan</v>
      </c>
      <c r="L8" s="65" t="str">
        <f>IFERROR(INDEX('Docketed Comments'!F:F,MATCH(A8,'Docketed Comments'!H:H,0)),"")</f>
        <v>Opposed</v>
      </c>
      <c r="M8" s="137" t="str">
        <f>IFERROR(HYPERLINK(INDEX('Docketed Comments'!G:G,MATCH(A8,'Docketed Comments'!H:H,0)),"📄 View Docket"),"")</f>
        <v>📄 View Docket</v>
      </c>
      <c r="N8" s="135">
        <f>IFERROR(INDEX('Docketed Comments'!N:N,MATCH(A8,'Docketed Comments'!H:H,0)),"")</f>
        <v>0</v>
      </c>
      <c r="O8" s="135" t="str">
        <f>IFERROR(INDEX('Docketed Comments'!L:L,MATCH(A8,'Docketed Comments'!H:H,0)),"")</f>
        <v>No MEP R-XS ($117.00)</v>
      </c>
      <c r="P8" s="136">
        <f t="shared" si="0"/>
        <v>117</v>
      </c>
      <c r="Q8" s="140" t="s">
        <v>5809</v>
      </c>
      <c r="R8" s="144">
        <v>0</v>
      </c>
    </row>
    <row r="9" spans="1:18" ht="21.95" customHeight="1">
      <c r="A9" s="71" t="s">
        <v>2568</v>
      </c>
      <c r="B9" s="69" t="s">
        <v>4887</v>
      </c>
      <c r="C9" s="70">
        <v>46025</v>
      </c>
      <c r="D9" s="69" t="s">
        <v>4865</v>
      </c>
      <c r="E9" s="69"/>
      <c r="F9" s="65" t="s">
        <v>4934</v>
      </c>
      <c r="G9" s="65"/>
      <c r="H9" s="65" t="str">
        <f>IFERROR(INDEX('Docketed Comments'!C:C,MATCH(A9,'Docketed Comments'!H:H,0))&amp;", "&amp;INDEX('Docketed Comments'!B:B,MATCH(A9,'Docketed Comments'!H:H,0)),"")</f>
        <v>Mercedes, Ramos</v>
      </c>
      <c r="I9" s="65" t="str">
        <f>IFERROR(INDEX('Docketed Comments'!D:D,MATCH(A9,'Docketed Comments'!H:H,0)),"")</f>
        <v>Yuma</v>
      </c>
      <c r="J9" s="65" t="str">
        <f>IFERROR(INDEX('Docketed Comments'!I:I,MATCH(A9,'Docketed Comments'!H:H,0)),"")</f>
        <v>RCPw/R3-47</v>
      </c>
      <c r="K9" s="65" t="str">
        <f t="shared" si="1"/>
        <v>❌ Not on Best Plan</v>
      </c>
      <c r="L9" s="65" t="str">
        <f>IFERROR(INDEX('Docketed Comments'!F:F,MATCH(A9,'Docketed Comments'!H:H,0)),"")</f>
        <v>Extremely expensive</v>
      </c>
      <c r="M9" s="137" t="str">
        <f>IFERROR(HYPERLINK(INDEX('Docketed Comments'!G:G,MATCH(A9,'Docketed Comments'!H:H,0)),"📄 View Docket"),"")</f>
        <v>📄 View Docket</v>
      </c>
      <c r="N9" s="135">
        <f>IFERROR(INDEX('Docketed Comments'!N:N,MATCH(A9,'Docketed Comments'!H:H,0)),"")</f>
        <v>722.34</v>
      </c>
      <c r="O9" s="135" t="str">
        <f>IFERROR(INDEX('Docketed Comments'!L:L,MATCH(A9,'Docketed Comments'!H:H,0)),"")</f>
        <v>No MEP TOUE ($157.52)</v>
      </c>
      <c r="P9" s="136">
        <f t="shared" si="0"/>
        <v>157.52000000000001</v>
      </c>
      <c r="Q9" s="140" t="s">
        <v>5809</v>
      </c>
      <c r="R9" s="144">
        <v>0</v>
      </c>
    </row>
    <row r="10" spans="1:18" ht="21.95" customHeight="1">
      <c r="A10" s="71" t="s">
        <v>4946</v>
      </c>
      <c r="B10" s="69" t="s">
        <v>4887</v>
      </c>
      <c r="C10" s="70">
        <v>45997</v>
      </c>
      <c r="D10" s="69" t="s">
        <v>4888</v>
      </c>
      <c r="E10" s="69"/>
      <c r="F10" s="65" t="s">
        <v>5760</v>
      </c>
      <c r="G10" s="65"/>
      <c r="H10" s="65" t="str">
        <f>IFERROR(INDEX('Docketed Comments'!C:C,MATCH(A10,'Docketed Comments'!H:H,0))&amp;", "&amp;INDEX('Docketed Comments'!B:B,MATCH(A10,'Docketed Comments'!H:H,0)),"")</f>
        <v>Taylor, Vandenberg</v>
      </c>
      <c r="I10" s="65" t="str">
        <f>IFERROR(INDEX('Docketed Comments'!D:D,MATCH(A10,'Docketed Comments'!H:H,0)),"")</f>
        <v>Phoenix</v>
      </c>
      <c r="J10" s="65" t="str">
        <f>IFERROR(INDEX('Docketed Comments'!I:I,MATCH(A10,'Docketed Comments'!H:H,0)),"")</f>
        <v>RTOUE47</v>
      </c>
      <c r="K10" s="65" t="str">
        <f t="shared" si="1"/>
        <v>❌ Not on Best Plan</v>
      </c>
      <c r="L10" s="65" t="str">
        <f>IFERROR(INDEX('Docketed Comments'!F:F,MATCH(A10,'Docketed Comments'!H:H,0)),"")</f>
        <v>Opposed-Terrible idea for Arizonans</v>
      </c>
      <c r="M10" s="137" t="str">
        <f>IFERROR(HYPERLINK(INDEX('Docketed Comments'!G:G,MATCH(A10,'Docketed Comments'!H:H,0)),"📄 View Docket"),"")</f>
        <v>📄 View Docket</v>
      </c>
      <c r="N10" s="135">
        <f>IFERROR(INDEX('Docketed Comments'!N:N,MATCH(A10,'Docketed Comments'!H:H,0)),"")</f>
        <v>349.63</v>
      </c>
      <c r="O10" s="135" t="str">
        <f>IFERROR(INDEX('Docketed Comments'!L:L,MATCH(A10,'Docketed Comments'!H:H,0)),"")</f>
        <v>No MEP R3-47(175.40)</v>
      </c>
      <c r="P10" s="136">
        <f t="shared" si="0"/>
        <v>175.4</v>
      </c>
      <c r="Q10" s="140" t="s">
        <v>5809</v>
      </c>
      <c r="R10" s="144">
        <v>0</v>
      </c>
    </row>
    <row r="11" spans="1:18" ht="21.95" customHeight="1">
      <c r="A11" s="71" t="s">
        <v>2805</v>
      </c>
      <c r="B11" s="69" t="s">
        <v>4887</v>
      </c>
      <c r="C11" s="70">
        <v>46039</v>
      </c>
      <c r="D11" s="69" t="s">
        <v>4888</v>
      </c>
      <c r="E11" s="69"/>
      <c r="F11" s="65"/>
      <c r="G11" s="65"/>
      <c r="H11" s="65" t="str">
        <f>IFERROR(INDEX('Docketed Comments'!C:C,MATCH(A11,'Docketed Comments'!H:H,0))&amp;", "&amp;INDEX('Docketed Comments'!B:B,MATCH(A11,'Docketed Comments'!H:H,0)),"")</f>
        <v>Jerome, Pablo</v>
      </c>
      <c r="I11" s="65" t="str">
        <f>IFERROR(INDEX('Docketed Comments'!D:D,MATCH(A11,'Docketed Comments'!H:H,0)),"")</f>
        <v>Buckeye</v>
      </c>
      <c r="J11" s="65" t="str">
        <f>IFERROR(INDEX('Docketed Comments'!I:I,MATCH(A11,'Docketed Comments'!H:H,0)),"")</f>
        <v>RCPw/RTOUE47</v>
      </c>
      <c r="K11" s="65" t="str">
        <f t="shared" si="1"/>
        <v>❌ Not on Best Plan</v>
      </c>
      <c r="L11" s="65" t="str">
        <f>IFERROR(INDEX('Docketed Comments'!F:F,MATCH(A11,'Docketed Comments'!H:H,0)),"")</f>
        <v>Power is already expensive</v>
      </c>
      <c r="M11" s="137" t="str">
        <f>IFERROR(HYPERLINK(INDEX('Docketed Comments'!G:G,MATCH(A11,'Docketed Comments'!H:H,0)),"📄 View Docket"),"")</f>
        <v>📄 View Docket</v>
      </c>
      <c r="N11" s="135">
        <f>IFERROR(INDEX('Docketed Comments'!N:N,MATCH(A11,'Docketed Comments'!H:H,0)),"")</f>
        <v>333.26</v>
      </c>
      <c r="O11" s="135" t="str">
        <f>IFERROR(INDEX('Docketed Comments'!L:L,MATCH(A11,'Docketed Comments'!H:H,0)),"")</f>
        <v>No MEP R3-47 ($310.77)</v>
      </c>
      <c r="P11" s="136">
        <f t="shared" si="0"/>
        <v>310.77</v>
      </c>
      <c r="Q11" s="140" t="s">
        <v>5809</v>
      </c>
      <c r="R11" s="144">
        <v>0</v>
      </c>
    </row>
    <row r="12" spans="1:18" ht="21.95" customHeight="1">
      <c r="A12" s="71" t="s">
        <v>3020</v>
      </c>
      <c r="B12" s="69" t="s">
        <v>4887</v>
      </c>
      <c r="C12" s="70">
        <v>46032</v>
      </c>
      <c r="D12" s="69"/>
      <c r="E12" s="69" t="s">
        <v>4899</v>
      </c>
      <c r="F12" s="65" t="s">
        <v>5745</v>
      </c>
      <c r="G12" s="65"/>
      <c r="H12" s="65" t="str">
        <f>IFERROR(INDEX('Docketed Comments'!C:C,MATCH(A12,'Docketed Comments'!H:H,0))&amp;", "&amp;INDEX('Docketed Comments'!B:B,MATCH(A12,'Docketed Comments'!H:H,0)),"")</f>
        <v>Virginia, Youngker</v>
      </c>
      <c r="I12" s="65" t="str">
        <f>IFERROR(INDEX('Docketed Comments'!D:D,MATCH(A12,'Docketed Comments'!H:H,0)),"")</f>
        <v>Scottsdale</v>
      </c>
      <c r="J12" s="65" t="str">
        <f>IFERROR(INDEX('Docketed Comments'!I:I,MATCH(A12,'Docketed Comments'!H:H,0)),"")</f>
        <v>RTOUE47</v>
      </c>
      <c r="K12" s="65" t="str">
        <f t="shared" si="1"/>
        <v>❌ Not on Best Plan</v>
      </c>
      <c r="L12" s="65" t="str">
        <f>IFERROR(INDEX('Docketed Comments'!F:F,MATCH(A12,'Docketed Comments'!H:H,0)),"")</f>
        <v>Form Letter: Enough is enough! You must reject the latest 14% rate hikes by APS and TEP</v>
      </c>
      <c r="M12" s="137" t="str">
        <f>IFERROR(HYPERLINK(INDEX('Docketed Comments'!G:G,MATCH(A12,'Docketed Comments'!H:H,0)),"📄 View Docket"),"")</f>
        <v>📄 View Docket</v>
      </c>
      <c r="N12" s="135">
        <f>IFERROR(INDEX('Docketed Comments'!N:N,MATCH(A12,'Docketed Comments'!H:H,0)),"")</f>
        <v>2463.12</v>
      </c>
      <c r="O12" s="135" t="str">
        <f>IFERROR(INDEX('Docketed Comments'!L:L,MATCH(A12,'Docketed Comments'!H:H,0)),"")</f>
        <v>No MEP R3-47 ($991.58)</v>
      </c>
      <c r="P12" s="136">
        <f t="shared" si="0"/>
        <v>991.58</v>
      </c>
      <c r="Q12" s="140" t="s">
        <v>5809</v>
      </c>
      <c r="R12" s="144">
        <v>0</v>
      </c>
    </row>
    <row r="13" spans="1:18" ht="21.95" customHeight="1">
      <c r="A13" s="71" t="s">
        <v>3046</v>
      </c>
      <c r="B13" s="69" t="s">
        <v>4887</v>
      </c>
      <c r="C13" s="70">
        <v>46032</v>
      </c>
      <c r="D13" s="69" t="s">
        <v>4888</v>
      </c>
      <c r="E13" s="69"/>
      <c r="F13" s="65" t="s">
        <v>5771</v>
      </c>
      <c r="G13" s="65"/>
      <c r="H13" s="65" t="str">
        <f>IFERROR(INDEX('Docketed Comments'!C:C,MATCH(A13,'Docketed Comments'!H:H,0))&amp;", "&amp;INDEX('Docketed Comments'!B:B,MATCH(A13,'Docketed Comments'!H:H,0)),"")</f>
        <v>Scott, Haden</v>
      </c>
      <c r="I13" s="65" t="str">
        <f>IFERROR(INDEX('Docketed Comments'!D:D,MATCH(A13,'Docketed Comments'!H:H,0)),"")</f>
        <v>Phoenix</v>
      </c>
      <c r="J13" s="65" t="str">
        <f>IFERROR(INDEX('Docketed Comments'!I:I,MATCH(A13,'Docketed Comments'!H:H,0)),"")</f>
        <v>RTOUE47</v>
      </c>
      <c r="K13" s="65" t="str">
        <f t="shared" si="1"/>
        <v>❌ Not on Best Plan</v>
      </c>
      <c r="L13" s="65" t="str">
        <f>IFERROR(INDEX('Docketed Comments'!F:F,MATCH(A13,'Docketed Comments'!H:H,0)),"")</f>
        <v>Form Letter: Enough is enough! You must reject the latest 14% rate hikes by APS and TEP</v>
      </c>
      <c r="M13" s="137" t="str">
        <f>IFERROR(HYPERLINK(INDEX('Docketed Comments'!G:G,MATCH(A13,'Docketed Comments'!H:H,0)),"📄 View Docket"),"")</f>
        <v>📄 View Docket</v>
      </c>
      <c r="N13" s="135">
        <f>IFERROR(INDEX('Docketed Comments'!N:N,MATCH(A13,'Docketed Comments'!H:H,0)),"")</f>
        <v>0</v>
      </c>
      <c r="O13" s="135" t="str">
        <f>IFERROR(INDEX('Docketed Comments'!L:L,MATCH(A13,'Docketed Comments'!H:H,0)),"")</f>
        <v>No MEP R3-47 ($43.09)</v>
      </c>
      <c r="P13" s="136">
        <f t="shared" si="0"/>
        <v>43.09</v>
      </c>
      <c r="Q13" s="140" t="s">
        <v>5809</v>
      </c>
      <c r="R13" s="144">
        <v>0</v>
      </c>
    </row>
    <row r="14" spans="1:18" ht="21.95" customHeight="1">
      <c r="A14" s="71" t="s">
        <v>3171</v>
      </c>
      <c r="B14" s="69" t="s">
        <v>4887</v>
      </c>
      <c r="C14" s="70">
        <v>46032</v>
      </c>
      <c r="D14" s="69" t="s">
        <v>4888</v>
      </c>
      <c r="E14" s="69"/>
      <c r="F14" s="65" t="s">
        <v>4930</v>
      </c>
      <c r="G14" s="65"/>
      <c r="H14" s="65" t="str">
        <f>IFERROR(INDEX('Docketed Comments'!C:C,MATCH(A14,'Docketed Comments'!H:H,0))&amp;", "&amp;INDEX('Docketed Comments'!B:B,MATCH(A14,'Docketed Comments'!H:H,0)),"")</f>
        <v>Miranda, Summons</v>
      </c>
      <c r="I14" s="65" t="str">
        <f>IFERROR(INDEX('Docketed Comments'!D:D,MATCH(A14,'Docketed Comments'!H:H,0)),"")</f>
        <v>Phoenix</v>
      </c>
      <c r="J14" s="65" t="str">
        <f>IFERROR(INDEX('Docketed Comments'!I:I,MATCH(A14,'Docketed Comments'!H:H,0)),"")</f>
        <v>R-BASIC</v>
      </c>
      <c r="K14" s="65" t="str">
        <f t="shared" si="1"/>
        <v>❌ Not on Best Plan</v>
      </c>
      <c r="L14" s="65" t="str">
        <f>IFERROR(INDEX('Docketed Comments'!F:F,MATCH(A14,'Docketed Comments'!H:H,0)),"")</f>
        <v>I am against the rate increase</v>
      </c>
      <c r="M14" s="137" t="str">
        <f>IFERROR(HYPERLINK(INDEX('Docketed Comments'!G:G,MATCH(A14,'Docketed Comments'!H:H,0)),"📄 View Docket"),"")</f>
        <v>📄 View Docket</v>
      </c>
      <c r="N14" s="135">
        <f>IFERROR(INDEX('Docketed Comments'!N:N,MATCH(A14,'Docketed Comments'!H:H,0)),"")</f>
        <v>398.69</v>
      </c>
      <c r="O14" s="135" t="str">
        <f>IFERROR(INDEX('Docketed Comments'!L:L,MATCH(A14,'Docketed Comments'!H:H,0)),"")</f>
        <v>No MEP R3-47 ($3.61)</v>
      </c>
      <c r="P14" s="136">
        <f t="shared" si="0"/>
        <v>3.61</v>
      </c>
      <c r="Q14" s="140" t="s">
        <v>5809</v>
      </c>
      <c r="R14" s="144">
        <v>0</v>
      </c>
    </row>
    <row r="15" spans="1:18" ht="21.95" customHeight="1">
      <c r="A15" s="71" t="s">
        <v>3177</v>
      </c>
      <c r="B15" s="69" t="s">
        <v>4887</v>
      </c>
      <c r="C15" s="70">
        <v>46032</v>
      </c>
      <c r="D15" s="69" t="s">
        <v>4888</v>
      </c>
      <c r="E15" s="69"/>
      <c r="F15" s="65" t="s">
        <v>4930</v>
      </c>
      <c r="G15" s="65"/>
      <c r="H15" s="65" t="str">
        <f>IFERROR(INDEX('Docketed Comments'!C:C,MATCH(A15,'Docketed Comments'!H:H,0))&amp;", "&amp;INDEX('Docketed Comments'!B:B,MATCH(A15,'Docketed Comments'!H:H,0)),"")</f>
        <v>Rachel, Byman</v>
      </c>
      <c r="I15" s="65" t="str">
        <f>IFERROR(INDEX('Docketed Comments'!D:D,MATCH(A15,'Docketed Comments'!H:H,0)),"")</f>
        <v>Phoenix</v>
      </c>
      <c r="J15" s="65" t="str">
        <f>IFERROR(INDEX('Docketed Comments'!I:I,MATCH(A15,'Docketed Comments'!H:H,0)),"")</f>
        <v>R3-47</v>
      </c>
      <c r="K15" s="65" t="str">
        <f t="shared" si="1"/>
        <v>❌ Not on Best Plan</v>
      </c>
      <c r="L15" s="65" t="str">
        <f>IFERROR(INDEX('Docketed Comments'!F:F,MATCH(A15,'Docketed Comments'!H:H,0)),"")</f>
        <v>Form Letter: Enough is enough! You must reject the latest 14% rate hikes by APS and TEP</v>
      </c>
      <c r="M15" s="137" t="str">
        <f>IFERROR(HYPERLINK(INDEX('Docketed Comments'!G:G,MATCH(A15,'Docketed Comments'!H:H,0)),"📄 View Docket"),"")</f>
        <v>📄 View Docket</v>
      </c>
      <c r="N15" s="135">
        <f>IFERROR(INDEX('Docketed Comments'!N:N,MATCH(A15,'Docketed Comments'!H:H,0)),"")</f>
        <v>318.62</v>
      </c>
      <c r="O15" s="135" t="str">
        <f>IFERROR(INDEX('Docketed Comments'!L:L,MATCH(A15,'Docketed Comments'!H:H,0)),"")</f>
        <v>No MEP RTOUE ($1.30)</v>
      </c>
      <c r="P15" s="136">
        <f t="shared" si="0"/>
        <v>1.3</v>
      </c>
      <c r="Q15" s="140" t="s">
        <v>5809</v>
      </c>
      <c r="R15" s="144">
        <v>0</v>
      </c>
    </row>
    <row r="16" spans="1:18" ht="21.95" customHeight="1">
      <c r="A16" s="71" t="s">
        <v>3262</v>
      </c>
      <c r="B16" s="69" t="s">
        <v>4887</v>
      </c>
      <c r="C16" s="70">
        <v>46032</v>
      </c>
      <c r="D16" s="69" t="s">
        <v>4888</v>
      </c>
      <c r="E16" s="69"/>
      <c r="F16" s="65" t="s">
        <v>5727</v>
      </c>
      <c r="G16" s="65"/>
      <c r="H16" s="65" t="str">
        <f>IFERROR(INDEX('Docketed Comments'!C:C,MATCH(A16,'Docketed Comments'!H:H,0))&amp;", "&amp;INDEX('Docketed Comments'!B:B,MATCH(A16,'Docketed Comments'!H:H,0)),"")</f>
        <v>Maria, Hernandez</v>
      </c>
      <c r="I16" s="65" t="str">
        <f>IFERROR(INDEX('Docketed Comments'!D:D,MATCH(A16,'Docketed Comments'!H:H,0)),"")</f>
        <v>Youngtown</v>
      </c>
      <c r="J16" s="65" t="str">
        <f>IFERROR(INDEX('Docketed Comments'!I:I,MATCH(A16,'Docketed Comments'!H:H,0)),"")</f>
        <v>RTOUE47</v>
      </c>
      <c r="K16" s="65" t="str">
        <f t="shared" si="1"/>
        <v>❌ Not on Best Plan</v>
      </c>
      <c r="L16" s="65" t="str">
        <f>IFERROR(INDEX('Docketed Comments'!F:F,MATCH(A16,'Docketed Comments'!H:H,0)),"")</f>
        <v>Form Letter: Enough is enough! You must reject the latest 14% rate hikes by APS and TEP</v>
      </c>
      <c r="M16" s="137" t="str">
        <f>IFERROR(HYPERLINK(INDEX('Docketed Comments'!G:G,MATCH(A16,'Docketed Comments'!H:H,0)),"📄 View Docket"),"")</f>
        <v>📄 View Docket</v>
      </c>
      <c r="N16" s="135">
        <f>IFERROR(INDEX('Docketed Comments'!N:N,MATCH(A16,'Docketed Comments'!H:H,0)),"")</f>
        <v>1482.25</v>
      </c>
      <c r="O16" s="135" t="str">
        <f>IFERROR(INDEX('Docketed Comments'!L:L,MATCH(A16,'Docketed Comments'!H:H,0)),"")</f>
        <v>No MEP R3-47 ($62.21)</v>
      </c>
      <c r="P16" s="136">
        <f t="shared" si="0"/>
        <v>62.21</v>
      </c>
      <c r="Q16" s="140" t="s">
        <v>5809</v>
      </c>
      <c r="R16" s="144">
        <v>0</v>
      </c>
    </row>
    <row r="17" spans="1:18" ht="21.95" customHeight="1">
      <c r="A17" s="71" t="s">
        <v>3288</v>
      </c>
      <c r="B17" s="69" t="s">
        <v>4887</v>
      </c>
      <c r="C17" s="70">
        <v>46032</v>
      </c>
      <c r="D17" s="69"/>
      <c r="E17" s="69" t="s">
        <v>4894</v>
      </c>
      <c r="F17" s="65" t="s">
        <v>5741</v>
      </c>
      <c r="G17" s="65"/>
      <c r="H17" s="65" t="str">
        <f>IFERROR(INDEX('Docketed Comments'!C:C,MATCH(A17,'Docketed Comments'!H:H,0))&amp;", "&amp;INDEX('Docketed Comments'!B:B,MATCH(A17,'Docketed Comments'!H:H,0)),"")</f>
        <v>Diana, Curds</v>
      </c>
      <c r="I17" s="65" t="str">
        <f>IFERROR(INDEX('Docketed Comments'!D:D,MATCH(A17,'Docketed Comments'!H:H,0)),"")</f>
        <v>Phoenix</v>
      </c>
      <c r="J17" s="65" t="str">
        <f>IFERROR(INDEX('Docketed Comments'!I:I,MATCH(A17,'Docketed Comments'!H:H,0)),"")</f>
        <v>RTOUE47</v>
      </c>
      <c r="K17" s="65" t="str">
        <f t="shared" si="1"/>
        <v>❌ Not on Best Plan</v>
      </c>
      <c r="L17" s="65" t="str">
        <f>IFERROR(INDEX('Docketed Comments'!F:F,MATCH(A17,'Docketed Comments'!H:H,0)),"")</f>
        <v>I oppose the rate hike. Bills are high enough. No one can survive paying $650.</v>
      </c>
      <c r="M17" s="137" t="str">
        <f>IFERROR(HYPERLINK(INDEX('Docketed Comments'!G:G,MATCH(A17,'Docketed Comments'!H:H,0)),"📄 View Docket"),"")</f>
        <v>📄 View Docket</v>
      </c>
      <c r="N17" s="135">
        <f>IFERROR(INDEX('Docketed Comments'!N:N,MATCH(A17,'Docketed Comments'!H:H,0)),"")</f>
        <v>99.98</v>
      </c>
      <c r="O17" s="135" t="str">
        <f>IFERROR(INDEX('Docketed Comments'!L:L,MATCH(A17,'Docketed Comments'!H:H,0)),"")</f>
        <v>No MEP R3-47 ($113.52)</v>
      </c>
      <c r="P17" s="136">
        <f t="shared" si="0"/>
        <v>113.52</v>
      </c>
      <c r="Q17" s="140" t="s">
        <v>5809</v>
      </c>
      <c r="R17" s="144">
        <v>0</v>
      </c>
    </row>
    <row r="18" spans="1:18" ht="21.95" customHeight="1">
      <c r="A18" s="71" t="s">
        <v>4947</v>
      </c>
      <c r="B18" s="69" t="s">
        <v>4887</v>
      </c>
      <c r="C18" s="70">
        <v>46018</v>
      </c>
      <c r="D18" s="69" t="s">
        <v>4865</v>
      </c>
      <c r="E18" s="69" t="s">
        <v>4898</v>
      </c>
      <c r="F18" s="65"/>
      <c r="G18" s="65"/>
      <c r="H18" s="65" t="str">
        <f>IFERROR(INDEX('Docketed Comments'!C:C,MATCH(A18,'Docketed Comments'!H:H,0))&amp;", "&amp;INDEX('Docketed Comments'!B:B,MATCH(A18,'Docketed Comments'!H:H,0)),"")</f>
        <v>Michael, Posey</v>
      </c>
      <c r="I18" s="65" t="str">
        <f>IFERROR(INDEX('Docketed Comments'!D:D,MATCH(A18,'Docketed Comments'!H:H,0)),"")</f>
        <v>Buckeye</v>
      </c>
      <c r="J18" s="65" t="str">
        <f>IFERROR(INDEX('Docketed Comments'!I:I,MATCH(A18,'Docketed Comments'!H:H,0)),"")</f>
        <v>RTOUE47</v>
      </c>
      <c r="K18" s="65" t="str">
        <f t="shared" si="1"/>
        <v>❌ Not on Best Plan</v>
      </c>
      <c r="L18" s="65" t="str">
        <f>IFERROR(INDEX('Docketed Comments'!F:F,MATCH(A18,'Docketed Comments'!H:H,0)),"")</f>
        <v>Form Letter: Enough is enough! You must reject the latest 14% rate hikes by APS e TEP</v>
      </c>
      <c r="M18" s="137" t="str">
        <f>IFERROR(HYPERLINK(INDEX('Docketed Comments'!G:G,MATCH(A18,'Docketed Comments'!H:H,0)),"📄 View Docket"),"")</f>
        <v>📄 View Docket</v>
      </c>
      <c r="N18" s="135">
        <f>IFERROR(INDEX('Docketed Comments'!N:N,MATCH(A18,'Docketed Comments'!H:H,0)),"")</f>
        <v>1309.77</v>
      </c>
      <c r="O18" s="135" t="str">
        <f>IFERROR(INDEX('Docketed Comments'!L:L,MATCH(A18,'Docketed Comments'!H:H,0)),"")</f>
        <v>No MEP R3-47 ($326.27)</v>
      </c>
      <c r="P18" s="136">
        <f t="shared" si="0"/>
        <v>326.27</v>
      </c>
      <c r="Q18" s="140" t="s">
        <v>5809</v>
      </c>
      <c r="R18" s="144">
        <v>0</v>
      </c>
    </row>
    <row r="19" spans="1:18" ht="21.95" customHeight="1">
      <c r="A19" s="71" t="s">
        <v>3638</v>
      </c>
      <c r="B19" s="69"/>
      <c r="C19" s="70"/>
      <c r="D19" s="69"/>
      <c r="E19" s="69"/>
      <c r="F19" s="65"/>
      <c r="G19" s="65" t="s">
        <v>5810</v>
      </c>
      <c r="H19" s="65" t="str">
        <f>IFERROR(INDEX('Docketed Comments'!C:C,MATCH(A19,'Docketed Comments'!H:H,0))&amp;", "&amp;INDEX('Docketed Comments'!B:B,MATCH(A19,'Docketed Comments'!H:H,0)),"")</f>
        <v>Katharine, Cearns</v>
      </c>
      <c r="I19" s="65" t="str">
        <f>IFERROR(INDEX('Docketed Comments'!D:D,MATCH(A19,'Docketed Comments'!H:H,0)),"")</f>
        <v>Yuma</v>
      </c>
      <c r="J19" s="65" t="str">
        <f>IFERROR(INDEX('Docketed Comments'!I:I,MATCH(A19,'Docketed Comments'!H:H,0)),"")</f>
        <v>R-2</v>
      </c>
      <c r="K19" s="65" t="str">
        <f t="shared" si="1"/>
        <v>⚠ Frozen</v>
      </c>
      <c r="L19" s="65" t="str">
        <f>IFERROR(INDEX('Docketed Comments'!F:F,MATCH(A19,'Docketed Comments'!H:H,0)),"")</f>
        <v>Form Letter: Enough is enough! You must reject the latest 14% rate hikes by APS e TEP</v>
      </c>
      <c r="M19" s="137" t="str">
        <f>IFERROR(HYPERLINK(INDEX('Docketed Comments'!G:G,MATCH(A19,'Docketed Comments'!H:H,0)),"📄 View Docket"),"")</f>
        <v>📄 View Docket</v>
      </c>
      <c r="N19" s="135">
        <f>IFERROR(INDEX('Docketed Comments'!N:N,MATCH(A19,'Docketed Comments'!H:H,0)),"")</f>
        <v>310</v>
      </c>
      <c r="O19" s="135" t="str">
        <f>IFERROR(INDEX('Docketed Comments'!L:L,MATCH(A19,'Docketed Comments'!H:H,0)),"")</f>
        <v>Frozen</v>
      </c>
      <c r="P19" s="136">
        <f t="shared" si="0"/>
        <v>0</v>
      </c>
      <c r="Q19" s="140"/>
      <c r="R19" s="144">
        <v>1</v>
      </c>
    </row>
    <row r="20" spans="1:18" ht="21.95" customHeight="1">
      <c r="A20" s="71" t="s">
        <v>4948</v>
      </c>
      <c r="B20" s="69"/>
      <c r="C20" s="70"/>
      <c r="D20" s="69"/>
      <c r="E20" s="69"/>
      <c r="F20" s="65"/>
      <c r="G20" s="65" t="s">
        <v>5810</v>
      </c>
      <c r="H20" s="65" t="str">
        <f>IFERROR(INDEX('Docketed Comments'!C:C,MATCH(A20,'Docketed Comments'!H:H,0))&amp;", "&amp;INDEX('Docketed Comments'!B:B,MATCH(A20,'Docketed Comments'!H:H,0)),"")</f>
        <v>Alexia, Apolinar</v>
      </c>
      <c r="I20" s="65" t="str">
        <f>IFERROR(INDEX('Docketed Comments'!D:D,MATCH(A20,'Docketed Comments'!H:H,0)),"")</f>
        <v>Goodyear</v>
      </c>
      <c r="J20" s="65" t="str">
        <f>IFERROR(INDEX('Docketed Comments'!I:I,MATCH(A20,'Docketed Comments'!H:H,0)),"")</f>
        <v>RCPw/TOUE47</v>
      </c>
      <c r="K20" s="65" t="str">
        <f t="shared" si="1"/>
        <v>❌ Not on Best Plan</v>
      </c>
      <c r="L20" s="65" t="str">
        <f>IFERROR(INDEX('Docketed Comments'!F:F,MATCH(A20,'Docketed Comments'!H:H,0)),"")</f>
        <v>Oppose -rate was just increased less than 2 years ago</v>
      </c>
      <c r="M20" s="137" t="str">
        <f>IFERROR(HYPERLINK(INDEX('Docketed Comments'!G:G,MATCH(A20,'Docketed Comments'!H:H,0)),"📄 View Docket"),"")</f>
        <v>📄 View Docket</v>
      </c>
      <c r="N20" s="135">
        <f>IFERROR(INDEX('Docketed Comments'!N:N,MATCH(A20,'Docketed Comments'!H:H,0)),"")</f>
        <v>681.89</v>
      </c>
      <c r="O20" s="135" t="str">
        <f>IFERROR(INDEX('Docketed Comments'!L:L,MATCH(A20,'Docketed Comments'!H:H,0)),"")</f>
        <v>No MEP R3-47 ($84.24)</v>
      </c>
      <c r="P20" s="136">
        <f t="shared" si="0"/>
        <v>84.24</v>
      </c>
      <c r="Q20" s="140"/>
      <c r="R20" s="144">
        <v>1</v>
      </c>
    </row>
    <row r="21" spans="1:18" ht="21.95" customHeight="1">
      <c r="A21" s="71" t="s">
        <v>4949</v>
      </c>
      <c r="B21" s="69"/>
      <c r="C21" s="70"/>
      <c r="D21" s="69"/>
      <c r="E21" s="69"/>
      <c r="F21" s="65"/>
      <c r="G21" s="65" t="s">
        <v>5810</v>
      </c>
      <c r="H21" s="65" t="str">
        <f>IFERROR(INDEX('Docketed Comments'!C:C,MATCH(A21,'Docketed Comments'!H:H,0))&amp;", "&amp;INDEX('Docketed Comments'!B:B,MATCH(A21,'Docketed Comments'!H:H,0)),"")</f>
        <v>Jodi, Downs</v>
      </c>
      <c r="I21" s="65" t="str">
        <f>IFERROR(INDEX('Docketed Comments'!D:D,MATCH(A21,'Docketed Comments'!H:H,0)),"")</f>
        <v>Glendale</v>
      </c>
      <c r="J21" s="65" t="str">
        <f>IFERROR(INDEX('Docketed Comments'!I:I,MATCH(A21,'Docketed Comments'!H:H,0)),"")</f>
        <v>R-BASIC</v>
      </c>
      <c r="K21" s="65" t="str">
        <f t="shared" si="1"/>
        <v>❌ Not on Best Plan</v>
      </c>
      <c r="L21" s="65" t="str">
        <f>IFERROR(INDEX('Docketed Comments'!F:F,MATCH(A21,'Docketed Comments'!H:H,0)),"")</f>
        <v>On a budget and already working 2 jobs to make ends meet, the price hike is nothing but greed.</v>
      </c>
      <c r="M21" s="137" t="str">
        <f>IFERROR(HYPERLINK(INDEX('Docketed Comments'!G:G,MATCH(A21,'Docketed Comments'!H:H,0)),"📄 View Docket"),"")</f>
        <v>📄 View Docket</v>
      </c>
      <c r="N21" s="135">
        <f>IFERROR(INDEX('Docketed Comments'!N:N,MATCH(A21,'Docketed Comments'!H:H,0)),"")</f>
        <v>43.34</v>
      </c>
      <c r="O21" s="135" t="str">
        <f>IFERROR(INDEX('Docketed Comments'!L:L,MATCH(A21,'Docketed Comments'!H:H,0)),"")</f>
        <v>No MEP R3-47 ($42.04)</v>
      </c>
      <c r="P21" s="136">
        <f t="shared" si="0"/>
        <v>42.04</v>
      </c>
      <c r="Q21" s="140"/>
      <c r="R21" s="144">
        <v>1</v>
      </c>
    </row>
    <row r="22" spans="1:18" ht="21.95" customHeight="1">
      <c r="A22" s="71" t="s">
        <v>4227</v>
      </c>
      <c r="B22" s="69"/>
      <c r="C22" s="70"/>
      <c r="D22" s="69"/>
      <c r="E22" s="69"/>
      <c r="F22" s="65"/>
      <c r="G22" s="65" t="s">
        <v>5810</v>
      </c>
      <c r="H22" s="65" t="str">
        <f>IFERROR(INDEX('Docketed Comments'!C:C,MATCH(A22,'Docketed Comments'!H:H,0))&amp;", "&amp;INDEX('Docketed Comments'!B:B,MATCH(A22,'Docketed Comments'!H:H,0)),"")</f>
        <v>Elizabeth, Andujar</v>
      </c>
      <c r="I22" s="65" t="str">
        <f>IFERROR(INDEX('Docketed Comments'!D:D,MATCH(A22,'Docketed Comments'!H:H,0)),"")</f>
        <v>Phoenix</v>
      </c>
      <c r="J22" s="65" t="str">
        <f>IFERROR(INDEX('Docketed Comments'!I:I,MATCH(A22,'Docketed Comments'!H:H,0)),"")</f>
        <v>R3-47</v>
      </c>
      <c r="K22" s="65" t="str">
        <f t="shared" si="1"/>
        <v>❌ Not on Best Plan</v>
      </c>
      <c r="L22" s="65" t="str">
        <f>IFERROR(INDEX('Docketed Comments'!F:F,MATCH(A22,'Docketed Comments'!H:H,0)),"")</f>
        <v>I believe that aps should lower the cost because not all of us has the funds to keep paying a lot of money</v>
      </c>
      <c r="M22" s="137" t="str">
        <f>IFERROR(HYPERLINK(INDEX('Docketed Comments'!G:G,MATCH(A22,'Docketed Comments'!H:H,0)),"📄 View Docket"),"")</f>
        <v>📄 View Docket</v>
      </c>
      <c r="N22" s="135">
        <f>IFERROR(INDEX('Docketed Comments'!N:N,MATCH(A22,'Docketed Comments'!H:H,0)),"")</f>
        <v>1183.6600000000001</v>
      </c>
      <c r="O22" s="135" t="str">
        <f>IFERROR(INDEX('Docketed Comments'!L:L,MATCH(A22,'Docketed Comments'!H:H,0)),"")</f>
        <v>No MEP RTOUE47 ($64.15)</v>
      </c>
      <c r="P22" s="136">
        <f t="shared" si="0"/>
        <v>64.150000000000006</v>
      </c>
      <c r="Q22" s="140"/>
      <c r="R22" s="144">
        <v>1</v>
      </c>
    </row>
    <row r="23" spans="1:18" ht="21.95" customHeight="1">
      <c r="A23" s="71" t="s">
        <v>4236</v>
      </c>
      <c r="B23" s="69"/>
      <c r="C23" s="70"/>
      <c r="D23" s="69"/>
      <c r="E23" s="69"/>
      <c r="F23" s="65"/>
      <c r="G23" s="65" t="s">
        <v>5810</v>
      </c>
      <c r="H23" s="65" t="str">
        <f>IFERROR(INDEX('Docketed Comments'!C:C,MATCH(A23,'Docketed Comments'!H:H,0))&amp;", "&amp;INDEX('Docketed Comments'!B:B,MATCH(A23,'Docketed Comments'!H:H,0)),"")</f>
        <v>TeNisha, Arends</v>
      </c>
      <c r="I23" s="65" t="str">
        <f>IFERROR(INDEX('Docketed Comments'!D:D,MATCH(A23,'Docketed Comments'!H:H,0)),"")</f>
        <v>Surprise</v>
      </c>
      <c r="J23" s="65" t="str">
        <f>IFERROR(INDEX('Docketed Comments'!I:I,MATCH(A23,'Docketed Comments'!H:H,0)),"")</f>
        <v>R3-47</v>
      </c>
      <c r="K23" s="65" t="str">
        <f t="shared" si="1"/>
        <v>❌ Not on Best Plan</v>
      </c>
      <c r="L23" s="65" t="str">
        <f>IFERROR(INDEX('Docketed Comments'!F:F,MATCH(A23,'Docketed Comments'!H:H,0)),"")</f>
        <v>We have the sun at our disposal. Why isn't APS taking advantage of that to help the consumers that need their services</v>
      </c>
      <c r="M23" s="137" t="str">
        <f>IFERROR(HYPERLINK(INDEX('Docketed Comments'!G:G,MATCH(A23,'Docketed Comments'!H:H,0)),"📄 View Docket"),"")</f>
        <v>📄 View Docket</v>
      </c>
      <c r="N23" s="135">
        <f>IFERROR(INDEX('Docketed Comments'!N:N,MATCH(A23,'Docketed Comments'!H:H,0)),"")</f>
        <v>361.81</v>
      </c>
      <c r="O23" s="135" t="str">
        <f>IFERROR(INDEX('Docketed Comments'!L:L,MATCH(A23,'Docketed Comments'!H:H,0)),"")</f>
        <v>Not eligible yet</v>
      </c>
      <c r="P23" s="136">
        <f t="shared" si="0"/>
        <v>0</v>
      </c>
      <c r="Q23" s="140"/>
      <c r="R23" s="144">
        <v>1</v>
      </c>
    </row>
    <row r="24" spans="1:18" ht="21.95" customHeight="1">
      <c r="A24" s="71" t="s">
        <v>4276</v>
      </c>
      <c r="B24" s="69"/>
      <c r="C24" s="70"/>
      <c r="D24" s="69"/>
      <c r="E24" s="69"/>
      <c r="F24" s="65"/>
      <c r="G24" s="65" t="s">
        <v>5810</v>
      </c>
      <c r="H24" s="65" t="str">
        <f>IFERROR(INDEX('Docketed Comments'!C:C,MATCH(A24,'Docketed Comments'!H:H,0))&amp;", "&amp;INDEX('Docketed Comments'!B:B,MATCH(A24,'Docketed Comments'!H:H,0)),"")</f>
        <v>Jennifer, Bugenski</v>
      </c>
      <c r="I24" s="65" t="str">
        <f>IFERROR(INDEX('Docketed Comments'!D:D,MATCH(A24,'Docketed Comments'!H:H,0)),"")</f>
        <v>Flagstaff</v>
      </c>
      <c r="J24" s="65" t="str">
        <f>IFERROR(INDEX('Docketed Comments'!I:I,MATCH(A24,'Docketed Comments'!H:H,0)),"")</f>
        <v>RTOUE47</v>
      </c>
      <c r="K24" s="65" t="str">
        <f t="shared" si="1"/>
        <v>⚠ ???</v>
      </c>
      <c r="L24" s="65" t="str">
        <f>IFERROR(INDEX('Docketed Comments'!F:F,MATCH(A24,'Docketed Comments'!H:H,0)),"")</f>
        <v>I'm against the rate hike we are expensive enough</v>
      </c>
      <c r="M24" s="137" t="str">
        <f>IFERROR(HYPERLINK(INDEX('Docketed Comments'!G:G,MATCH(A24,'Docketed Comments'!H:H,0)),"📄 View Docket"),"")</f>
        <v>📄 View Docket</v>
      </c>
      <c r="N24" s="135">
        <f>IFERROR(INDEX('Docketed Comments'!N:N,MATCH(A24,'Docketed Comments'!H:H,0)),"")</f>
        <v>325</v>
      </c>
      <c r="O24" s="135" t="str">
        <f>IFERROR(INDEX('Docketed Comments'!L:L,MATCH(A24,'Docketed Comments'!H:H,0)),"")</f>
        <v>???</v>
      </c>
      <c r="P24" s="136">
        <f t="shared" si="0"/>
        <v>0</v>
      </c>
      <c r="Q24" s="140"/>
      <c r="R24" s="144">
        <v>1</v>
      </c>
    </row>
    <row r="25" spans="1:18" ht="21.95" customHeight="1">
      <c r="A25" s="71" t="s">
        <v>4473</v>
      </c>
      <c r="B25" s="69"/>
      <c r="C25" s="70"/>
      <c r="D25" s="69"/>
      <c r="E25" s="69"/>
      <c r="F25" s="65"/>
      <c r="G25" s="65" t="s">
        <v>5811</v>
      </c>
      <c r="H25" s="65" t="str">
        <f>IFERROR(INDEX('Docketed Comments'!C:C,MATCH(A25,'Docketed Comments'!H:H,0))&amp;", "&amp;INDEX('Docketed Comments'!B:B,MATCH(A25,'Docketed Comments'!H:H,0)),"")</f>
        <v>Melvinna, King</v>
      </c>
      <c r="I25" s="65" t="str">
        <f>IFERROR(INDEX('Docketed Comments'!D:D,MATCH(A25,'Docketed Comments'!H:H,0)),"")</f>
        <v>Avondale</v>
      </c>
      <c r="J25" s="65">
        <f>IFERROR(INDEX('Docketed Comments'!I:I,MATCH(A25,'Docketed Comments'!H:H,0)),"")</f>
        <v>0</v>
      </c>
      <c r="K25" s="65" t="str">
        <f t="shared" si="1"/>
        <v>⚠ 0</v>
      </c>
      <c r="L25" s="65" t="str">
        <f>IFERROR(INDEX('Docketed Comments'!F:F,MATCH(A25,'Docketed Comments'!H:H,0)),"")</f>
        <v xml:space="preserve"> it's time to humble oneself because God is coming to humble those who feel they are in control</v>
      </c>
      <c r="M25" s="137" t="str">
        <f>IFERROR(HYPERLINK(INDEX('Docketed Comments'!G:G,MATCH(A25,'Docketed Comments'!H:H,0)),"📄 View Docket"),"")</f>
        <v>📄 View Docket</v>
      </c>
      <c r="N25" s="135">
        <f>IFERROR(INDEX('Docketed Comments'!N:N,MATCH(A25,'Docketed Comments'!H:H,0)),"")</f>
        <v>0</v>
      </c>
      <c r="O25" s="135">
        <f>IFERROR(INDEX('Docketed Comments'!L:L,MATCH(A25,'Docketed Comments'!H:H,0)),"")</f>
        <v>0</v>
      </c>
      <c r="P25" s="136">
        <f t="shared" si="0"/>
        <v>0</v>
      </c>
      <c r="Q25" s="140"/>
      <c r="R25" s="144">
        <v>1</v>
      </c>
    </row>
    <row r="26" spans="1:18" ht="21.95" customHeight="1">
      <c r="A26" s="71" t="s">
        <v>4557</v>
      </c>
      <c r="B26" s="69"/>
      <c r="C26" s="70"/>
      <c r="D26" s="69"/>
      <c r="E26" s="69"/>
      <c r="F26" s="65"/>
      <c r="G26" s="65" t="s">
        <v>5810</v>
      </c>
      <c r="H26" s="65" t="str">
        <f>IFERROR(INDEX('Docketed Comments'!C:C,MATCH(A26,'Docketed Comments'!H:H,0))&amp;", "&amp;INDEX('Docketed Comments'!B:B,MATCH(A26,'Docketed Comments'!H:H,0)),"")</f>
        <v>Anaisabel, Gajon</v>
      </c>
      <c r="I26" s="65" t="str">
        <f>IFERROR(INDEX('Docketed Comments'!D:D,MATCH(A26,'Docketed Comments'!H:H,0)),"")</f>
        <v>Yuma</v>
      </c>
      <c r="J26" s="65" t="str">
        <f>IFERROR(INDEX('Docketed Comments'!I:I,MATCH(A26,'Docketed Comments'!H:H,0)),"")</f>
        <v>RTOUE47</v>
      </c>
      <c r="K26" s="65" t="str">
        <f t="shared" si="1"/>
        <v>❌ Not on Best Plan</v>
      </c>
      <c r="L26" s="65" t="str">
        <f>IFERROR(INDEX('Docketed Comments'!F:F,MATCH(A26,'Docketed Comments'!H:H,0)),"")</f>
        <v>Everything is too expensive. It is impossible to afford electricity in this heat as is,</v>
      </c>
      <c r="M26" s="137" t="str">
        <f>IFERROR(HYPERLINK(INDEX('Docketed Comments'!G:G,MATCH(A26,'Docketed Comments'!H:H,0)),"📄 View Docket"),"")</f>
        <v>📄 View Docket</v>
      </c>
      <c r="N26" s="135">
        <f>IFERROR(INDEX('Docketed Comments'!N:N,MATCH(A26,'Docketed Comments'!H:H,0)),"")</f>
        <v>163.08000000000001</v>
      </c>
      <c r="O26" s="135" t="str">
        <f>IFERROR(INDEX('Docketed Comments'!L:L,MATCH(A26,'Docketed Comments'!H:H,0)),"")</f>
        <v>No MEP R3-47 ($107.12)</v>
      </c>
      <c r="P26" s="136">
        <f t="shared" si="0"/>
        <v>107.12</v>
      </c>
      <c r="Q26" s="140"/>
      <c r="R26" s="144">
        <v>1</v>
      </c>
    </row>
    <row r="27" spans="1:18" ht="21.95" customHeight="1">
      <c r="A27" s="71" t="s">
        <v>4950</v>
      </c>
      <c r="B27" s="69"/>
      <c r="C27" s="70"/>
      <c r="D27" s="69"/>
      <c r="E27" s="69"/>
      <c r="F27" s="65"/>
      <c r="G27" s="65" t="s">
        <v>5810</v>
      </c>
      <c r="H27" s="65" t="str">
        <f>IFERROR(INDEX('Docketed Comments'!C:C,MATCH(A27,'Docketed Comments'!H:H,0))&amp;", "&amp;INDEX('Docketed Comments'!B:B,MATCH(A27,'Docketed Comments'!H:H,0)),"")</f>
        <v>Rosalva, Valladares</v>
      </c>
      <c r="I27" s="65" t="str">
        <f>IFERROR(INDEX('Docketed Comments'!D:D,MATCH(A27,'Docketed Comments'!H:H,0)),"")</f>
        <v>Phoenix</v>
      </c>
      <c r="J27" s="65" t="str">
        <f>IFERROR(INDEX('Docketed Comments'!I:I,MATCH(A27,'Docketed Comments'!H:H,0)),"")</f>
        <v>RTOUE47</v>
      </c>
      <c r="K27" s="65" t="str">
        <f t="shared" si="1"/>
        <v>❌ Not on Best Plan</v>
      </c>
      <c r="L27" s="65" t="str">
        <f>IFERROR(INDEX('Docketed Comments'!F:F,MATCH(A27,'Docketed Comments'!H:H,0)),"")</f>
        <v>If APS really cares about its customers look into blocking these data centers from moving to Arizona</v>
      </c>
      <c r="M27" s="137" t="str">
        <f>IFERROR(HYPERLINK(INDEX('Docketed Comments'!G:G,MATCH(A27,'Docketed Comments'!H:H,0)),"📄 View Docket"),"")</f>
        <v>📄 View Docket</v>
      </c>
      <c r="N27" s="135">
        <f>IFERROR(INDEX('Docketed Comments'!N:N,MATCH(A27,'Docketed Comments'!H:H,0)),"")</f>
        <v>472.1</v>
      </c>
      <c r="O27" s="135" t="str">
        <f>IFERROR(INDEX('Docketed Comments'!L:L,MATCH(A27,'Docketed Comments'!H:H,0)),"")</f>
        <v>No MEP R3-47 ($64.75)</v>
      </c>
      <c r="P27" s="136">
        <f t="shared" si="0"/>
        <v>64.75</v>
      </c>
      <c r="Q27" s="140"/>
      <c r="R27" s="144">
        <v>1</v>
      </c>
    </row>
    <row r="28" spans="1:18" ht="21.95" customHeight="1">
      <c r="A28" s="71" t="s">
        <v>4951</v>
      </c>
      <c r="B28" s="69"/>
      <c r="C28" s="70"/>
      <c r="D28" s="69"/>
      <c r="E28" s="69"/>
      <c r="F28" s="65"/>
      <c r="G28" s="65" t="s">
        <v>5810</v>
      </c>
      <c r="H28" s="65" t="str">
        <f>IFERROR(INDEX('Docketed Comments'!C:C,MATCH(A28,'Docketed Comments'!H:H,0))&amp;", "&amp;INDEX('Docketed Comments'!B:B,MATCH(A28,'Docketed Comments'!H:H,0)),"")</f>
        <v>Jodi, Bean</v>
      </c>
      <c r="I28" s="65" t="str">
        <f>IFERROR(INDEX('Docketed Comments'!D:D,MATCH(A28,'Docketed Comments'!H:H,0)),"")</f>
        <v>Wittmann</v>
      </c>
      <c r="J28" s="65" t="str">
        <f>IFERROR(INDEX('Docketed Comments'!I:I,MATCH(A28,'Docketed Comments'!H:H,0)),"")</f>
        <v>RTOUE47</v>
      </c>
      <c r="K28" s="65" t="str">
        <f t="shared" si="1"/>
        <v>❌ Not on Best Plan</v>
      </c>
      <c r="L28" s="65" t="str">
        <f>IFERROR(INDEX('Docketed Comments'!F:F,MATCH(A28,'Docketed Comments'!H:H,0)),"")</f>
        <v>I dent think APS needs another 14% rate hike people are barely making ends meet.</v>
      </c>
      <c r="M28" s="137" t="str">
        <f>IFERROR(HYPERLINK(INDEX('Docketed Comments'!G:G,MATCH(A28,'Docketed Comments'!H:H,0)),"📄 View Docket"),"")</f>
        <v>📄 View Docket</v>
      </c>
      <c r="N28" s="135">
        <f>IFERROR(INDEX('Docketed Comments'!N:N,MATCH(A28,'Docketed Comments'!H:H,0)),"")</f>
        <v>409.95</v>
      </c>
      <c r="O28" s="135" t="str">
        <f>IFERROR(INDEX('Docketed Comments'!L:L,MATCH(A28,'Docketed Comments'!H:H,0)),"")</f>
        <v>No MEP R3-47 ($326.85)</v>
      </c>
      <c r="P28" s="136">
        <f t="shared" si="0"/>
        <v>326.85000000000002</v>
      </c>
      <c r="Q28" s="140"/>
      <c r="R28" s="144">
        <v>1</v>
      </c>
    </row>
    <row r="29" spans="1:18" ht="21.95" customHeight="1">
      <c r="A29" s="71" t="s">
        <v>4952</v>
      </c>
      <c r="B29" s="69" t="s">
        <v>111</v>
      </c>
      <c r="C29" s="70">
        <v>46067</v>
      </c>
      <c r="D29" s="69" t="s">
        <v>4888</v>
      </c>
      <c r="E29" s="69"/>
      <c r="F29" s="65"/>
      <c r="G29" s="65"/>
      <c r="H29" s="65" t="str">
        <f>IFERROR(INDEX('Docketed Comments'!C:C,MATCH(A29,'Docketed Comments'!H:H,0))&amp;", "&amp;INDEX('Docketed Comments'!B:B,MATCH(A29,'Docketed Comments'!H:H,0)),"")</f>
        <v>Carol, Rizzi</v>
      </c>
      <c r="I29" s="65" t="str">
        <f>IFERROR(INDEX('Docketed Comments'!D:D,MATCH(A29,'Docketed Comments'!H:H,0)),"")</f>
        <v>Unknown</v>
      </c>
      <c r="J29" s="65" t="str">
        <f>IFERROR(INDEX('Docketed Comments'!I:I,MATCH(A29,'Docketed Comments'!H:H,0)),"")</f>
        <v>R-XS</v>
      </c>
      <c r="K29" s="65" t="str">
        <f t="shared" si="1"/>
        <v>⚠ AMI Opt Out</v>
      </c>
      <c r="L29" s="65" t="str">
        <f>IFERROR(INDEX('Docketed Comments'!F:F,MATCH(A29,'Docketed Comments'!H:H,0)),"")</f>
        <v>Opposed</v>
      </c>
      <c r="M29" s="137" t="str">
        <f>IFERROR(HYPERLINK(INDEX('Docketed Comments'!G:G,MATCH(A29,'Docketed Comments'!H:H,0)),"📄 View Docket"),"")</f>
        <v>📄 View Docket</v>
      </c>
      <c r="N29" s="135" t="str">
        <f>IFERROR(INDEX('Docketed Comments'!N:N,MATCH(A29,'Docketed Comments'!H:H,0)),"")</f>
        <v>No</v>
      </c>
      <c r="O29" s="135" t="str">
        <f>IFERROR(INDEX('Docketed Comments'!L:L,MATCH(A29,'Docketed Comments'!H:H,0)),"")</f>
        <v>AMI Opt Out</v>
      </c>
      <c r="P29" s="136">
        <f t="shared" si="0"/>
        <v>0</v>
      </c>
      <c r="Q29" s="140" t="s">
        <v>5809</v>
      </c>
      <c r="R29" s="144">
        <v>0</v>
      </c>
    </row>
    <row r="30" spans="1:18" ht="21.95" customHeight="1">
      <c r="A30" s="71" t="s">
        <v>4953</v>
      </c>
      <c r="B30" s="69" t="s">
        <v>111</v>
      </c>
      <c r="C30" s="70">
        <v>46060</v>
      </c>
      <c r="D30" s="69" t="s">
        <v>4888</v>
      </c>
      <c r="E30" s="69"/>
      <c r="F30" s="65" t="s">
        <v>4890</v>
      </c>
      <c r="G30" s="65"/>
      <c r="H30" s="65" t="str">
        <f>IFERROR(INDEX('Docketed Comments'!C:C,MATCH(A30,'Docketed Comments'!H:H,0))&amp;", "&amp;INDEX('Docketed Comments'!B:B,MATCH(A30,'Docketed Comments'!H:H,0)),"")</f>
        <v>Maxwell, Charapata</v>
      </c>
      <c r="I30" s="65" t="str">
        <f>IFERROR(INDEX('Docketed Comments'!D:D,MATCH(A30,'Docketed Comments'!H:H,0)),"")</f>
        <v>Phoenix</v>
      </c>
      <c r="J30" s="65" t="str">
        <f>IFERROR(INDEX('Docketed Comments'!I:I,MATCH(A30,'Docketed Comments'!H:H,0)),"")</f>
        <v>RTOUE47</v>
      </c>
      <c r="K30" s="65" t="str">
        <f t="shared" si="1"/>
        <v>❌ Not on Best Plan</v>
      </c>
      <c r="L30" s="65" t="str">
        <f>IFERROR(INDEX('Docketed Comments'!F:F,MATCH(A30,'Docketed Comments'!H:H,0)),"")</f>
        <v>Opposed</v>
      </c>
      <c r="M30" s="137" t="str">
        <f>IFERROR(HYPERLINK(INDEX('Docketed Comments'!G:G,MATCH(A30,'Docketed Comments'!H:H,0)),"📄 View Docket"),"")</f>
        <v>📄 View Docket</v>
      </c>
      <c r="N30" s="135" t="str">
        <f>IFERROR(INDEX('Docketed Comments'!N:N,MATCH(A30,'Docketed Comments'!H:H,0)),"")</f>
        <v>No</v>
      </c>
      <c r="O30" s="135" t="str">
        <f>IFERROR(INDEX('Docketed Comments'!L:L,MATCH(A30,'Docketed Comments'!H:H,0)),"")</f>
        <v>No-MEP R3-47(23.66)</v>
      </c>
      <c r="P30" s="136">
        <f t="shared" si="0"/>
        <v>23.66</v>
      </c>
      <c r="Q30" s="140" t="s">
        <v>5809</v>
      </c>
      <c r="R30" s="144">
        <v>0</v>
      </c>
    </row>
    <row r="31" spans="1:18" ht="21.95" customHeight="1">
      <c r="A31" s="71" t="s">
        <v>349</v>
      </c>
      <c r="B31" s="69" t="s">
        <v>111</v>
      </c>
      <c r="C31" s="70">
        <v>46032</v>
      </c>
      <c r="D31" s="69" t="s">
        <v>4865</v>
      </c>
      <c r="E31" s="69" t="s">
        <v>4899</v>
      </c>
      <c r="F31" s="65" t="s">
        <v>4890</v>
      </c>
      <c r="G31" s="65"/>
      <c r="H31" s="65" t="str">
        <f>IFERROR(INDEX('Docketed Comments'!C:C,MATCH(A31,'Docketed Comments'!H:H,0))&amp;", "&amp;INDEX('Docketed Comments'!B:B,MATCH(A31,'Docketed Comments'!H:H,0)),"")</f>
        <v>Chris, Howell</v>
      </c>
      <c r="I31" s="65" t="str">
        <f>IFERROR(INDEX('Docketed Comments'!D:D,MATCH(A31,'Docketed Comments'!H:H,0)),"")</f>
        <v>Surprise</v>
      </c>
      <c r="J31" s="65" t="str">
        <f>IFERROR(INDEX('Docketed Comments'!I:I,MATCH(A31,'Docketed Comments'!H:H,0)),"")</f>
        <v>RTOUE47</v>
      </c>
      <c r="K31" s="65" t="str">
        <f t="shared" si="1"/>
        <v>❌ Not on Best Plan</v>
      </c>
      <c r="L31" s="65" t="str">
        <f>IFERROR(INDEX('Docketed Comments'!F:F,MATCH(A31,'Docketed Comments'!H:H,0)),"")</f>
        <v>Form letter</v>
      </c>
      <c r="M31" s="137" t="str">
        <f>IFERROR(HYPERLINK(INDEX('Docketed Comments'!G:G,MATCH(A31,'Docketed Comments'!H:H,0)),"📄 View Docket"),"")</f>
        <v>📄 View Docket</v>
      </c>
      <c r="N31" s="135" t="str">
        <f>IFERROR(INDEX('Docketed Comments'!N:N,MATCH(A31,'Docketed Comments'!H:H,0)),"")</f>
        <v>No</v>
      </c>
      <c r="O31" s="135" t="str">
        <f>IFERROR(INDEX('Docketed Comments'!L:L,MATCH(A31,'Docketed Comments'!H:H,0)),"")</f>
        <v>No MEP R3-47($2.91)</v>
      </c>
      <c r="P31" s="136">
        <f t="shared" si="0"/>
        <v>2.91</v>
      </c>
      <c r="Q31" s="140" t="s">
        <v>5809</v>
      </c>
      <c r="R31" s="144">
        <v>0</v>
      </c>
    </row>
    <row r="32" spans="1:18" ht="21.95" customHeight="1">
      <c r="A32" s="71" t="s">
        <v>392</v>
      </c>
      <c r="B32" s="69" t="s">
        <v>111</v>
      </c>
      <c r="C32" s="70">
        <v>46053</v>
      </c>
      <c r="D32" s="69" t="s">
        <v>4865</v>
      </c>
      <c r="E32" s="69" t="s">
        <v>4898</v>
      </c>
      <c r="F32" s="65"/>
      <c r="G32" s="65"/>
      <c r="H32" s="65" t="str">
        <f>IFERROR(INDEX('Docketed Comments'!C:C,MATCH(A32,'Docketed Comments'!H:H,0))&amp;", "&amp;INDEX('Docketed Comments'!B:B,MATCH(A32,'Docketed Comments'!H:H,0)),"")</f>
        <v>George, Scharroo</v>
      </c>
      <c r="I32" s="65" t="str">
        <f>IFERROR(INDEX('Docketed Comments'!D:D,MATCH(A32,'Docketed Comments'!H:H,0)),"")</f>
        <v>Phoenix</v>
      </c>
      <c r="J32" s="65" t="str">
        <f>IFERROR(INDEX('Docketed Comments'!I:I,MATCH(A32,'Docketed Comments'!H:H,0)),"")</f>
        <v>R3-47</v>
      </c>
      <c r="K32" s="65" t="str">
        <f t="shared" si="1"/>
        <v>❌ Not on Best Plan</v>
      </c>
      <c r="L32" s="65" t="str">
        <f>IFERROR(INDEX('Docketed Comments'!F:F,MATCH(A32,'Docketed Comments'!H:H,0)),"")</f>
        <v>Opposed</v>
      </c>
      <c r="M32" s="137" t="str">
        <f>IFERROR(HYPERLINK(INDEX('Docketed Comments'!G:G,MATCH(A32,'Docketed Comments'!H:H,0)),"📄 View Docket"),"")</f>
        <v>📄 View Docket</v>
      </c>
      <c r="N32" s="135" t="str">
        <f>IFERROR(INDEX('Docketed Comments'!N:N,MATCH(A32,'Docketed Comments'!H:H,0)),"")</f>
        <v>No</v>
      </c>
      <c r="O32" s="135" t="str">
        <f>IFERROR(INDEX('Docketed Comments'!L:L,MATCH(A32,'Docketed Comments'!H:H,0)),"")</f>
        <v>Not eligible yet (needs 3 months)</v>
      </c>
      <c r="P32" s="136">
        <f t="shared" si="0"/>
        <v>0</v>
      </c>
      <c r="Q32" s="140" t="s">
        <v>5809</v>
      </c>
      <c r="R32" s="144">
        <v>0</v>
      </c>
    </row>
    <row r="33" spans="1:18" ht="21.95" customHeight="1">
      <c r="A33" s="71" t="s">
        <v>4954</v>
      </c>
      <c r="B33" s="69" t="s">
        <v>111</v>
      </c>
      <c r="C33" s="70">
        <v>46053</v>
      </c>
      <c r="D33" s="69" t="s">
        <v>4888</v>
      </c>
      <c r="E33" s="69"/>
      <c r="F33" s="65"/>
      <c r="G33" s="65"/>
      <c r="H33" s="65" t="str">
        <f>IFERROR(INDEX('Docketed Comments'!C:C,MATCH(A33,'Docketed Comments'!H:H,0))&amp;", "&amp;INDEX('Docketed Comments'!B:B,MATCH(A33,'Docketed Comments'!H:H,0)),"")</f>
        <v>Amanda, Farr</v>
      </c>
      <c r="I33" s="65" t="str">
        <f>IFERROR(INDEX('Docketed Comments'!D:D,MATCH(A33,'Docketed Comments'!H:H,0)),"")</f>
        <v>Phoenix</v>
      </c>
      <c r="J33" s="65" t="str">
        <f>IFERROR(INDEX('Docketed Comments'!I:I,MATCH(A33,'Docketed Comments'!H:H,0)),"")</f>
        <v>RTOUE47</v>
      </c>
      <c r="K33" s="65" t="str">
        <f t="shared" si="1"/>
        <v>❌ Not on Best Plan</v>
      </c>
      <c r="L33" s="65" t="str">
        <f>IFERROR(INDEX('Docketed Comments'!F:F,MATCH(A33,'Docketed Comments'!H:H,0)),"")</f>
        <v>Form letter</v>
      </c>
      <c r="M33" s="137" t="str">
        <f>IFERROR(HYPERLINK(INDEX('Docketed Comments'!G:G,MATCH(A33,'Docketed Comments'!H:H,0)),"📄 View Docket"),"")</f>
        <v>📄 View Docket</v>
      </c>
      <c r="N33" s="135" t="str">
        <f>IFERROR(INDEX('Docketed Comments'!N:N,MATCH(A33,'Docketed Comments'!H:H,0)),"")</f>
        <v>No</v>
      </c>
      <c r="O33" s="135" t="str">
        <f>IFERROR(INDEX('Docketed Comments'!L:L,MATCH(A33,'Docketed Comments'!H:H,0)),"")</f>
        <v>No MEP R3-47(463.60)</v>
      </c>
      <c r="P33" s="136">
        <f t="shared" si="0"/>
        <v>463.6</v>
      </c>
      <c r="Q33" s="140" t="s">
        <v>5809</v>
      </c>
      <c r="R33" s="144">
        <v>0</v>
      </c>
    </row>
    <row r="34" spans="1:18" ht="21.95" customHeight="1">
      <c r="A34" s="71" t="s">
        <v>436</v>
      </c>
      <c r="B34" s="69" t="s">
        <v>4887</v>
      </c>
      <c r="C34" s="70">
        <v>46018</v>
      </c>
      <c r="D34" s="69" t="s">
        <v>4888</v>
      </c>
      <c r="E34" s="69"/>
      <c r="F34" s="65"/>
      <c r="G34" s="65"/>
      <c r="H34" s="65" t="str">
        <f>IFERROR(INDEX('Docketed Comments'!C:C,MATCH(A34,'Docketed Comments'!H:H,0))&amp;", "&amp;INDEX('Docketed Comments'!B:B,MATCH(A34,'Docketed Comments'!H:H,0)),"")</f>
        <v>Colin, Norton</v>
      </c>
      <c r="I34" s="65" t="str">
        <f>IFERROR(INDEX('Docketed Comments'!D:D,MATCH(A34,'Docketed Comments'!H:H,0)),"")</f>
        <v>Phoenix</v>
      </c>
      <c r="J34" s="65" t="str">
        <f>IFERROR(INDEX('Docketed Comments'!I:I,MATCH(A34,'Docketed Comments'!H:H,0)),"")</f>
        <v>RTOUE47</v>
      </c>
      <c r="K34" s="65" t="str">
        <f t="shared" si="1"/>
        <v>❌ Not on Best Plan</v>
      </c>
      <c r="L34" s="65" t="str">
        <f>IFERROR(INDEX('Docketed Comments'!F:F,MATCH(A34,'Docketed Comments'!H:H,0)),"")</f>
        <v>Form letter</v>
      </c>
      <c r="M34" s="137" t="str">
        <f>IFERROR(HYPERLINK(INDEX('Docketed Comments'!G:G,MATCH(A34,'Docketed Comments'!H:H,0)),"📄 View Docket"),"")</f>
        <v>📄 View Docket</v>
      </c>
      <c r="N34" s="135" t="str">
        <f>IFERROR(INDEX('Docketed Comments'!N:N,MATCH(A34,'Docketed Comments'!H:H,0)),"")</f>
        <v>No</v>
      </c>
      <c r="O34" s="135" t="str">
        <f>IFERROR(INDEX('Docketed Comments'!L:L,MATCH(A34,'Docketed Comments'!H:H,0)),"")</f>
        <v>No-MEP R3-47($453.80)</v>
      </c>
      <c r="P34" s="136">
        <f t="shared" si="0"/>
        <v>453.8</v>
      </c>
      <c r="Q34" s="140" t="s">
        <v>5809</v>
      </c>
      <c r="R34" s="144">
        <v>0</v>
      </c>
    </row>
    <row r="35" spans="1:18" ht="21.95" customHeight="1">
      <c r="A35" s="71" t="s">
        <v>599</v>
      </c>
      <c r="B35" s="69" t="s">
        <v>111</v>
      </c>
      <c r="C35" s="70">
        <v>46053</v>
      </c>
      <c r="D35" s="69" t="s">
        <v>4888</v>
      </c>
      <c r="E35" s="69"/>
      <c r="F35" s="65"/>
      <c r="G35" s="65"/>
      <c r="H35" s="65" t="str">
        <f>IFERROR(INDEX('Docketed Comments'!C:C,MATCH(A35,'Docketed Comments'!H:H,0))&amp;", "&amp;INDEX('Docketed Comments'!B:B,MATCH(A35,'Docketed Comments'!H:H,0)),"")</f>
        <v>Shailey, Bergstrom</v>
      </c>
      <c r="I35" s="65" t="str">
        <f>IFERROR(INDEX('Docketed Comments'!D:D,MATCH(A35,'Docketed Comments'!H:H,0)),"")</f>
        <v>Phoenix</v>
      </c>
      <c r="J35" s="65" t="str">
        <f>IFERROR(INDEX('Docketed Comments'!I:I,MATCH(A35,'Docketed Comments'!H:H,0)),"")</f>
        <v>R-BASICL</v>
      </c>
      <c r="K35" s="65" t="str">
        <f t="shared" si="1"/>
        <v>❌ Not on Best Plan</v>
      </c>
      <c r="L35" s="65" t="str">
        <f>IFERROR(INDEX('Docketed Comments'!F:F,MATCH(A35,'Docketed Comments'!H:H,0)),"")</f>
        <v>Apt electric bill is as high as her parent home in Tucson</v>
      </c>
      <c r="M35" s="137" t="str">
        <f>IFERROR(HYPERLINK(INDEX('Docketed Comments'!G:G,MATCH(A35,'Docketed Comments'!H:H,0)),"📄 View Docket"),"")</f>
        <v>📄 View Docket</v>
      </c>
      <c r="N35" s="135" t="str">
        <f>IFERROR(INDEX('Docketed Comments'!N:N,MATCH(A35,'Docketed Comments'!H:H,0)),"")</f>
        <v>No</v>
      </c>
      <c r="O35" s="135" t="str">
        <f>IFERROR(INDEX('Docketed Comments'!L:L,MATCH(A35,'Docketed Comments'!H:H,0)),"")</f>
        <v>No MEP R-BASIC(170.69)</v>
      </c>
      <c r="P35" s="136">
        <f t="shared" si="0"/>
        <v>170.69</v>
      </c>
      <c r="Q35" s="140" t="s">
        <v>5809</v>
      </c>
      <c r="R35" s="144">
        <v>0</v>
      </c>
    </row>
    <row r="36" spans="1:18" ht="21.95" customHeight="1">
      <c r="A36" s="71" t="s">
        <v>603</v>
      </c>
      <c r="B36" s="69" t="s">
        <v>111</v>
      </c>
      <c r="C36" s="70">
        <v>46053</v>
      </c>
      <c r="D36" s="69" t="s">
        <v>4888</v>
      </c>
      <c r="E36" s="69"/>
      <c r="F36" s="65" t="s">
        <v>5689</v>
      </c>
      <c r="G36" s="65"/>
      <c r="H36" s="65" t="str">
        <f>IFERROR(INDEX('Docketed Comments'!C:C,MATCH(A36,'Docketed Comments'!H:H,0))&amp;", "&amp;INDEX('Docketed Comments'!B:B,MATCH(A36,'Docketed Comments'!H:H,0)),"")</f>
        <v>Richard, Rogers</v>
      </c>
      <c r="I36" s="65" t="str">
        <f>IFERROR(INDEX('Docketed Comments'!D:D,MATCH(A36,'Docketed Comments'!H:H,0)),"")</f>
        <v>Flagstaff</v>
      </c>
      <c r="J36" s="65" t="str">
        <f>IFERROR(INDEX('Docketed Comments'!I:I,MATCH(A36,'Docketed Comments'!H:H,0)),"")</f>
        <v>R-BASIC</v>
      </c>
      <c r="K36" s="65" t="str">
        <f t="shared" si="1"/>
        <v>❌ Not on Best Plan</v>
      </c>
      <c r="L36" s="65" t="str">
        <f>IFERROR(INDEX('Docketed Comments'!F:F,MATCH(A36,'Docketed Comments'!H:H,0)),"")</f>
        <v>Opposed</v>
      </c>
      <c r="M36" s="137" t="str">
        <f>IFERROR(HYPERLINK(INDEX('Docketed Comments'!G:G,MATCH(A36,'Docketed Comments'!H:H,0)),"📄 View Docket"),"")</f>
        <v>📄 View Docket</v>
      </c>
      <c r="N36" s="135" t="str">
        <f>IFERROR(INDEX('Docketed Comments'!N:N,MATCH(A36,'Docketed Comments'!H:H,0)),"")</f>
        <v>No</v>
      </c>
      <c r="O36" s="135" t="str">
        <f>IFERROR(INDEX('Docketed Comments'!L:L,MATCH(A36,'Docketed Comments'!H:H,0)),"")</f>
        <v>No Multiple SAs not on MEP</v>
      </c>
      <c r="P36" s="136">
        <f t="shared" si="0"/>
        <v>0</v>
      </c>
      <c r="Q36" s="140" t="s">
        <v>5809</v>
      </c>
      <c r="R36" s="144">
        <v>0</v>
      </c>
    </row>
    <row r="37" spans="1:18" ht="21.95" customHeight="1">
      <c r="A37" s="71" t="s">
        <v>611</v>
      </c>
      <c r="B37" s="69" t="s">
        <v>4887</v>
      </c>
      <c r="C37" s="70">
        <v>46018</v>
      </c>
      <c r="D37" s="69" t="s">
        <v>4865</v>
      </c>
      <c r="E37" s="69"/>
      <c r="F37" s="65"/>
      <c r="G37" s="65"/>
      <c r="H37" s="65" t="str">
        <f>IFERROR(INDEX('Docketed Comments'!C:C,MATCH(A37,'Docketed Comments'!H:H,0))&amp;", "&amp;INDEX('Docketed Comments'!B:B,MATCH(A37,'Docketed Comments'!H:H,0)),"")</f>
        <v>Francisco, Gutierrez</v>
      </c>
      <c r="I37" s="65" t="str">
        <f>IFERROR(INDEX('Docketed Comments'!D:D,MATCH(A37,'Docketed Comments'!H:H,0)),"")</f>
        <v>Yuma</v>
      </c>
      <c r="J37" s="65" t="str">
        <f>IFERROR(INDEX('Docketed Comments'!I:I,MATCH(A37,'Docketed Comments'!H:H,0)),"")</f>
        <v>RTOUE47</v>
      </c>
      <c r="K37" s="65" t="str">
        <f t="shared" si="1"/>
        <v>❌ Not on Best Plan</v>
      </c>
      <c r="L37" s="65" t="str">
        <f>IFERROR(INDEX('Docketed Comments'!F:F,MATCH(A37,'Docketed Comments'!H:H,0)),"")</f>
        <v>Form letter</v>
      </c>
      <c r="M37" s="137" t="str">
        <f>IFERROR(HYPERLINK(INDEX('Docketed Comments'!G:G,MATCH(A37,'Docketed Comments'!H:H,0)),"📄 View Docket"),"")</f>
        <v>📄 View Docket</v>
      </c>
      <c r="N37" s="135" t="str">
        <f>IFERROR(INDEX('Docketed Comments'!N:N,MATCH(A37,'Docketed Comments'!H:H,0)),"")</f>
        <v>No</v>
      </c>
      <c r="O37" s="135" t="str">
        <f>IFERROR(INDEX('Docketed Comments'!L:L,MATCH(A37,'Docketed Comments'!H:H,0)),"")</f>
        <v>No MEP R3-47($92.74)</v>
      </c>
      <c r="P37" s="136">
        <f t="shared" si="0"/>
        <v>92.74</v>
      </c>
      <c r="Q37" s="140" t="s">
        <v>5809</v>
      </c>
      <c r="R37" s="144">
        <v>0</v>
      </c>
    </row>
    <row r="38" spans="1:18" ht="21.95" customHeight="1">
      <c r="A38" s="71" t="s">
        <v>631</v>
      </c>
      <c r="B38" s="69" t="s">
        <v>111</v>
      </c>
      <c r="C38" s="70">
        <v>46032</v>
      </c>
      <c r="D38" s="69" t="s">
        <v>4865</v>
      </c>
      <c r="E38" s="69" t="s">
        <v>4898</v>
      </c>
      <c r="F38" s="65" t="s">
        <v>4890</v>
      </c>
      <c r="G38" s="65"/>
      <c r="H38" s="65" t="str">
        <f>IFERROR(INDEX('Docketed Comments'!C:C,MATCH(A38,'Docketed Comments'!H:H,0))&amp;", "&amp;INDEX('Docketed Comments'!B:B,MATCH(A38,'Docketed Comments'!H:H,0)),"")</f>
        <v>Sangram, Mohapatra</v>
      </c>
      <c r="I38" s="65" t="str">
        <f>IFERROR(INDEX('Docketed Comments'!D:D,MATCH(A38,'Docketed Comments'!H:H,0)),"")</f>
        <v>Peoria</v>
      </c>
      <c r="J38" s="65" t="str">
        <f>IFERROR(INDEX('Docketed Comments'!I:I,MATCH(A38,'Docketed Comments'!H:H,0)),"")</f>
        <v>RTOUE47</v>
      </c>
      <c r="K38" s="65" t="str">
        <f t="shared" si="1"/>
        <v>❌ Not on Best Plan</v>
      </c>
      <c r="L38" s="65" t="str">
        <f>IFERROR(INDEX('Docketed Comments'!F:F,MATCH(A38,'Docketed Comments'!H:H,0)),"")</f>
        <v>Form letter</v>
      </c>
      <c r="M38" s="137" t="str">
        <f>IFERROR(HYPERLINK(INDEX('Docketed Comments'!G:G,MATCH(A38,'Docketed Comments'!H:H,0)),"📄 View Docket"),"")</f>
        <v>📄 View Docket</v>
      </c>
      <c r="N38" s="135" t="str">
        <f>IFERROR(INDEX('Docketed Comments'!N:N,MATCH(A38,'Docketed Comments'!H:H,0)),"")</f>
        <v>No</v>
      </c>
      <c r="O38" s="135" t="str">
        <f>IFERROR(INDEX('Docketed Comments'!L:L,MATCH(A38,'Docketed Comments'!H:H,0)),"")</f>
        <v>No MEP R3-47($197.05)</v>
      </c>
      <c r="P38" s="136">
        <f t="shared" si="0"/>
        <v>197.05</v>
      </c>
      <c r="Q38" s="140" t="s">
        <v>5809</v>
      </c>
      <c r="R38" s="144">
        <v>0</v>
      </c>
    </row>
    <row r="39" spans="1:18" ht="21.95" customHeight="1">
      <c r="A39" s="71" t="s">
        <v>685</v>
      </c>
      <c r="B39" s="69" t="s">
        <v>111</v>
      </c>
      <c r="C39" s="70">
        <v>46039</v>
      </c>
      <c r="D39" s="69" t="s">
        <v>4888</v>
      </c>
      <c r="E39" s="69"/>
      <c r="F39" s="65" t="s">
        <v>4890</v>
      </c>
      <c r="G39" s="65"/>
      <c r="H39" s="65" t="str">
        <f>IFERROR(INDEX('Docketed Comments'!C:C,MATCH(A39,'Docketed Comments'!H:H,0))&amp;", "&amp;INDEX('Docketed Comments'!B:B,MATCH(A39,'Docketed Comments'!H:H,0)),"")</f>
        <v xml:space="preserve">Tanooj Kumar Reddy, Gurram </v>
      </c>
      <c r="I39" s="65" t="str">
        <f>IFERROR(INDEX('Docketed Comments'!D:D,MATCH(A39,'Docketed Comments'!H:H,0)),"")</f>
        <v>Peoria</v>
      </c>
      <c r="J39" s="65" t="str">
        <f>IFERROR(INDEX('Docketed Comments'!I:I,MATCH(A39,'Docketed Comments'!H:H,0)),"")</f>
        <v>RTOUE47</v>
      </c>
      <c r="K39" s="65" t="str">
        <f t="shared" si="1"/>
        <v>❌ Not on Best Plan</v>
      </c>
      <c r="L39" s="65" t="str">
        <f>IFERROR(INDEX('Docketed Comments'!F:F,MATCH(A39,'Docketed Comments'!H:H,0)),"")</f>
        <v>Form letter</v>
      </c>
      <c r="M39" s="137" t="str">
        <f>IFERROR(HYPERLINK(INDEX('Docketed Comments'!G:G,MATCH(A39,'Docketed Comments'!H:H,0)),"📄 View Docket"),"")</f>
        <v>📄 View Docket</v>
      </c>
      <c r="N39" s="135" t="str">
        <f>IFERROR(INDEX('Docketed Comments'!N:N,MATCH(A39,'Docketed Comments'!H:H,0)),"")</f>
        <v>No</v>
      </c>
      <c r="O39" s="135" t="str">
        <f>IFERROR(INDEX('Docketed Comments'!L:L,MATCH(A39,'Docketed Comments'!H:H,0)),"")</f>
        <v>No MEP R3-47($194.29)</v>
      </c>
      <c r="P39" s="136">
        <f t="shared" si="0"/>
        <v>194.29</v>
      </c>
      <c r="Q39" s="140" t="s">
        <v>5809</v>
      </c>
      <c r="R39" s="144">
        <v>0</v>
      </c>
    </row>
    <row r="40" spans="1:18" ht="21.95" customHeight="1">
      <c r="A40" s="71" t="s">
        <v>755</v>
      </c>
      <c r="B40" s="69" t="s">
        <v>111</v>
      </c>
      <c r="C40" s="70">
        <v>46074</v>
      </c>
      <c r="D40" s="69" t="s">
        <v>4865</v>
      </c>
      <c r="E40" s="69" t="s">
        <v>4898</v>
      </c>
      <c r="F40" s="65"/>
      <c r="G40" s="65"/>
      <c r="H40" s="65" t="str">
        <f>IFERROR(INDEX('Docketed Comments'!C:C,MATCH(A40,'Docketed Comments'!H:H,0))&amp;", "&amp;INDEX('Docketed Comments'!B:B,MATCH(A40,'Docketed Comments'!H:H,0)),"")</f>
        <v>Kendell, Crowley</v>
      </c>
      <c r="I40" s="65" t="str">
        <f>IFERROR(INDEX('Docketed Comments'!D:D,MATCH(A40,'Docketed Comments'!H:H,0)),"")</f>
        <v>Phoenix</v>
      </c>
      <c r="J40" s="65" t="str">
        <f>IFERROR(INDEX('Docketed Comments'!I:I,MATCH(A40,'Docketed Comments'!H:H,0)),"")</f>
        <v>RTOUE47</v>
      </c>
      <c r="K40" s="65" t="str">
        <f t="shared" si="1"/>
        <v>⚠ N o MEP R-XS(136.68)</v>
      </c>
      <c r="L40" s="65" t="str">
        <f>IFERROR(INDEX('Docketed Comments'!F:F,MATCH(A40,'Docketed Comments'!H:H,0)),"")</f>
        <v>Form letter</v>
      </c>
      <c r="M40" s="137" t="str">
        <f>IFERROR(HYPERLINK(INDEX('Docketed Comments'!G:G,MATCH(A40,'Docketed Comments'!H:H,0)),"📄 View Docket"),"")</f>
        <v>📄 View Docket</v>
      </c>
      <c r="N40" s="135" t="str">
        <f>IFERROR(INDEX('Docketed Comments'!N:N,MATCH(A40,'Docketed Comments'!H:H,0)),"")</f>
        <v>No</v>
      </c>
      <c r="O40" s="135" t="str">
        <f>IFERROR(INDEX('Docketed Comments'!L:L,MATCH(A40,'Docketed Comments'!H:H,0)),"")</f>
        <v>N o MEP R-XS(136.68)</v>
      </c>
      <c r="P40" s="136">
        <f t="shared" si="0"/>
        <v>136.68</v>
      </c>
      <c r="Q40" s="140" t="s">
        <v>5809</v>
      </c>
      <c r="R40" s="144">
        <v>0</v>
      </c>
    </row>
    <row r="41" spans="1:18" ht="21.95" customHeight="1">
      <c r="A41" s="71" t="s">
        <v>4955</v>
      </c>
      <c r="B41" s="69" t="s">
        <v>111</v>
      </c>
      <c r="C41" s="70">
        <v>46032</v>
      </c>
      <c r="D41" s="69" t="s">
        <v>4888</v>
      </c>
      <c r="E41" s="69"/>
      <c r="F41" s="65" t="s">
        <v>4890</v>
      </c>
      <c r="G41" s="65"/>
      <c r="H41" s="65" t="str">
        <f>IFERROR(INDEX('Docketed Comments'!C:C,MATCH(A41,'Docketed Comments'!H:H,0))&amp;", "&amp;INDEX('Docketed Comments'!B:B,MATCH(A41,'Docketed Comments'!H:H,0)),"")</f>
        <v>John, Schroeder</v>
      </c>
      <c r="I41" s="65" t="str">
        <f>IFERROR(INDEX('Docketed Comments'!D:D,MATCH(A41,'Docketed Comments'!H:H,0)),"")</f>
        <v>Goodyear</v>
      </c>
      <c r="J41" s="65" t="str">
        <f>IFERROR(INDEX('Docketed Comments'!I:I,MATCH(A41,'Docketed Comments'!H:H,0)),"")</f>
        <v>RTOUE47</v>
      </c>
      <c r="K41" s="65" t="str">
        <f t="shared" si="1"/>
        <v>❌ Not on Best Plan</v>
      </c>
      <c r="L41" s="65" t="str">
        <f>IFERROR(INDEX('Docketed Comments'!F:F,MATCH(A41,'Docketed Comments'!H:H,0)),"")</f>
        <v>People are suffering financially</v>
      </c>
      <c r="M41" s="137" t="str">
        <f>IFERROR(HYPERLINK(INDEX('Docketed Comments'!G:G,MATCH(A41,'Docketed Comments'!H:H,0)),"📄 View Docket"),"")</f>
        <v>📄 View Docket</v>
      </c>
      <c r="N41" s="135" t="str">
        <f>IFERROR(INDEX('Docketed Comments'!N:N,MATCH(A41,'Docketed Comments'!H:H,0)),"")</f>
        <v>No</v>
      </c>
      <c r="O41" s="135" t="str">
        <f>IFERROR(INDEX('Docketed Comments'!L:L,MATCH(A41,'Docketed Comments'!H:H,0)),"")</f>
        <v>No MEP R3-47 ($369.17)</v>
      </c>
      <c r="P41" s="136">
        <f t="shared" si="0"/>
        <v>369.17</v>
      </c>
      <c r="Q41" s="140" t="s">
        <v>5809</v>
      </c>
      <c r="R41" s="144">
        <v>0</v>
      </c>
    </row>
    <row r="42" spans="1:18" ht="21.95" customHeight="1">
      <c r="A42" s="71" t="s">
        <v>4956</v>
      </c>
      <c r="B42" s="69" t="s">
        <v>111</v>
      </c>
      <c r="C42" s="70">
        <v>46018</v>
      </c>
      <c r="D42" s="69" t="s">
        <v>4865</v>
      </c>
      <c r="E42" s="69"/>
      <c r="F42" s="65"/>
      <c r="G42" s="65"/>
      <c r="H42" s="65" t="str">
        <f>IFERROR(INDEX('Docketed Comments'!C:C,MATCH(A42,'Docketed Comments'!H:H,0))&amp;", "&amp;INDEX('Docketed Comments'!B:B,MATCH(A42,'Docketed Comments'!H:H,0)),"")</f>
        <v>Catherine, Messmer</v>
      </c>
      <c r="I42" s="65" t="str">
        <f>IFERROR(INDEX('Docketed Comments'!D:D,MATCH(A42,'Docketed Comments'!H:H,0)),"")</f>
        <v>Goodyear</v>
      </c>
      <c r="J42" s="65" t="str">
        <f>IFERROR(INDEX('Docketed Comments'!I:I,MATCH(A42,'Docketed Comments'!H:H,0)),"")</f>
        <v>RTOUE47</v>
      </c>
      <c r="K42" s="65" t="str">
        <f t="shared" si="1"/>
        <v>❌ Not on Best Plan</v>
      </c>
      <c r="L42" s="65" t="str">
        <f>IFERROR(INDEX('Docketed Comments'!F:F,MATCH(A42,'Docketed Comments'!H:H,0)),"")</f>
        <v>Widow on limited income</v>
      </c>
      <c r="M42" s="137" t="str">
        <f>IFERROR(HYPERLINK(INDEX('Docketed Comments'!G:G,MATCH(A42,'Docketed Comments'!H:H,0)),"📄 View Docket"),"")</f>
        <v>📄 View Docket</v>
      </c>
      <c r="N42" s="135" t="str">
        <f>IFERROR(INDEX('Docketed Comments'!N:N,MATCH(A42,'Docketed Comments'!H:H,0)),"")</f>
        <v>No</v>
      </c>
      <c r="O42" s="135" t="str">
        <f>IFERROR(INDEX('Docketed Comments'!L:L,MATCH(A42,'Docketed Comments'!H:H,0)),"")</f>
        <v>No MEP R3-47($87.48)</v>
      </c>
      <c r="P42" s="136">
        <f t="shared" si="0"/>
        <v>87.48</v>
      </c>
      <c r="Q42" s="140" t="s">
        <v>5809</v>
      </c>
      <c r="R42" s="144">
        <v>0</v>
      </c>
    </row>
    <row r="43" spans="1:18" ht="21.95" customHeight="1">
      <c r="A43" s="71" t="s">
        <v>4957</v>
      </c>
      <c r="B43" s="69" t="s">
        <v>111</v>
      </c>
      <c r="C43" s="70">
        <v>46025</v>
      </c>
      <c r="D43" s="69" t="s">
        <v>4888</v>
      </c>
      <c r="E43" s="69"/>
      <c r="F43" s="65"/>
      <c r="G43" s="65"/>
      <c r="H43" s="65" t="str">
        <f>IFERROR(INDEX('Docketed Comments'!C:C,MATCH(A43,'Docketed Comments'!H:H,0))&amp;", "&amp;INDEX('Docketed Comments'!B:B,MATCH(A43,'Docketed Comments'!H:H,0)),"")</f>
        <v>Vinay, Pranesh</v>
      </c>
      <c r="I43" s="65" t="str">
        <f>IFERROR(INDEX('Docketed Comments'!D:D,MATCH(A43,'Docketed Comments'!H:H,0)),"")</f>
        <v>Peoria</v>
      </c>
      <c r="J43" s="65" t="str">
        <f>IFERROR(INDEX('Docketed Comments'!I:I,MATCH(A43,'Docketed Comments'!H:H,0)),"")</f>
        <v>R3-47</v>
      </c>
      <c r="K43" s="65" t="str">
        <f t="shared" si="1"/>
        <v>❌ Not on Best Plan</v>
      </c>
      <c r="L43" s="65" t="str">
        <f>IFERROR(INDEX('Docketed Comments'!F:F,MATCH(A43,'Docketed Comments'!H:H,0)),"")</f>
        <v>Form letter</v>
      </c>
      <c r="M43" s="137" t="str">
        <f>IFERROR(HYPERLINK(INDEX('Docketed Comments'!G:G,MATCH(A43,'Docketed Comments'!H:H,0)),"📄 View Docket"),"")</f>
        <v>📄 View Docket</v>
      </c>
      <c r="N43" s="135" t="str">
        <f>IFERROR(INDEX('Docketed Comments'!N:N,MATCH(A43,'Docketed Comments'!H:H,0)),"")</f>
        <v>No</v>
      </c>
      <c r="O43" s="135" t="str">
        <f>IFERROR(INDEX('Docketed Comments'!L:L,MATCH(A43,'Docketed Comments'!H:H,0)),"")</f>
        <v>No MEP R-BASIC ($95.94)</v>
      </c>
      <c r="P43" s="136">
        <f t="shared" si="0"/>
        <v>95.94</v>
      </c>
      <c r="Q43" s="140" t="s">
        <v>5809</v>
      </c>
      <c r="R43" s="144">
        <v>0</v>
      </c>
    </row>
    <row r="44" spans="1:18" ht="21.95" customHeight="1">
      <c r="A44" s="71" t="s">
        <v>1243</v>
      </c>
      <c r="B44" s="69" t="s">
        <v>4887</v>
      </c>
      <c r="C44" s="70">
        <v>46053</v>
      </c>
      <c r="D44" s="69" t="s">
        <v>4865</v>
      </c>
      <c r="E44" s="69" t="s">
        <v>4898</v>
      </c>
      <c r="F44" s="65" t="s">
        <v>4890</v>
      </c>
      <c r="G44" s="65"/>
      <c r="H44" s="65" t="str">
        <f>IFERROR(INDEX('Docketed Comments'!C:C,MATCH(A44,'Docketed Comments'!H:H,0))&amp;", "&amp;INDEX('Docketed Comments'!B:B,MATCH(A44,'Docketed Comments'!H:H,0)),"")</f>
        <v>Vasu, Kukkapalli</v>
      </c>
      <c r="I44" s="65" t="str">
        <f>IFERROR(INDEX('Docketed Comments'!D:D,MATCH(A44,'Docketed Comments'!H:H,0)),"")</f>
        <v>Phoenix</v>
      </c>
      <c r="J44" s="65" t="str">
        <f>IFERROR(INDEX('Docketed Comments'!I:I,MATCH(A44,'Docketed Comments'!H:H,0)),"")</f>
        <v>RCPw/R3-47</v>
      </c>
      <c r="K44" s="65" t="str">
        <f t="shared" si="1"/>
        <v>⚠ N MEP TOU-E ($165.17)</v>
      </c>
      <c r="L44" s="65" t="str">
        <f>IFERROR(INDEX('Docketed Comments'!F:F,MATCH(A44,'Docketed Comments'!H:H,0)),"")</f>
        <v>Opposed</v>
      </c>
      <c r="M44" s="137" t="str">
        <f>IFERROR(HYPERLINK(INDEX('Docketed Comments'!G:G,MATCH(A44,'Docketed Comments'!H:H,0)),"📄 View Docket"),"")</f>
        <v>📄 View Docket</v>
      </c>
      <c r="N44" s="135" t="str">
        <f>IFERROR(INDEX('Docketed Comments'!N:N,MATCH(A44,'Docketed Comments'!H:H,0)),"")</f>
        <v>No</v>
      </c>
      <c r="O44" s="135" t="str">
        <f>IFERROR(INDEX('Docketed Comments'!L:L,MATCH(A44,'Docketed Comments'!H:H,0)),"")</f>
        <v>N MEP TOU-E ($165.17)</v>
      </c>
      <c r="P44" s="136">
        <f t="shared" si="0"/>
        <v>165.17</v>
      </c>
      <c r="Q44" s="140" t="s">
        <v>5809</v>
      </c>
      <c r="R44" s="144">
        <v>0</v>
      </c>
    </row>
    <row r="45" spans="1:18" ht="21.95" customHeight="1">
      <c r="A45" s="71" t="s">
        <v>1252</v>
      </c>
      <c r="B45" s="69" t="s">
        <v>4887</v>
      </c>
      <c r="C45" s="70">
        <v>46053</v>
      </c>
      <c r="D45" s="69" t="s">
        <v>4865</v>
      </c>
      <c r="E45" s="69" t="s">
        <v>4898</v>
      </c>
      <c r="F45" s="65" t="s">
        <v>5699</v>
      </c>
      <c r="G45" s="65"/>
      <c r="H45" s="65" t="str">
        <f>IFERROR(INDEX('Docketed Comments'!C:C,MATCH(A45,'Docketed Comments'!H:H,0))&amp;", "&amp;INDEX('Docketed Comments'!B:B,MATCH(A45,'Docketed Comments'!H:H,0)),"")</f>
        <v>Srinivasa, Gottipati</v>
      </c>
      <c r="I45" s="65" t="str">
        <f>IFERROR(INDEX('Docketed Comments'!D:D,MATCH(A45,'Docketed Comments'!H:H,0)),"")</f>
        <v>Peoria</v>
      </c>
      <c r="J45" s="65" t="str">
        <f>IFERROR(INDEX('Docketed Comments'!I:I,MATCH(A45,'Docketed Comments'!H:H,0)),"")</f>
        <v>REV47</v>
      </c>
      <c r="K45" s="65" t="str">
        <f t="shared" si="1"/>
        <v>❌ Not on Best Plan</v>
      </c>
      <c r="L45" s="65" t="str">
        <f>IFERROR(INDEX('Docketed Comments'!F:F,MATCH(A45,'Docketed Comments'!H:H,0)),"")</f>
        <v>Opposed</v>
      </c>
      <c r="M45" s="137" t="str">
        <f>IFERROR(HYPERLINK(INDEX('Docketed Comments'!G:G,MATCH(A45,'Docketed Comments'!H:H,0)),"📄 View Docket"),"")</f>
        <v>📄 View Docket</v>
      </c>
      <c r="N45" s="135" t="str">
        <f>IFERROR(INDEX('Docketed Comments'!N:N,MATCH(A45,'Docketed Comments'!H:H,0)),"")</f>
        <v>No</v>
      </c>
      <c r="O45" s="135" t="str">
        <f>IFERROR(INDEX('Docketed Comments'!L:L,MATCH(A45,'Docketed Comments'!H:H,0)),"")</f>
        <v>No MEP R3-47 ($295.59)</v>
      </c>
      <c r="P45" s="136">
        <f t="shared" si="0"/>
        <v>295.58999999999997</v>
      </c>
      <c r="Q45" s="140" t="s">
        <v>5809</v>
      </c>
      <c r="R45" s="144">
        <v>0</v>
      </c>
    </row>
    <row r="46" spans="1:18" ht="21.95" customHeight="1">
      <c r="A46" s="71" t="s">
        <v>1266</v>
      </c>
      <c r="B46" s="69" t="s">
        <v>4887</v>
      </c>
      <c r="C46" s="70">
        <v>46060</v>
      </c>
      <c r="D46" s="69" t="s">
        <v>4865</v>
      </c>
      <c r="E46" s="69"/>
      <c r="F46" s="65" t="s">
        <v>4890</v>
      </c>
      <c r="G46" s="65"/>
      <c r="H46" s="65" t="str">
        <f>IFERROR(INDEX('Docketed Comments'!C:C,MATCH(A46,'Docketed Comments'!H:H,0))&amp;", "&amp;INDEX('Docketed Comments'!B:B,MATCH(A46,'Docketed Comments'!H:H,0)),"")</f>
        <v>Balaji, Kuppuswamy</v>
      </c>
      <c r="I46" s="65" t="str">
        <f>IFERROR(INDEX('Docketed Comments'!D:D,MATCH(A46,'Docketed Comments'!H:H,0)),"")</f>
        <v>Peoria</v>
      </c>
      <c r="J46" s="65" t="str">
        <f>IFERROR(INDEX('Docketed Comments'!I:I,MATCH(A46,'Docketed Comments'!H:H,0)),"")</f>
        <v>REV47</v>
      </c>
      <c r="K46" s="65" t="str">
        <f t="shared" si="1"/>
        <v>❌ Not on Best Plan</v>
      </c>
      <c r="L46" s="65" t="str">
        <f>IFERROR(INDEX('Docketed Comments'!F:F,MATCH(A46,'Docketed Comments'!H:H,0)),"")</f>
        <v>Form letter</v>
      </c>
      <c r="M46" s="137" t="str">
        <f>IFERROR(HYPERLINK(INDEX('Docketed Comments'!G:G,MATCH(A46,'Docketed Comments'!H:H,0)),"📄 View Docket"),"")</f>
        <v>📄 View Docket</v>
      </c>
      <c r="N46" s="135" t="str">
        <f>IFERROR(INDEX('Docketed Comments'!N:N,MATCH(A46,'Docketed Comments'!H:H,0)),"")</f>
        <v>No</v>
      </c>
      <c r="O46" s="135" t="str">
        <f>IFERROR(INDEX('Docketed Comments'!L:L,MATCH(A46,'Docketed Comments'!H:H,0)),"")</f>
        <v>Not available yet</v>
      </c>
      <c r="P46" s="136">
        <f t="shared" si="0"/>
        <v>0</v>
      </c>
      <c r="Q46" s="140" t="s">
        <v>5809</v>
      </c>
      <c r="R46" s="144">
        <v>0</v>
      </c>
    </row>
    <row r="47" spans="1:18" ht="21.95" customHeight="1">
      <c r="A47" s="71" t="s">
        <v>1272</v>
      </c>
      <c r="B47" s="69" t="s">
        <v>111</v>
      </c>
      <c r="C47" s="70">
        <v>46039</v>
      </c>
      <c r="D47" s="69" t="s">
        <v>4888</v>
      </c>
      <c r="E47" s="69"/>
      <c r="F47" s="65"/>
      <c r="G47" s="65"/>
      <c r="H47" s="65" t="str">
        <f>IFERROR(INDEX('Docketed Comments'!C:C,MATCH(A47,'Docketed Comments'!H:H,0))&amp;", "&amp;INDEX('Docketed Comments'!B:B,MATCH(A47,'Docketed Comments'!H:H,0)),"")</f>
        <v>Chris, Ziller</v>
      </c>
      <c r="I47" s="65" t="str">
        <f>IFERROR(INDEX('Docketed Comments'!D:D,MATCH(A47,'Docketed Comments'!H:H,0)),"")</f>
        <v>Phoenix</v>
      </c>
      <c r="J47" s="65" t="str">
        <f>IFERROR(INDEX('Docketed Comments'!I:I,MATCH(A47,'Docketed Comments'!H:H,0)),"")</f>
        <v>RTOUE47</v>
      </c>
      <c r="K47" s="65" t="str">
        <f t="shared" si="1"/>
        <v>❌ Not on Best Plan</v>
      </c>
      <c r="L47" s="65" t="str">
        <f>IFERROR(INDEX('Docketed Comments'!F:F,MATCH(A47,'Docketed Comments'!H:H,0)),"")</f>
        <v>Form letter</v>
      </c>
      <c r="M47" s="137" t="str">
        <f>IFERROR(HYPERLINK(INDEX('Docketed Comments'!G:G,MATCH(A47,'Docketed Comments'!H:H,0)),"📄 View Docket"),"")</f>
        <v>📄 View Docket</v>
      </c>
      <c r="N47" s="135" t="str">
        <f>IFERROR(INDEX('Docketed Comments'!N:N,MATCH(A47,'Docketed Comments'!H:H,0)),"")</f>
        <v>No</v>
      </c>
      <c r="O47" s="135" t="str">
        <f>IFERROR(INDEX('Docketed Comments'!L:L,MATCH(A47,'Docketed Comments'!H:H,0)),"")</f>
        <v>No MEP R3-47 ($90.87)</v>
      </c>
      <c r="P47" s="136">
        <f t="shared" si="0"/>
        <v>90.87</v>
      </c>
      <c r="Q47" s="140" t="s">
        <v>5809</v>
      </c>
      <c r="R47" s="144">
        <v>0</v>
      </c>
    </row>
    <row r="48" spans="1:18" ht="21.95" customHeight="1">
      <c r="A48" s="71" t="s">
        <v>1285</v>
      </c>
      <c r="B48" s="69" t="s">
        <v>111</v>
      </c>
      <c r="C48" s="70">
        <v>46039</v>
      </c>
      <c r="D48" s="69" t="s">
        <v>4888</v>
      </c>
      <c r="E48" s="69"/>
      <c r="F48" s="65"/>
      <c r="G48" s="65"/>
      <c r="H48" s="65" t="str">
        <f>IFERROR(INDEX('Docketed Comments'!C:C,MATCH(A48,'Docketed Comments'!H:H,0))&amp;", "&amp;INDEX('Docketed Comments'!B:B,MATCH(A48,'Docketed Comments'!H:H,0)),"")</f>
        <v>Kelsey, Arrowsmith</v>
      </c>
      <c r="I48" s="65" t="str">
        <f>IFERROR(INDEX('Docketed Comments'!D:D,MATCH(A48,'Docketed Comments'!H:H,0)),"")</f>
        <v>Phoenix</v>
      </c>
      <c r="J48" s="65" t="str">
        <f>IFERROR(INDEX('Docketed Comments'!I:I,MATCH(A48,'Docketed Comments'!H:H,0)),"")</f>
        <v>RTOUE47</v>
      </c>
      <c r="K48" s="65" t="str">
        <f t="shared" si="1"/>
        <v>❌ Not on Best Plan</v>
      </c>
      <c r="L48" s="65" t="str">
        <f>IFERROR(INDEX('Docketed Comments'!F:F,MATCH(A48,'Docketed Comments'!H:H,0)),"")</f>
        <v>Form letter</v>
      </c>
      <c r="M48" s="137" t="str">
        <f>IFERROR(HYPERLINK(INDEX('Docketed Comments'!G:G,MATCH(A48,'Docketed Comments'!H:H,0)),"📄 View Docket"),"")</f>
        <v>📄 View Docket</v>
      </c>
      <c r="N48" s="135" t="str">
        <f>IFERROR(INDEX('Docketed Comments'!N:N,MATCH(A48,'Docketed Comments'!H:H,0)),"")</f>
        <v>No</v>
      </c>
      <c r="O48" s="135" t="str">
        <f>IFERROR(INDEX('Docketed Comments'!L:L,MATCH(A48,'Docketed Comments'!H:H,0)),"")</f>
        <v>No MEP R3-47 ($701.02)</v>
      </c>
      <c r="P48" s="136">
        <f t="shared" si="0"/>
        <v>701.02</v>
      </c>
      <c r="Q48" s="140" t="s">
        <v>5809</v>
      </c>
      <c r="R48" s="144">
        <v>0</v>
      </c>
    </row>
    <row r="49" spans="1:18" ht="21.95" customHeight="1">
      <c r="A49" s="71" t="s">
        <v>1294</v>
      </c>
      <c r="B49" s="69" t="s">
        <v>111</v>
      </c>
      <c r="C49" s="70">
        <v>46039</v>
      </c>
      <c r="D49" s="69" t="s">
        <v>4888</v>
      </c>
      <c r="E49" s="69"/>
      <c r="F49" s="65"/>
      <c r="G49" s="65"/>
      <c r="H49" s="65" t="str">
        <f>IFERROR(INDEX('Docketed Comments'!C:C,MATCH(A49,'Docketed Comments'!H:H,0))&amp;", "&amp;INDEX('Docketed Comments'!B:B,MATCH(A49,'Docketed Comments'!H:H,0)),"")</f>
        <v>Ammara, Ahmad</v>
      </c>
      <c r="I49" s="65" t="str">
        <f>IFERROR(INDEX('Docketed Comments'!D:D,MATCH(A49,'Docketed Comments'!H:H,0)),"")</f>
        <v>Goodyear</v>
      </c>
      <c r="J49" s="65" t="str">
        <f>IFERROR(INDEX('Docketed Comments'!I:I,MATCH(A49,'Docketed Comments'!H:H,0)),"")</f>
        <v>R-BASIC</v>
      </c>
      <c r="K49" s="65" t="str">
        <f t="shared" si="1"/>
        <v>❌ Not on Best Plan</v>
      </c>
      <c r="L49" s="65" t="str">
        <f>IFERROR(INDEX('Docketed Comments'!F:F,MATCH(A49,'Docketed Comments'!H:H,0)),"")</f>
        <v>Opposed</v>
      </c>
      <c r="M49" s="137" t="str">
        <f>IFERROR(HYPERLINK(INDEX('Docketed Comments'!G:G,MATCH(A49,'Docketed Comments'!H:H,0)),"📄 View Docket"),"")</f>
        <v>📄 View Docket</v>
      </c>
      <c r="N49" s="135" t="str">
        <f>IFERROR(INDEX('Docketed Comments'!N:N,MATCH(A49,'Docketed Comments'!H:H,0)),"")</f>
        <v>No</v>
      </c>
      <c r="O49" s="135" t="str">
        <f>IFERROR(INDEX('Docketed Comments'!L:L,MATCH(A49,'Docketed Comments'!H:H,0)),"")</f>
        <v>No MEP R3-47 ($55.98)</v>
      </c>
      <c r="P49" s="136">
        <f t="shared" si="0"/>
        <v>55.98</v>
      </c>
      <c r="Q49" s="140" t="s">
        <v>5809</v>
      </c>
      <c r="R49" s="144">
        <v>0</v>
      </c>
    </row>
    <row r="50" spans="1:18" ht="21.95" customHeight="1">
      <c r="A50" s="71" t="s">
        <v>1300</v>
      </c>
      <c r="B50" s="69" t="s">
        <v>111</v>
      </c>
      <c r="C50" s="70">
        <v>46039</v>
      </c>
      <c r="D50" s="69" t="s">
        <v>4888</v>
      </c>
      <c r="E50" s="69"/>
      <c r="F50" s="65"/>
      <c r="G50" s="65"/>
      <c r="H50" s="65" t="str">
        <f>IFERROR(INDEX('Docketed Comments'!C:C,MATCH(A50,'Docketed Comments'!H:H,0))&amp;", "&amp;INDEX('Docketed Comments'!B:B,MATCH(A50,'Docketed Comments'!H:H,0)),"")</f>
        <v>Phillip, Rauschkolb</v>
      </c>
      <c r="I50" s="65" t="str">
        <f>IFERROR(INDEX('Docketed Comments'!D:D,MATCH(A50,'Docketed Comments'!H:H,0)),"")</f>
        <v>Goodyear</v>
      </c>
      <c r="J50" s="65" t="str">
        <f>IFERROR(INDEX('Docketed Comments'!I:I,MATCH(A50,'Docketed Comments'!H:H,0)),"")</f>
        <v>R-BASICL</v>
      </c>
      <c r="K50" s="65" t="str">
        <f t="shared" si="1"/>
        <v>❌ Not on Best Plan</v>
      </c>
      <c r="L50" s="65" t="str">
        <f>IFERROR(INDEX('Docketed Comments'!F:F,MATCH(A50,'Docketed Comments'!H:H,0)),"")</f>
        <v>Form letter</v>
      </c>
      <c r="M50" s="137" t="str">
        <f>IFERROR(HYPERLINK(INDEX('Docketed Comments'!G:G,MATCH(A50,'Docketed Comments'!H:H,0)),"📄 View Docket"),"")</f>
        <v>📄 View Docket</v>
      </c>
      <c r="N50" s="135" t="str">
        <f>IFERROR(INDEX('Docketed Comments'!N:N,MATCH(A50,'Docketed Comments'!H:H,0)),"")</f>
        <v>No</v>
      </c>
      <c r="O50" s="135" t="str">
        <f>IFERROR(INDEX('Docketed Comments'!L:L,MATCH(A50,'Docketed Comments'!H:H,0)),"")</f>
        <v>No MEP R3-47 ($30.33)</v>
      </c>
      <c r="P50" s="136">
        <f t="shared" si="0"/>
        <v>30.33</v>
      </c>
      <c r="Q50" s="140" t="s">
        <v>5809</v>
      </c>
      <c r="R50" s="144">
        <v>0</v>
      </c>
    </row>
    <row r="51" spans="1:18" ht="21.95" customHeight="1">
      <c r="A51" s="71" t="s">
        <v>1334</v>
      </c>
      <c r="B51" s="69" t="s">
        <v>4887</v>
      </c>
      <c r="C51" s="70">
        <v>46060</v>
      </c>
      <c r="D51" s="69" t="s">
        <v>4888</v>
      </c>
      <c r="E51" s="69"/>
      <c r="F51" s="65"/>
      <c r="G51" s="65"/>
      <c r="H51" s="65" t="str">
        <f>IFERROR(INDEX('Docketed Comments'!C:C,MATCH(A51,'Docketed Comments'!H:H,0))&amp;", "&amp;INDEX('Docketed Comments'!B:B,MATCH(A51,'Docketed Comments'!H:H,0)),"")</f>
        <v>Mary, Arpaia</v>
      </c>
      <c r="I51" s="65" t="str">
        <f>IFERROR(INDEX('Docketed Comments'!D:D,MATCH(A51,'Docketed Comments'!H:H,0)),"")</f>
        <v>Avondale</v>
      </c>
      <c r="J51" s="65" t="str">
        <f>IFERROR(INDEX('Docketed Comments'!I:I,MATCH(A51,'Docketed Comments'!H:H,0)),"")</f>
        <v>R-BASIC</v>
      </c>
      <c r="K51" s="65" t="str">
        <f t="shared" si="1"/>
        <v>❌ Not on Best Plan</v>
      </c>
      <c r="L51" s="65" t="str">
        <f>IFERROR(INDEX('Docketed Comments'!F:F,MATCH(A51,'Docketed Comments'!H:H,0)),"")</f>
        <v>Opposed</v>
      </c>
      <c r="M51" s="137" t="str">
        <f>IFERROR(HYPERLINK(INDEX('Docketed Comments'!G:G,MATCH(A51,'Docketed Comments'!H:H,0)),"📄 View Docket"),"")</f>
        <v>📄 View Docket</v>
      </c>
      <c r="N51" s="135" t="str">
        <f>IFERROR(INDEX('Docketed Comments'!N:N,MATCH(A51,'Docketed Comments'!H:H,0)),"")</f>
        <v>No</v>
      </c>
      <c r="O51" s="135" t="str">
        <f>IFERROR(INDEX('Docketed Comments'!L:L,MATCH(A51,'Docketed Comments'!H:H,0)),"")</f>
        <v>No MEP R3-47 ($165.42)</v>
      </c>
      <c r="P51" s="136">
        <f t="shared" si="0"/>
        <v>165.42</v>
      </c>
      <c r="Q51" s="140" t="s">
        <v>5809</v>
      </c>
      <c r="R51" s="144">
        <v>0</v>
      </c>
    </row>
    <row r="52" spans="1:18" ht="21.95" customHeight="1">
      <c r="A52" s="71" t="s">
        <v>1341</v>
      </c>
      <c r="B52" s="69" t="s">
        <v>111</v>
      </c>
      <c r="C52" s="70">
        <v>46039</v>
      </c>
      <c r="D52" s="69" t="s">
        <v>4865</v>
      </c>
      <c r="E52" s="69" t="s">
        <v>4898</v>
      </c>
      <c r="F52" s="65"/>
      <c r="G52" s="65"/>
      <c r="H52" s="65" t="str">
        <f>IFERROR(INDEX('Docketed Comments'!C:C,MATCH(A52,'Docketed Comments'!H:H,0))&amp;", "&amp;INDEX('Docketed Comments'!B:B,MATCH(A52,'Docketed Comments'!H:H,0)),"")</f>
        <v>Mohan, Erra</v>
      </c>
      <c r="I52" s="65" t="str">
        <f>IFERROR(INDEX('Docketed Comments'!D:D,MATCH(A52,'Docketed Comments'!H:H,0)),"")</f>
        <v>Peoria</v>
      </c>
      <c r="J52" s="65" t="str">
        <f>IFERROR(INDEX('Docketed Comments'!I:I,MATCH(A52,'Docketed Comments'!H:H,0)),"")</f>
        <v>RTOUE47</v>
      </c>
      <c r="K52" s="65" t="str">
        <f t="shared" si="1"/>
        <v>❌ Not on Best Plan</v>
      </c>
      <c r="L52" s="65" t="str">
        <f>IFERROR(INDEX('Docketed Comments'!F:F,MATCH(A52,'Docketed Comments'!H:H,0)),"")</f>
        <v>Form letter</v>
      </c>
      <c r="M52" s="137" t="str">
        <f>IFERROR(HYPERLINK(INDEX('Docketed Comments'!G:G,MATCH(A52,'Docketed Comments'!H:H,0)),"📄 View Docket"),"")</f>
        <v>📄 View Docket</v>
      </c>
      <c r="N52" s="135" t="str">
        <f>IFERROR(INDEX('Docketed Comments'!N:N,MATCH(A52,'Docketed Comments'!H:H,0)),"")</f>
        <v>No</v>
      </c>
      <c r="O52" s="135" t="str">
        <f>IFERROR(INDEX('Docketed Comments'!L:L,MATCH(A52,'Docketed Comments'!H:H,0)),"")</f>
        <v>No MEP R3-47 ($86.44)</v>
      </c>
      <c r="P52" s="136">
        <f t="shared" si="0"/>
        <v>86.44</v>
      </c>
      <c r="Q52" s="140" t="s">
        <v>5809</v>
      </c>
      <c r="R52" s="144">
        <v>0</v>
      </c>
    </row>
    <row r="53" spans="1:18" ht="21.95" customHeight="1">
      <c r="A53" s="71" t="s">
        <v>1349</v>
      </c>
      <c r="B53" s="69" t="s">
        <v>111</v>
      </c>
      <c r="C53" s="70">
        <v>46060</v>
      </c>
      <c r="D53" s="69" t="s">
        <v>4888</v>
      </c>
      <c r="E53" s="69"/>
      <c r="F53" s="65"/>
      <c r="G53" s="65"/>
      <c r="H53" s="65" t="str">
        <f>IFERROR(INDEX('Docketed Comments'!C:C,MATCH(A53,'Docketed Comments'!H:H,0))&amp;", "&amp;INDEX('Docketed Comments'!B:B,MATCH(A53,'Docketed Comments'!H:H,0)),"")</f>
        <v>Sarah, Underwood</v>
      </c>
      <c r="I53" s="65" t="str">
        <f>IFERROR(INDEX('Docketed Comments'!D:D,MATCH(A53,'Docketed Comments'!H:H,0)),"")</f>
        <v>Litchfield Park</v>
      </c>
      <c r="J53" s="65" t="str">
        <f>IFERROR(INDEX('Docketed Comments'!I:I,MATCH(A53,'Docketed Comments'!H:H,0)),"")</f>
        <v>R-BASICL</v>
      </c>
      <c r="K53" s="65" t="str">
        <f t="shared" si="1"/>
        <v>❌ Not on Best Plan</v>
      </c>
      <c r="L53" s="65" t="str">
        <f>IFERROR(INDEX('Docketed Comments'!F:F,MATCH(A53,'Docketed Comments'!H:H,0)),"")</f>
        <v>Opposed</v>
      </c>
      <c r="M53" s="137" t="str">
        <f>IFERROR(HYPERLINK(INDEX('Docketed Comments'!G:G,MATCH(A53,'Docketed Comments'!H:H,0)),"📄 View Docket"),"")</f>
        <v>📄 View Docket</v>
      </c>
      <c r="N53" s="135" t="str">
        <f>IFERROR(INDEX('Docketed Comments'!N:N,MATCH(A53,'Docketed Comments'!H:H,0)),"")</f>
        <v>No</v>
      </c>
      <c r="O53" s="135" t="str">
        <f>IFERROR(INDEX('Docketed Comments'!L:L,MATCH(A53,'Docketed Comments'!H:H,0)),"")</f>
        <v>No MEP R3-47 ($159.25)</v>
      </c>
      <c r="P53" s="136">
        <f t="shared" si="0"/>
        <v>159.25</v>
      </c>
      <c r="Q53" s="140" t="s">
        <v>5809</v>
      </c>
      <c r="R53" s="144">
        <v>0</v>
      </c>
    </row>
    <row r="54" spans="1:18" ht="21.95" customHeight="1">
      <c r="A54" s="71" t="s">
        <v>1363</v>
      </c>
      <c r="B54" s="69" t="s">
        <v>111</v>
      </c>
      <c r="C54" s="70">
        <v>46046</v>
      </c>
      <c r="D54" s="69" t="s">
        <v>4888</v>
      </c>
      <c r="E54" s="69"/>
      <c r="F54" s="65"/>
      <c r="G54" s="65"/>
      <c r="H54" s="65" t="str">
        <f>IFERROR(INDEX('Docketed Comments'!C:C,MATCH(A54,'Docketed Comments'!H:H,0))&amp;", "&amp;INDEX('Docketed Comments'!B:B,MATCH(A54,'Docketed Comments'!H:H,0)),"")</f>
        <v>JoVon, Cuadras</v>
      </c>
      <c r="I54" s="65" t="str">
        <f>IFERROR(INDEX('Docketed Comments'!D:D,MATCH(A54,'Docketed Comments'!H:H,0)),"")</f>
        <v>Phoenix</v>
      </c>
      <c r="J54" s="65" t="str">
        <f>IFERROR(INDEX('Docketed Comments'!I:I,MATCH(A54,'Docketed Comments'!H:H,0)),"")</f>
        <v>RTOUE47</v>
      </c>
      <c r="K54" s="65" t="str">
        <f t="shared" si="1"/>
        <v>❌ Not on Best Plan</v>
      </c>
      <c r="L54" s="65" t="str">
        <f>IFERROR(INDEX('Docketed Comments'!F:F,MATCH(A54,'Docketed Comments'!H:H,0)),"")</f>
        <v>Form letter</v>
      </c>
      <c r="M54" s="137" t="str">
        <f>IFERROR(HYPERLINK(INDEX('Docketed Comments'!G:G,MATCH(A54,'Docketed Comments'!H:H,0)),"📄 View Docket"),"")</f>
        <v>📄 View Docket</v>
      </c>
      <c r="N54" s="135" t="str">
        <f>IFERROR(INDEX('Docketed Comments'!N:N,MATCH(A54,'Docketed Comments'!H:H,0)),"")</f>
        <v>No</v>
      </c>
      <c r="O54" s="135" t="str">
        <f>IFERROR(INDEX('Docketed Comments'!L:L,MATCH(A54,'Docketed Comments'!H:H,0)),"")</f>
        <v>No MEP R3-47 ($348.67)</v>
      </c>
      <c r="P54" s="136">
        <f t="shared" si="0"/>
        <v>348.67</v>
      </c>
      <c r="Q54" s="140" t="s">
        <v>5809</v>
      </c>
      <c r="R54" s="144">
        <v>0</v>
      </c>
    </row>
    <row r="55" spans="1:18" ht="21.95" customHeight="1">
      <c r="A55" s="71" t="s">
        <v>1368</v>
      </c>
      <c r="B55" s="69" t="s">
        <v>111</v>
      </c>
      <c r="C55" s="70">
        <v>46046</v>
      </c>
      <c r="D55" s="69" t="s">
        <v>4888</v>
      </c>
      <c r="E55" s="69"/>
      <c r="F55" s="65"/>
      <c r="G55" s="65"/>
      <c r="H55" s="65" t="str">
        <f>IFERROR(INDEX('Docketed Comments'!C:C,MATCH(A55,'Docketed Comments'!H:H,0))&amp;", "&amp;INDEX('Docketed Comments'!B:B,MATCH(A55,'Docketed Comments'!H:H,0)),"")</f>
        <v>Kathleen, Monteleone</v>
      </c>
      <c r="I55" s="65" t="str">
        <f>IFERROR(INDEX('Docketed Comments'!D:D,MATCH(A55,'Docketed Comments'!H:H,0)),"")</f>
        <v>Goodyear</v>
      </c>
      <c r="J55" s="65" t="str">
        <f>IFERROR(INDEX('Docketed Comments'!I:I,MATCH(A55,'Docketed Comments'!H:H,0)),"")</f>
        <v>RTOUE47</v>
      </c>
      <c r="K55" s="65" t="str">
        <f t="shared" si="1"/>
        <v>⚠ N MEP R3-47 ($273.17)</v>
      </c>
      <c r="L55" s="65" t="str">
        <f>IFERROR(INDEX('Docketed Comments'!F:F,MATCH(A55,'Docketed Comments'!H:H,0)),"")</f>
        <v>Opposed/will cause hardships</v>
      </c>
      <c r="M55" s="137" t="str">
        <f>IFERROR(HYPERLINK(INDEX('Docketed Comments'!G:G,MATCH(A55,'Docketed Comments'!H:H,0)),"📄 View Docket"),"")</f>
        <v>📄 View Docket</v>
      </c>
      <c r="N55" s="135" t="str">
        <f>IFERROR(INDEX('Docketed Comments'!N:N,MATCH(A55,'Docketed Comments'!H:H,0)),"")</f>
        <v>No</v>
      </c>
      <c r="O55" s="135" t="str">
        <f>IFERROR(INDEX('Docketed Comments'!L:L,MATCH(A55,'Docketed Comments'!H:H,0)),"")</f>
        <v>N MEP R3-47 ($273.17)</v>
      </c>
      <c r="P55" s="136">
        <f t="shared" si="0"/>
        <v>273.17</v>
      </c>
      <c r="Q55" s="140" t="s">
        <v>5809</v>
      </c>
      <c r="R55" s="144">
        <v>0</v>
      </c>
    </row>
    <row r="56" spans="1:18" ht="21.95" customHeight="1">
      <c r="A56" s="71" t="s">
        <v>1375</v>
      </c>
      <c r="B56" s="69" t="s">
        <v>111</v>
      </c>
      <c r="C56" s="70">
        <v>46046</v>
      </c>
      <c r="D56" s="69" t="s">
        <v>4888</v>
      </c>
      <c r="E56" s="69"/>
      <c r="F56" s="65"/>
      <c r="G56" s="65"/>
      <c r="H56" s="65" t="str">
        <f>IFERROR(INDEX('Docketed Comments'!C:C,MATCH(A56,'Docketed Comments'!H:H,0))&amp;", "&amp;INDEX('Docketed Comments'!B:B,MATCH(A56,'Docketed Comments'!H:H,0)),"")</f>
        <v>Himanshu, Pahuja</v>
      </c>
      <c r="I56" s="65" t="str">
        <f>IFERROR(INDEX('Docketed Comments'!D:D,MATCH(A56,'Docketed Comments'!H:H,0)),"")</f>
        <v>Peoria</v>
      </c>
      <c r="J56" s="65" t="str">
        <f>IFERROR(INDEX('Docketed Comments'!I:I,MATCH(A56,'Docketed Comments'!H:H,0)),"")</f>
        <v>RTOUE47</v>
      </c>
      <c r="K56" s="65" t="str">
        <f t="shared" si="1"/>
        <v>❌ Not on Best Plan</v>
      </c>
      <c r="L56" s="65" t="str">
        <f>IFERROR(INDEX('Docketed Comments'!F:F,MATCH(A56,'Docketed Comments'!H:H,0)),"")</f>
        <v>Form letter</v>
      </c>
      <c r="M56" s="137" t="str">
        <f>IFERROR(HYPERLINK(INDEX('Docketed Comments'!G:G,MATCH(A56,'Docketed Comments'!H:H,0)),"📄 View Docket"),"")</f>
        <v>📄 View Docket</v>
      </c>
      <c r="N56" s="135" t="str">
        <f>IFERROR(INDEX('Docketed Comments'!N:N,MATCH(A56,'Docketed Comments'!H:H,0)),"")</f>
        <v>No</v>
      </c>
      <c r="O56" s="135" t="str">
        <f>IFERROR(INDEX('Docketed Comments'!L:L,MATCH(A56,'Docketed Comments'!H:H,0)),"")</f>
        <v>No MEP R3-47 ($461.51)</v>
      </c>
      <c r="P56" s="136">
        <f t="shared" si="0"/>
        <v>461.51</v>
      </c>
      <c r="Q56" s="140" t="s">
        <v>5809</v>
      </c>
      <c r="R56" s="144">
        <v>0</v>
      </c>
    </row>
    <row r="57" spans="1:18" ht="21.95" customHeight="1">
      <c r="A57" s="71" t="s">
        <v>1381</v>
      </c>
      <c r="B57" s="69" t="s">
        <v>111</v>
      </c>
      <c r="C57" s="70">
        <v>46046</v>
      </c>
      <c r="D57" s="69" t="s">
        <v>4865</v>
      </c>
      <c r="E57" s="69"/>
      <c r="F57" s="65"/>
      <c r="G57" s="65"/>
      <c r="H57" s="65" t="str">
        <f>IFERROR(INDEX('Docketed Comments'!C:C,MATCH(A57,'Docketed Comments'!H:H,0))&amp;", "&amp;INDEX('Docketed Comments'!B:B,MATCH(A57,'Docketed Comments'!H:H,0)),"")</f>
        <v>Richard, Clow</v>
      </c>
      <c r="I57" s="65" t="str">
        <f>IFERROR(INDEX('Docketed Comments'!D:D,MATCH(A57,'Docketed Comments'!H:H,0)),"")</f>
        <v>Goodyear</v>
      </c>
      <c r="J57" s="65" t="str">
        <f>IFERROR(INDEX('Docketed Comments'!I:I,MATCH(A57,'Docketed Comments'!H:H,0)),"")</f>
        <v>RTOUE47</v>
      </c>
      <c r="K57" s="65" t="str">
        <f t="shared" si="1"/>
        <v>❌ Not on Best Plan</v>
      </c>
      <c r="L57" s="65" t="str">
        <f>IFERROR(INDEX('Docketed Comments'!F:F,MATCH(A57,'Docketed Comments'!H:H,0)),"")</f>
        <v>Opposed</v>
      </c>
      <c r="M57" s="137" t="str">
        <f>IFERROR(HYPERLINK(INDEX('Docketed Comments'!G:G,MATCH(A57,'Docketed Comments'!H:H,0)),"📄 View Docket"),"")</f>
        <v>📄 View Docket</v>
      </c>
      <c r="N57" s="135" t="str">
        <f>IFERROR(INDEX('Docketed Comments'!N:N,MATCH(A57,'Docketed Comments'!H:H,0)),"")</f>
        <v>No</v>
      </c>
      <c r="O57" s="135" t="str">
        <f>IFERROR(INDEX('Docketed Comments'!L:L,MATCH(A57,'Docketed Comments'!H:H,0)),"")</f>
        <v>No MEP R3-47 ($517.20)</v>
      </c>
      <c r="P57" s="136">
        <f t="shared" si="0"/>
        <v>517.20000000000005</v>
      </c>
      <c r="Q57" s="140" t="s">
        <v>5809</v>
      </c>
      <c r="R57" s="144">
        <v>0</v>
      </c>
    </row>
    <row r="58" spans="1:18" ht="21.95" customHeight="1">
      <c r="A58" s="71" t="s">
        <v>4958</v>
      </c>
      <c r="B58" s="69" t="s">
        <v>111</v>
      </c>
      <c r="C58" s="70">
        <v>46046</v>
      </c>
      <c r="D58" s="69" t="s">
        <v>4865</v>
      </c>
      <c r="E58" s="69" t="s">
        <v>4894</v>
      </c>
      <c r="F58" s="65"/>
      <c r="G58" s="65"/>
      <c r="H58" s="65" t="str">
        <f>IFERROR(INDEX('Docketed Comments'!C:C,MATCH(A58,'Docketed Comments'!H:H,0))&amp;", "&amp;INDEX('Docketed Comments'!B:B,MATCH(A58,'Docketed Comments'!H:H,0)),"")</f>
        <v>Michelle, Tremblay</v>
      </c>
      <c r="I58" s="65" t="str">
        <f>IFERROR(INDEX('Docketed Comments'!D:D,MATCH(A58,'Docketed Comments'!H:H,0)),"")</f>
        <v>Phoenix</v>
      </c>
      <c r="J58" s="65" t="str">
        <f>IFERROR(INDEX('Docketed Comments'!I:I,MATCH(A58,'Docketed Comments'!H:H,0)),"")</f>
        <v>RTOUE47</v>
      </c>
      <c r="K58" s="65" t="str">
        <f t="shared" si="1"/>
        <v>❌ Not on Best Plan</v>
      </c>
      <c r="L58" s="65" t="str">
        <f>IFERROR(INDEX('Docketed Comments'!F:F,MATCH(A58,'Docketed Comments'!H:H,0)),"")</f>
        <v>Opposed</v>
      </c>
      <c r="M58" s="137" t="str">
        <f>IFERROR(HYPERLINK(INDEX('Docketed Comments'!G:G,MATCH(A58,'Docketed Comments'!H:H,0)),"📄 View Docket"),"")</f>
        <v>📄 View Docket</v>
      </c>
      <c r="N58" s="135" t="str">
        <f>IFERROR(INDEX('Docketed Comments'!N:N,MATCH(A58,'Docketed Comments'!H:H,0)),"")</f>
        <v>No</v>
      </c>
      <c r="O58" s="135" t="str">
        <f>IFERROR(INDEX('Docketed Comments'!L:L,MATCH(A58,'Docketed Comments'!H:H,0)),"")</f>
        <v>No MEP R-XS ($209.15)</v>
      </c>
      <c r="P58" s="136">
        <f t="shared" si="0"/>
        <v>209.15</v>
      </c>
      <c r="Q58" s="140" t="s">
        <v>5809</v>
      </c>
      <c r="R58" s="144">
        <v>0</v>
      </c>
    </row>
    <row r="59" spans="1:18" ht="21.95" customHeight="1">
      <c r="A59" s="71" t="s">
        <v>4959</v>
      </c>
      <c r="B59" s="69" t="s">
        <v>111</v>
      </c>
      <c r="C59" s="70">
        <v>46046</v>
      </c>
      <c r="D59" s="69" t="s">
        <v>4865</v>
      </c>
      <c r="E59" s="69"/>
      <c r="F59" s="65" t="s">
        <v>5700</v>
      </c>
      <c r="G59" s="65"/>
      <c r="H59" s="65" t="str">
        <f>IFERROR(INDEX('Docketed Comments'!C:C,MATCH(A59,'Docketed Comments'!H:H,0))&amp;", "&amp;INDEX('Docketed Comments'!B:B,MATCH(A59,'Docketed Comments'!H:H,0)),"")</f>
        <v>Allen, Marshall</v>
      </c>
      <c r="I59" s="65" t="str">
        <f>IFERROR(INDEX('Docketed Comments'!D:D,MATCH(A59,'Docketed Comments'!H:H,0)),"")</f>
        <v>Goodyear</v>
      </c>
      <c r="J59" s="65" t="str">
        <f>IFERROR(INDEX('Docketed Comments'!I:I,MATCH(A59,'Docketed Comments'!H:H,0)),"")</f>
        <v>R-BASICL</v>
      </c>
      <c r="K59" s="65" t="str">
        <f t="shared" si="1"/>
        <v>❌ Not on Best Plan</v>
      </c>
      <c r="L59" s="65" t="str">
        <f>IFERROR(INDEX('Docketed Comments'!F:F,MATCH(A59,'Docketed Comments'!H:H,0)),"")</f>
        <v>Opposed</v>
      </c>
      <c r="M59" s="137" t="str">
        <f>IFERROR(HYPERLINK(INDEX('Docketed Comments'!G:G,MATCH(A59,'Docketed Comments'!H:H,0)),"📄 View Docket"),"")</f>
        <v>📄 View Docket</v>
      </c>
      <c r="N59" s="135" t="str">
        <f>IFERROR(INDEX('Docketed Comments'!N:N,MATCH(A59,'Docketed Comments'!H:H,0)),"")</f>
        <v>No</v>
      </c>
      <c r="O59" s="135" t="str">
        <f>IFERROR(INDEX('Docketed Comments'!L:L,MATCH(A59,'Docketed Comments'!H:H,0)),"")</f>
        <v>No MEP R3-47($36.70)</v>
      </c>
      <c r="P59" s="136">
        <f t="shared" si="0"/>
        <v>36.700000000000003</v>
      </c>
      <c r="Q59" s="140" t="s">
        <v>5809</v>
      </c>
      <c r="R59" s="144">
        <v>0</v>
      </c>
    </row>
    <row r="60" spans="1:18" ht="21.95" customHeight="1">
      <c r="A60" s="71" t="s">
        <v>4960</v>
      </c>
      <c r="B60" s="69" t="s">
        <v>111</v>
      </c>
      <c r="C60" s="70">
        <v>46046</v>
      </c>
      <c r="D60" s="69" t="s">
        <v>4888</v>
      </c>
      <c r="E60" s="69"/>
      <c r="F60" s="65"/>
      <c r="G60" s="65"/>
      <c r="H60" s="65" t="str">
        <f>IFERROR(INDEX('Docketed Comments'!C:C,MATCH(A60,'Docketed Comments'!H:H,0))&amp;", "&amp;INDEX('Docketed Comments'!B:B,MATCH(A60,'Docketed Comments'!H:H,0)),"")</f>
        <v>Carter, Robinson</v>
      </c>
      <c r="I60" s="65" t="str">
        <f>IFERROR(INDEX('Docketed Comments'!D:D,MATCH(A60,'Docketed Comments'!H:H,0)),"")</f>
        <v>Glendale</v>
      </c>
      <c r="J60" s="65" t="str">
        <f>IFERROR(INDEX('Docketed Comments'!I:I,MATCH(A60,'Docketed Comments'!H:H,0)),"")</f>
        <v>R-BASICL</v>
      </c>
      <c r="K60" s="65" t="str">
        <f t="shared" si="1"/>
        <v>❌ Not on Best Plan</v>
      </c>
      <c r="L60" s="65" t="str">
        <f>IFERROR(INDEX('Docketed Comments'!F:F,MATCH(A60,'Docketed Comments'!H:H,0)),"")</f>
        <v>Opposed, usage is not high, it is normal in AZ extreme climate</v>
      </c>
      <c r="M60" s="137" t="str">
        <f>IFERROR(HYPERLINK(INDEX('Docketed Comments'!G:G,MATCH(A60,'Docketed Comments'!H:H,0)),"📄 View Docket"),"")</f>
        <v>📄 View Docket</v>
      </c>
      <c r="N60" s="135" t="str">
        <f>IFERROR(INDEX('Docketed Comments'!N:N,MATCH(A60,'Docketed Comments'!H:H,0)),"")</f>
        <v>No</v>
      </c>
      <c r="O60" s="135" t="str">
        <f>IFERROR(INDEX('Docketed Comments'!L:L,MATCH(A60,'Docketed Comments'!H:H,0)),"")</f>
        <v>No MEP R3-47 ($888.73)</v>
      </c>
      <c r="P60" s="136">
        <f t="shared" si="0"/>
        <v>888.73</v>
      </c>
      <c r="Q60" s="140" t="s">
        <v>5809</v>
      </c>
      <c r="R60" s="144">
        <v>0</v>
      </c>
    </row>
    <row r="61" spans="1:18" ht="21.95" customHeight="1">
      <c r="A61" s="71" t="s">
        <v>4961</v>
      </c>
      <c r="B61" s="69" t="s">
        <v>4887</v>
      </c>
      <c r="C61" s="70">
        <v>46060</v>
      </c>
      <c r="D61" s="69" t="s">
        <v>4888</v>
      </c>
      <c r="E61" s="69"/>
      <c r="F61" s="65" t="s">
        <v>5701</v>
      </c>
      <c r="G61" s="65"/>
      <c r="H61" s="65" t="str">
        <f>IFERROR(INDEX('Docketed Comments'!C:C,MATCH(A61,'Docketed Comments'!H:H,0))&amp;", "&amp;INDEX('Docketed Comments'!B:B,MATCH(A61,'Docketed Comments'!H:H,0)),"")</f>
        <v>Timothy, Woehl</v>
      </c>
      <c r="I61" s="65" t="str">
        <f>IFERROR(INDEX('Docketed Comments'!D:D,MATCH(A61,'Docketed Comments'!H:H,0)),"")</f>
        <v>Scottsdale</v>
      </c>
      <c r="J61" s="65" t="str">
        <f>IFERROR(INDEX('Docketed Comments'!I:I,MATCH(A61,'Docketed Comments'!H:H,0)),"")</f>
        <v>RTOUE47</v>
      </c>
      <c r="K61" s="65" t="str">
        <f t="shared" si="1"/>
        <v>❌ Not on Best Plan</v>
      </c>
      <c r="L61" s="65" t="str">
        <f>IFERROR(INDEX('Docketed Comments'!F:F,MATCH(A61,'Docketed Comments'!H:H,0)),"")</f>
        <v>Opposed</v>
      </c>
      <c r="M61" s="137" t="str">
        <f>IFERROR(HYPERLINK(INDEX('Docketed Comments'!G:G,MATCH(A61,'Docketed Comments'!H:H,0)),"📄 View Docket"),"")</f>
        <v>📄 View Docket</v>
      </c>
      <c r="N61" s="135" t="str">
        <f>IFERROR(INDEX('Docketed Comments'!N:N,MATCH(A61,'Docketed Comments'!H:H,0)),"")</f>
        <v>No</v>
      </c>
      <c r="O61" s="135" t="str">
        <f>IFERROR(INDEX('Docketed Comments'!L:L,MATCH(A61,'Docketed Comments'!H:H,0)),"")</f>
        <v>No MEP R3-47(630.50)</v>
      </c>
      <c r="P61" s="136">
        <f t="shared" si="0"/>
        <v>630.5</v>
      </c>
      <c r="Q61" s="140" t="s">
        <v>5809</v>
      </c>
      <c r="R61" s="144">
        <v>0</v>
      </c>
    </row>
    <row r="62" spans="1:18" ht="21.95" customHeight="1">
      <c r="A62" s="71" t="s">
        <v>4962</v>
      </c>
      <c r="B62" s="69" t="s">
        <v>111</v>
      </c>
      <c r="C62" s="70">
        <v>46060</v>
      </c>
      <c r="D62" s="69" t="s">
        <v>4888</v>
      </c>
      <c r="E62" s="69"/>
      <c r="F62" s="65"/>
      <c r="G62" s="65"/>
      <c r="H62" s="65" t="str">
        <f>IFERROR(INDEX('Docketed Comments'!C:C,MATCH(A62,'Docketed Comments'!H:H,0))&amp;", "&amp;INDEX('Docketed Comments'!B:B,MATCH(A62,'Docketed Comments'!H:H,0)),"")</f>
        <v>Amy, Delaney</v>
      </c>
      <c r="I62" s="65" t="str">
        <f>IFERROR(INDEX('Docketed Comments'!D:D,MATCH(A62,'Docketed Comments'!H:H,0)),"")</f>
        <v>Phoenix</v>
      </c>
      <c r="J62" s="65" t="str">
        <f>IFERROR(INDEX('Docketed Comments'!I:I,MATCH(A62,'Docketed Comments'!H:H,0)),"")</f>
        <v>RTOUE47</v>
      </c>
      <c r="K62" s="65" t="str">
        <f t="shared" si="1"/>
        <v>❌ Not on Best Plan</v>
      </c>
      <c r="L62" s="65" t="str">
        <f>IFERROR(INDEX('Docketed Comments'!F:F,MATCH(A62,'Docketed Comments'!H:H,0)),"")</f>
        <v>Form letter</v>
      </c>
      <c r="M62" s="137" t="str">
        <f>IFERROR(HYPERLINK(INDEX('Docketed Comments'!G:G,MATCH(A62,'Docketed Comments'!H:H,0)),"📄 View Docket"),"")</f>
        <v>📄 View Docket</v>
      </c>
      <c r="N62" s="135" t="str">
        <f>IFERROR(INDEX('Docketed Comments'!N:N,MATCH(A62,'Docketed Comments'!H:H,0)),"")</f>
        <v>No</v>
      </c>
      <c r="O62" s="135" t="str">
        <f>IFERROR(INDEX('Docketed Comments'!L:L,MATCH(A62,'Docketed Comments'!H:H,0)),"")</f>
        <v>No MEP R-BASIC(110.71)</v>
      </c>
      <c r="P62" s="136">
        <f t="shared" si="0"/>
        <v>110.71</v>
      </c>
      <c r="Q62" s="140" t="s">
        <v>5809</v>
      </c>
      <c r="R62" s="144">
        <v>0</v>
      </c>
    </row>
    <row r="63" spans="1:18" ht="21.95" customHeight="1">
      <c r="A63" s="71" t="s">
        <v>4963</v>
      </c>
      <c r="B63" s="69" t="s">
        <v>111</v>
      </c>
      <c r="C63" s="70">
        <v>46046</v>
      </c>
      <c r="D63" s="69" t="s">
        <v>4865</v>
      </c>
      <c r="E63" s="69"/>
      <c r="F63" s="65" t="s">
        <v>5709</v>
      </c>
      <c r="G63" s="65"/>
      <c r="H63" s="65" t="str">
        <f>IFERROR(INDEX('Docketed Comments'!C:C,MATCH(A63,'Docketed Comments'!H:H,0))&amp;", "&amp;INDEX('Docketed Comments'!B:B,MATCH(A63,'Docketed Comments'!H:H,0)),"")</f>
        <v>Lindsay, Votypka</v>
      </c>
      <c r="I63" s="65" t="str">
        <f>IFERROR(INDEX('Docketed Comments'!D:D,MATCH(A63,'Docketed Comments'!H:H,0)),"")</f>
        <v>Scottsdale</v>
      </c>
      <c r="J63" s="65" t="str">
        <f>IFERROR(INDEX('Docketed Comments'!I:I,MATCH(A63,'Docketed Comments'!H:H,0)),"")</f>
        <v>RTOUE47</v>
      </c>
      <c r="K63" s="65" t="str">
        <f t="shared" si="1"/>
        <v>❌ Not on Best Plan</v>
      </c>
      <c r="L63" s="65" t="str">
        <f>IFERROR(INDEX('Docketed Comments'!F:F,MATCH(A63,'Docketed Comments'!H:H,0)),"")</f>
        <v>Form letter</v>
      </c>
      <c r="M63" s="137" t="str">
        <f>IFERROR(HYPERLINK(INDEX('Docketed Comments'!G:G,MATCH(A63,'Docketed Comments'!H:H,0)),"📄 View Docket"),"")</f>
        <v>📄 View Docket</v>
      </c>
      <c r="N63" s="135" t="str">
        <f>IFERROR(INDEX('Docketed Comments'!N:N,MATCH(A63,'Docketed Comments'!H:H,0)),"")</f>
        <v>No</v>
      </c>
      <c r="O63" s="135" t="str">
        <f>IFERROR(INDEX('Docketed Comments'!L:L,MATCH(A63,'Docketed Comments'!H:H,0)),"")</f>
        <v>No MEP R-BASIC($19.26)</v>
      </c>
      <c r="P63" s="136">
        <f t="shared" si="0"/>
        <v>19.260000000000002</v>
      </c>
      <c r="Q63" s="140" t="s">
        <v>5809</v>
      </c>
      <c r="R63" s="144">
        <v>0</v>
      </c>
    </row>
    <row r="64" spans="1:18" ht="21.95" customHeight="1">
      <c r="A64" s="71" t="s">
        <v>1553</v>
      </c>
      <c r="B64" s="69" t="s">
        <v>111</v>
      </c>
      <c r="C64" s="70">
        <v>46060</v>
      </c>
      <c r="D64" s="69" t="s">
        <v>4865</v>
      </c>
      <c r="E64" s="69"/>
      <c r="F64" s="65" t="s">
        <v>5702</v>
      </c>
      <c r="G64" s="65"/>
      <c r="H64" s="65" t="str">
        <f>IFERROR(INDEX('Docketed Comments'!C:C,MATCH(A64,'Docketed Comments'!H:H,0))&amp;", "&amp;INDEX('Docketed Comments'!B:B,MATCH(A64,'Docketed Comments'!H:H,0)),"")</f>
        <v>Hema, Sundarachar</v>
      </c>
      <c r="I64" s="65" t="str">
        <f>IFERROR(INDEX('Docketed Comments'!D:D,MATCH(A64,'Docketed Comments'!H:H,0)),"")</f>
        <v>Tempe</v>
      </c>
      <c r="J64" s="65" t="str">
        <f>IFERROR(INDEX('Docketed Comments'!I:I,MATCH(A64,'Docketed Comments'!H:H,0)),"")</f>
        <v>RTOUE47</v>
      </c>
      <c r="K64" s="65" t="str">
        <f t="shared" si="1"/>
        <v>❌ Not on Best Plan</v>
      </c>
      <c r="L64" s="65" t="str">
        <f>IFERROR(INDEX('Docketed Comments'!F:F,MATCH(A64,'Docketed Comments'!H:H,0)),"")</f>
        <v>Form letter</v>
      </c>
      <c r="M64" s="137" t="str">
        <f>IFERROR(HYPERLINK(INDEX('Docketed Comments'!G:G,MATCH(A64,'Docketed Comments'!H:H,0)),"📄 View Docket"),"")</f>
        <v>📄 View Docket</v>
      </c>
      <c r="N64" s="135" t="str">
        <f>IFERROR(INDEX('Docketed Comments'!N:N,MATCH(A64,'Docketed Comments'!H:H,0)),"")</f>
        <v>No</v>
      </c>
      <c r="O64" s="135" t="str">
        <f>IFERROR(INDEX('Docketed Comments'!L:L,MATCH(A64,'Docketed Comments'!H:H,0)),"")</f>
        <v>No MEP R3-47(3.29)</v>
      </c>
      <c r="P64" s="136">
        <f t="shared" si="0"/>
        <v>3.29</v>
      </c>
      <c r="Q64" s="140" t="s">
        <v>5809</v>
      </c>
      <c r="R64" s="144">
        <v>0</v>
      </c>
    </row>
    <row r="65" spans="1:18" ht="21.95" customHeight="1">
      <c r="A65" s="71" t="s">
        <v>4964</v>
      </c>
      <c r="B65" s="69" t="s">
        <v>111</v>
      </c>
      <c r="C65" s="70">
        <v>46046</v>
      </c>
      <c r="D65" s="69" t="s">
        <v>4888</v>
      </c>
      <c r="E65" s="69"/>
      <c r="F65" s="65"/>
      <c r="G65" s="65"/>
      <c r="H65" s="65" t="str">
        <f>IFERROR(INDEX('Docketed Comments'!C:C,MATCH(A65,'Docketed Comments'!H:H,0))&amp;", "&amp;INDEX('Docketed Comments'!B:B,MATCH(A65,'Docketed Comments'!H:H,0)),"")</f>
        <v>Lauren, Laszczak</v>
      </c>
      <c r="I65" s="65" t="str">
        <f>IFERROR(INDEX('Docketed Comments'!D:D,MATCH(A65,'Docketed Comments'!H:H,0)),"")</f>
        <v>Phoenix</v>
      </c>
      <c r="J65" s="65" t="str">
        <f>IFERROR(INDEX('Docketed Comments'!I:I,MATCH(A65,'Docketed Comments'!H:H,0)),"")</f>
        <v>RTOUE47</v>
      </c>
      <c r="K65" s="65" t="str">
        <f t="shared" si="1"/>
        <v>❌ Not on Best Plan</v>
      </c>
      <c r="L65" s="65" t="str">
        <f>IFERROR(INDEX('Docketed Comments'!F:F,MATCH(A65,'Docketed Comments'!H:H,0)),"")</f>
        <v>Form letter</v>
      </c>
      <c r="M65" s="137" t="str">
        <f>IFERROR(HYPERLINK(INDEX('Docketed Comments'!G:G,MATCH(A65,'Docketed Comments'!H:H,0)),"📄 View Docket"),"")</f>
        <v>📄 View Docket</v>
      </c>
      <c r="N65" s="135" t="str">
        <f>IFERROR(INDEX('Docketed Comments'!N:N,MATCH(A65,'Docketed Comments'!H:H,0)),"")</f>
        <v>No</v>
      </c>
      <c r="O65" s="135" t="str">
        <f>IFERROR(INDEX('Docketed Comments'!L:L,MATCH(A65,'Docketed Comments'!H:H,0)),"")</f>
        <v>No R-XS($56.43)</v>
      </c>
      <c r="P65" s="136">
        <f t="shared" si="0"/>
        <v>56.43</v>
      </c>
      <c r="Q65" s="140" t="s">
        <v>5809</v>
      </c>
      <c r="R65" s="144">
        <v>0</v>
      </c>
    </row>
    <row r="66" spans="1:18" ht="21.95" customHeight="1">
      <c r="A66" s="71" t="s">
        <v>4965</v>
      </c>
      <c r="B66" s="69" t="s">
        <v>111</v>
      </c>
      <c r="C66" s="70">
        <v>46060</v>
      </c>
      <c r="D66" s="69" t="s">
        <v>4888</v>
      </c>
      <c r="E66" s="69"/>
      <c r="F66" s="65"/>
      <c r="G66" s="65"/>
      <c r="H66" s="65" t="str">
        <f>IFERROR(INDEX('Docketed Comments'!C:C,MATCH(A66,'Docketed Comments'!H:H,0))&amp;", "&amp;INDEX('Docketed Comments'!B:B,MATCH(A66,'Docketed Comments'!H:H,0)),"")</f>
        <v>Nicholas, Blocker</v>
      </c>
      <c r="I66" s="65" t="str">
        <f>IFERROR(INDEX('Docketed Comments'!D:D,MATCH(A66,'Docketed Comments'!H:H,0)),"")</f>
        <v>Surprise</v>
      </c>
      <c r="J66" s="65" t="str">
        <f>IFERROR(INDEX('Docketed Comments'!I:I,MATCH(A66,'Docketed Comments'!H:H,0)),"")</f>
        <v>RTOUE47</v>
      </c>
      <c r="K66" s="65" t="str">
        <f t="shared" si="1"/>
        <v>❌ Not on Best Plan</v>
      </c>
      <c r="L66" s="65" t="str">
        <f>IFERROR(INDEX('Docketed Comments'!F:F,MATCH(A66,'Docketed Comments'!H:H,0)),"")</f>
        <v>Form letter</v>
      </c>
      <c r="M66" s="137" t="str">
        <f>IFERROR(HYPERLINK(INDEX('Docketed Comments'!G:G,MATCH(A66,'Docketed Comments'!H:H,0)),"📄 View Docket"),"")</f>
        <v>📄 View Docket</v>
      </c>
      <c r="N66" s="135" t="str">
        <f>IFERROR(INDEX('Docketed Comments'!N:N,MATCH(A66,'Docketed Comments'!H:H,0)),"")</f>
        <v>No</v>
      </c>
      <c r="O66" s="135" t="str">
        <f>IFERROR(INDEX('Docketed Comments'!L:L,MATCH(A66,'Docketed Comments'!H:H,0)),"")</f>
        <v>No MEP R3-47(439.76)</v>
      </c>
      <c r="P66" s="136">
        <f t="shared" ref="P66:P129" si="2">IFERROR(IF(ISNUMBER(SEARCH("$",O66)),VALUE(SUBSTITUTE(SUBSTITUTE(MID(O66,FIND("$",O66)+1,FIND(")",O66)-FIND("$",O66)-1),",","")," ","")),VALUE(SUBSTITUTE(SUBSTITUTE(MID(O66,FIND("(",O66)+1,FIND(")",O66)-FIND("(",O66)-1),",","")," ",""))),0)</f>
        <v>439.76</v>
      </c>
      <c r="Q66" s="140" t="s">
        <v>5809</v>
      </c>
      <c r="R66" s="144">
        <v>0</v>
      </c>
    </row>
    <row r="67" spans="1:18" ht="21.95" customHeight="1">
      <c r="A67" s="71" t="s">
        <v>1580</v>
      </c>
      <c r="B67" s="69" t="s">
        <v>111</v>
      </c>
      <c r="C67" s="70">
        <v>46053</v>
      </c>
      <c r="D67" s="69" t="s">
        <v>4888</v>
      </c>
      <c r="E67" s="69"/>
      <c r="F67" s="65"/>
      <c r="G67" s="65"/>
      <c r="H67" s="65" t="str">
        <f>IFERROR(INDEX('Docketed Comments'!C:C,MATCH(A67,'Docketed Comments'!H:H,0))&amp;", "&amp;INDEX('Docketed Comments'!B:B,MATCH(A67,'Docketed Comments'!H:H,0)),"")</f>
        <v>Sidney, Sedillo</v>
      </c>
      <c r="I67" s="65" t="str">
        <f>IFERROR(INDEX('Docketed Comments'!D:D,MATCH(A67,'Docketed Comments'!H:H,0)),"")</f>
        <v>Chandler</v>
      </c>
      <c r="J67" s="65" t="str">
        <f>IFERROR(INDEX('Docketed Comments'!I:I,MATCH(A67,'Docketed Comments'!H:H,0)),"")</f>
        <v>R3-47</v>
      </c>
      <c r="K67" s="65" t="str">
        <f t="shared" ref="K67:K130" si="3">IFERROR(IF(OR(LEFT(O67,2)="No",LEFT(O67,3)="Not"),"❌ Not on Best Plan",IF(OR(O67="Yes",O67="Y",O67="Yes "),"✅ On Best Plan","⚠ "&amp;O67)),"")</f>
        <v>❌ Not on Best Plan</v>
      </c>
      <c r="L67" s="65" t="str">
        <f>IFERROR(INDEX('Docketed Comments'!F:F,MATCH(A67,'Docketed Comments'!H:H,0)),"")</f>
        <v>Form letter</v>
      </c>
      <c r="M67" s="137" t="str">
        <f>IFERROR(HYPERLINK(INDEX('Docketed Comments'!G:G,MATCH(A67,'Docketed Comments'!H:H,0)),"📄 View Docket"),"")</f>
        <v>📄 View Docket</v>
      </c>
      <c r="N67" s="135" t="str">
        <f>IFERROR(INDEX('Docketed Comments'!N:N,MATCH(A67,'Docketed Comments'!H:H,0)),"")</f>
        <v>No</v>
      </c>
      <c r="O67" s="135" t="str">
        <f>IFERROR(INDEX('Docketed Comments'!L:L,MATCH(A67,'Docketed Comments'!H:H,0)),"")</f>
        <v>NO MEP R-BASICL ($75.86)</v>
      </c>
      <c r="P67" s="136">
        <f t="shared" si="2"/>
        <v>75.86</v>
      </c>
      <c r="Q67" s="140" t="s">
        <v>5809</v>
      </c>
      <c r="R67" s="144">
        <v>0</v>
      </c>
    </row>
    <row r="68" spans="1:18" ht="21.95" customHeight="1">
      <c r="A68" s="71" t="s">
        <v>4966</v>
      </c>
      <c r="B68" s="69" t="s">
        <v>111</v>
      </c>
      <c r="C68" s="70">
        <v>46053</v>
      </c>
      <c r="D68" s="69" t="s">
        <v>4888</v>
      </c>
      <c r="E68" s="69"/>
      <c r="F68" s="65"/>
      <c r="G68" s="65"/>
      <c r="H68" s="65" t="str">
        <f>IFERROR(INDEX('Docketed Comments'!C:C,MATCH(A68,'Docketed Comments'!H:H,0))&amp;", "&amp;INDEX('Docketed Comments'!B:B,MATCH(A68,'Docketed Comments'!H:H,0)),"")</f>
        <v>Daniel, Torres</v>
      </c>
      <c r="I68" s="65" t="str">
        <f>IFERROR(INDEX('Docketed Comments'!D:D,MATCH(A68,'Docketed Comments'!H:H,0)),"")</f>
        <v>Phoenix</v>
      </c>
      <c r="J68" s="65" t="str">
        <f>IFERROR(INDEX('Docketed Comments'!I:I,MATCH(A68,'Docketed Comments'!H:H,0)),"")</f>
        <v>RTOUE47</v>
      </c>
      <c r="K68" s="65" t="str">
        <f t="shared" si="3"/>
        <v>❌ Not on Best Plan</v>
      </c>
      <c r="L68" s="65" t="str">
        <f>IFERROR(INDEX('Docketed Comments'!F:F,MATCH(A68,'Docketed Comments'!H:H,0)),"")</f>
        <v>Form letter</v>
      </c>
      <c r="M68" s="137" t="str">
        <f>IFERROR(HYPERLINK(INDEX('Docketed Comments'!G:G,MATCH(A68,'Docketed Comments'!H:H,0)),"📄 View Docket"),"")</f>
        <v>📄 View Docket</v>
      </c>
      <c r="N68" s="135" t="str">
        <f>IFERROR(INDEX('Docketed Comments'!N:N,MATCH(A68,'Docketed Comments'!H:H,0)),"")</f>
        <v>No</v>
      </c>
      <c r="O68" s="135" t="str">
        <f>IFERROR(INDEX('Docketed Comments'!L:L,MATCH(A68,'Docketed Comments'!H:H,0)),"")</f>
        <v>No MEP R3-47($82.55)</v>
      </c>
      <c r="P68" s="136">
        <f t="shared" si="2"/>
        <v>82.55</v>
      </c>
      <c r="Q68" s="140" t="s">
        <v>5809</v>
      </c>
      <c r="R68" s="144">
        <v>0</v>
      </c>
    </row>
    <row r="69" spans="1:18" ht="21.95" customHeight="1">
      <c r="A69" s="71" t="s">
        <v>4967</v>
      </c>
      <c r="B69" s="69" t="s">
        <v>111</v>
      </c>
      <c r="C69" s="70">
        <v>46053</v>
      </c>
      <c r="D69" s="69" t="s">
        <v>4888</v>
      </c>
      <c r="E69" s="69"/>
      <c r="F69" s="65"/>
      <c r="G69" s="65"/>
      <c r="H69" s="65" t="str">
        <f>IFERROR(INDEX('Docketed Comments'!C:C,MATCH(A69,'Docketed Comments'!H:H,0))&amp;", "&amp;INDEX('Docketed Comments'!B:B,MATCH(A69,'Docketed Comments'!H:H,0)),"")</f>
        <v>Shaun, Thomas</v>
      </c>
      <c r="I69" s="65" t="str">
        <f>IFERROR(INDEX('Docketed Comments'!D:D,MATCH(A69,'Docketed Comments'!H:H,0)),"")</f>
        <v>Payson</v>
      </c>
      <c r="J69" s="65" t="str">
        <f>IFERROR(INDEX('Docketed Comments'!I:I,MATCH(A69,'Docketed Comments'!H:H,0)),"")</f>
        <v>RTOUE47</v>
      </c>
      <c r="K69" s="65" t="str">
        <f t="shared" si="3"/>
        <v>❌ Not on Best Plan</v>
      </c>
      <c r="L69" s="65" t="str">
        <f>IFERROR(INDEX('Docketed Comments'!F:F,MATCH(A69,'Docketed Comments'!H:H,0)),"")</f>
        <v>Opposed</v>
      </c>
      <c r="M69" s="137" t="str">
        <f>IFERROR(HYPERLINK(INDEX('Docketed Comments'!G:G,MATCH(A69,'Docketed Comments'!H:H,0)),"📄 View Docket"),"")</f>
        <v>📄 View Docket</v>
      </c>
      <c r="N69" s="135" t="str">
        <f>IFERROR(INDEX('Docketed Comments'!N:N,MATCH(A69,'Docketed Comments'!H:H,0)),"")</f>
        <v>No</v>
      </c>
      <c r="O69" s="135" t="str">
        <f>IFERROR(INDEX('Docketed Comments'!L:L,MATCH(A69,'Docketed Comments'!H:H,0)),"")</f>
        <v>No MEP R-XS ($43.07)</v>
      </c>
      <c r="P69" s="136">
        <f t="shared" si="2"/>
        <v>43.07</v>
      </c>
      <c r="Q69" s="140" t="s">
        <v>5809</v>
      </c>
      <c r="R69" s="144">
        <v>0</v>
      </c>
    </row>
    <row r="70" spans="1:18" ht="21.95" customHeight="1">
      <c r="A70" s="71" t="s">
        <v>4968</v>
      </c>
      <c r="B70" s="69" t="s">
        <v>111</v>
      </c>
      <c r="C70" s="70">
        <v>46053</v>
      </c>
      <c r="D70" s="69" t="s">
        <v>4888</v>
      </c>
      <c r="E70" s="69"/>
      <c r="F70" s="65"/>
      <c r="G70" s="65"/>
      <c r="H70" s="65" t="str">
        <f>IFERROR(INDEX('Docketed Comments'!C:C,MATCH(A70,'Docketed Comments'!H:H,0))&amp;", "&amp;INDEX('Docketed Comments'!B:B,MATCH(A70,'Docketed Comments'!H:H,0)),"")</f>
        <v>Mason, Berry</v>
      </c>
      <c r="I70" s="65" t="str">
        <f>IFERROR(INDEX('Docketed Comments'!D:D,MATCH(A70,'Docketed Comments'!H:H,0)),"")</f>
        <v>Phoenix</v>
      </c>
      <c r="J70" s="65" t="str">
        <f>IFERROR(INDEX('Docketed Comments'!I:I,MATCH(A70,'Docketed Comments'!H:H,0)),"")</f>
        <v>RTOUE47</v>
      </c>
      <c r="K70" s="65" t="str">
        <f t="shared" si="3"/>
        <v>❌ Not on Best Plan</v>
      </c>
      <c r="L70" s="65" t="str">
        <f>IFERROR(INDEX('Docketed Comments'!F:F,MATCH(A70,'Docketed Comments'!H:H,0)),"")</f>
        <v>Form letter</v>
      </c>
      <c r="M70" s="137" t="str">
        <f>IFERROR(HYPERLINK(INDEX('Docketed Comments'!G:G,MATCH(A70,'Docketed Comments'!H:H,0)),"📄 View Docket"),"")</f>
        <v>📄 View Docket</v>
      </c>
      <c r="N70" s="135" t="str">
        <f>IFERROR(INDEX('Docketed Comments'!N:N,MATCH(A70,'Docketed Comments'!H:H,0)),"")</f>
        <v>No</v>
      </c>
      <c r="O70" s="135" t="str">
        <f>IFERROR(INDEX('Docketed Comments'!L:L,MATCH(A70,'Docketed Comments'!H:H,0)),"")</f>
        <v>No MEP R3-47 ($90.56)</v>
      </c>
      <c r="P70" s="136">
        <f t="shared" si="2"/>
        <v>90.56</v>
      </c>
      <c r="Q70" s="140" t="s">
        <v>5809</v>
      </c>
      <c r="R70" s="144">
        <v>0</v>
      </c>
    </row>
    <row r="71" spans="1:18" ht="21.95" customHeight="1">
      <c r="A71" s="71" t="s">
        <v>4969</v>
      </c>
      <c r="B71" s="69" t="s">
        <v>111</v>
      </c>
      <c r="C71" s="70">
        <v>46053</v>
      </c>
      <c r="D71" s="69" t="s">
        <v>4888</v>
      </c>
      <c r="E71" s="69"/>
      <c r="F71" s="65"/>
      <c r="G71" s="65"/>
      <c r="H71" s="65" t="str">
        <f>IFERROR(INDEX('Docketed Comments'!C:C,MATCH(A71,'Docketed Comments'!H:H,0))&amp;", "&amp;INDEX('Docketed Comments'!B:B,MATCH(A71,'Docketed Comments'!H:H,0)),"")</f>
        <v>Gregory, Ficarra</v>
      </c>
      <c r="I71" s="65" t="str">
        <f>IFERROR(INDEX('Docketed Comments'!D:D,MATCH(A71,'Docketed Comments'!H:H,0)),"")</f>
        <v>Glendale</v>
      </c>
      <c r="J71" s="65" t="str">
        <f>IFERROR(INDEX('Docketed Comments'!I:I,MATCH(A71,'Docketed Comments'!H:H,0)),"")</f>
        <v>RTOUE47</v>
      </c>
      <c r="K71" s="65" t="str">
        <f t="shared" si="3"/>
        <v>❌ Not on Best Plan</v>
      </c>
      <c r="L71" s="65" t="str">
        <f>IFERROR(INDEX('Docketed Comments'!F:F,MATCH(A71,'Docketed Comments'!H:H,0)),"")</f>
        <v>Form letter</v>
      </c>
      <c r="M71" s="137" t="str">
        <f>IFERROR(HYPERLINK(INDEX('Docketed Comments'!G:G,MATCH(A71,'Docketed Comments'!H:H,0)),"📄 View Docket"),"")</f>
        <v>📄 View Docket</v>
      </c>
      <c r="N71" s="135" t="str">
        <f>IFERROR(INDEX('Docketed Comments'!N:N,MATCH(A71,'Docketed Comments'!H:H,0)),"")</f>
        <v>No</v>
      </c>
      <c r="O71" s="135" t="str">
        <f>IFERROR(INDEX('Docketed Comments'!L:L,MATCH(A71,'Docketed Comments'!H:H,0)),"")</f>
        <v>No MEP R-XS ($58.00)</v>
      </c>
      <c r="P71" s="136">
        <f t="shared" si="2"/>
        <v>58</v>
      </c>
      <c r="Q71" s="140" t="s">
        <v>5809</v>
      </c>
      <c r="R71" s="144">
        <v>0</v>
      </c>
    </row>
    <row r="72" spans="1:18" ht="21.95" customHeight="1">
      <c r="A72" s="71" t="s">
        <v>4970</v>
      </c>
      <c r="B72" s="69" t="s">
        <v>4887</v>
      </c>
      <c r="C72" s="70">
        <v>46053</v>
      </c>
      <c r="D72" s="69" t="s">
        <v>4865</v>
      </c>
      <c r="E72" s="69"/>
      <c r="F72" s="65" t="s">
        <v>5711</v>
      </c>
      <c r="G72" s="65"/>
      <c r="H72" s="65" t="str">
        <f>IFERROR(INDEX('Docketed Comments'!C:C,MATCH(A72,'Docketed Comments'!H:H,0))&amp;", "&amp;INDEX('Docketed Comments'!B:B,MATCH(A72,'Docketed Comments'!H:H,0)),"")</f>
        <v>Pedro, Ramos</v>
      </c>
      <c r="I72" s="65" t="str">
        <f>IFERROR(INDEX('Docketed Comments'!D:D,MATCH(A72,'Docketed Comments'!H:H,0)),"")</f>
        <v>Yuma</v>
      </c>
      <c r="J72" s="65" t="str">
        <f>IFERROR(INDEX('Docketed Comments'!I:I,MATCH(A72,'Docketed Comments'!H:H,0)),"")</f>
        <v>R-BASICL</v>
      </c>
      <c r="K72" s="65" t="str">
        <f t="shared" si="3"/>
        <v>❌ Not on Best Plan</v>
      </c>
      <c r="L72" s="65" t="str">
        <f>IFERROR(INDEX('Docketed Comments'!F:F,MATCH(A72,'Docketed Comments'!H:H,0)),"")</f>
        <v xml:space="preserve">Senior/Fixed Income </v>
      </c>
      <c r="M72" s="137" t="str">
        <f>IFERROR(HYPERLINK(INDEX('Docketed Comments'!G:G,MATCH(A72,'Docketed Comments'!H:H,0)),"📄 View Docket"),"")</f>
        <v>📄 View Docket</v>
      </c>
      <c r="N72" s="135" t="str">
        <f>IFERROR(INDEX('Docketed Comments'!N:N,MATCH(A72,'Docketed Comments'!H:H,0)),"")</f>
        <v>No</v>
      </c>
      <c r="O72" s="135" t="str">
        <f>IFERROR(INDEX('Docketed Comments'!L:L,MATCH(A72,'Docketed Comments'!H:H,0)),"")</f>
        <v>No MEP R3-47($230.57)</v>
      </c>
      <c r="P72" s="136">
        <f t="shared" si="2"/>
        <v>230.57</v>
      </c>
      <c r="Q72" s="140" t="s">
        <v>5809</v>
      </c>
      <c r="R72" s="144">
        <v>0</v>
      </c>
    </row>
    <row r="73" spans="1:18" ht="21.95" customHeight="1">
      <c r="A73" s="71" t="s">
        <v>4971</v>
      </c>
      <c r="B73" s="69" t="s">
        <v>4887</v>
      </c>
      <c r="C73" s="70">
        <v>46053</v>
      </c>
      <c r="D73" s="69" t="s">
        <v>4888</v>
      </c>
      <c r="E73" s="69"/>
      <c r="F73" s="65" t="s">
        <v>5701</v>
      </c>
      <c r="G73" s="65"/>
      <c r="H73" s="65" t="str">
        <f>IFERROR(INDEX('Docketed Comments'!C:C,MATCH(A73,'Docketed Comments'!H:H,0))&amp;", "&amp;INDEX('Docketed Comments'!B:B,MATCH(A73,'Docketed Comments'!H:H,0)),"")</f>
        <v>Katie, Cross</v>
      </c>
      <c r="I73" s="65" t="str">
        <f>IFERROR(INDEX('Docketed Comments'!D:D,MATCH(A73,'Docketed Comments'!H:H,0)),"")</f>
        <v>Tempe</v>
      </c>
      <c r="J73" s="65" t="str">
        <f>IFERROR(INDEX('Docketed Comments'!I:I,MATCH(A73,'Docketed Comments'!H:H,0)),"")</f>
        <v>R-BASIC</v>
      </c>
      <c r="K73" s="65" t="str">
        <f t="shared" si="3"/>
        <v>❌ Not on Best Plan</v>
      </c>
      <c r="L73" s="65" t="str">
        <f>IFERROR(INDEX('Docketed Comments'!F:F,MATCH(A73,'Docketed Comments'!H:H,0)),"")</f>
        <v>Form letter</v>
      </c>
      <c r="M73" s="137" t="str">
        <f>IFERROR(HYPERLINK(INDEX('Docketed Comments'!G:G,MATCH(A73,'Docketed Comments'!H:H,0)),"📄 View Docket"),"")</f>
        <v>📄 View Docket</v>
      </c>
      <c r="N73" s="135" t="str">
        <f>IFERROR(INDEX('Docketed Comments'!N:N,MATCH(A73,'Docketed Comments'!H:H,0)),"")</f>
        <v>No</v>
      </c>
      <c r="O73" s="135" t="str">
        <f>IFERROR(INDEX('Docketed Comments'!L:L,MATCH(A73,'Docketed Comments'!H:H,0)),"")</f>
        <v>No MEP R3-47($32.46)</v>
      </c>
      <c r="P73" s="136">
        <f t="shared" si="2"/>
        <v>32.46</v>
      </c>
      <c r="Q73" s="140" t="s">
        <v>5809</v>
      </c>
      <c r="R73" s="144">
        <v>0</v>
      </c>
    </row>
    <row r="74" spans="1:18" ht="21.95" customHeight="1">
      <c r="A74" s="71" t="s">
        <v>4972</v>
      </c>
      <c r="B74" s="69" t="s">
        <v>4887</v>
      </c>
      <c r="C74" s="70">
        <v>46053</v>
      </c>
      <c r="D74" s="69" t="s">
        <v>4865</v>
      </c>
      <c r="E74" s="69" t="s">
        <v>4898</v>
      </c>
      <c r="F74" s="65" t="s">
        <v>5712</v>
      </c>
      <c r="G74" s="65"/>
      <c r="H74" s="65" t="str">
        <f>IFERROR(INDEX('Docketed Comments'!C:C,MATCH(A74,'Docketed Comments'!H:H,0))&amp;", "&amp;INDEX('Docketed Comments'!B:B,MATCH(A74,'Docketed Comments'!H:H,0)),"")</f>
        <v>Heather, Matelski</v>
      </c>
      <c r="I74" s="65" t="str">
        <f>IFERROR(INDEX('Docketed Comments'!D:D,MATCH(A74,'Docketed Comments'!H:H,0)),"")</f>
        <v>Tempe</v>
      </c>
      <c r="J74" s="65" t="str">
        <f>IFERROR(INDEX('Docketed Comments'!I:I,MATCH(A74,'Docketed Comments'!H:H,0)),"")</f>
        <v>RTOUE47</v>
      </c>
      <c r="K74" s="65" t="str">
        <f t="shared" si="3"/>
        <v>❌ Not on Best Plan</v>
      </c>
      <c r="L74" s="65" t="str">
        <f>IFERROR(INDEX('Docketed Comments'!F:F,MATCH(A74,'Docketed Comments'!H:H,0)),"")</f>
        <v>Opposed</v>
      </c>
      <c r="M74" s="137" t="str">
        <f>IFERROR(HYPERLINK(INDEX('Docketed Comments'!G:G,MATCH(A74,'Docketed Comments'!H:H,0)),"📄 View Docket"),"")</f>
        <v>📄 View Docket</v>
      </c>
      <c r="N74" s="135" t="str">
        <f>IFERROR(INDEX('Docketed Comments'!N:N,MATCH(A74,'Docketed Comments'!H:H,0)),"")</f>
        <v>No</v>
      </c>
      <c r="O74" s="135" t="str">
        <f>IFERROR(INDEX('Docketed Comments'!L:L,MATCH(A74,'Docketed Comments'!H:H,0)),"")</f>
        <v>No MEP R3-47($149.40)</v>
      </c>
      <c r="P74" s="136">
        <f t="shared" si="2"/>
        <v>149.4</v>
      </c>
      <c r="Q74" s="140" t="s">
        <v>5809</v>
      </c>
      <c r="R74" s="144">
        <v>0</v>
      </c>
    </row>
    <row r="75" spans="1:18" ht="21.95" customHeight="1">
      <c r="A75" s="71" t="s">
        <v>4973</v>
      </c>
      <c r="B75" s="69" t="s">
        <v>4887</v>
      </c>
      <c r="C75" s="70">
        <v>46053</v>
      </c>
      <c r="D75" s="69" t="s">
        <v>4865</v>
      </c>
      <c r="E75" s="69" t="s">
        <v>4898</v>
      </c>
      <c r="F75" s="65"/>
      <c r="G75" s="65"/>
      <c r="H75" s="65" t="str">
        <f>IFERROR(INDEX('Docketed Comments'!C:C,MATCH(A75,'Docketed Comments'!H:H,0))&amp;", "&amp;INDEX('Docketed Comments'!B:B,MATCH(A75,'Docketed Comments'!H:H,0)),"")</f>
        <v>George, Testo</v>
      </c>
      <c r="I75" s="65" t="str">
        <f>IFERROR(INDEX('Docketed Comments'!D:D,MATCH(A75,'Docketed Comments'!H:H,0)),"")</f>
        <v>Flagstaff</v>
      </c>
      <c r="J75" s="65" t="str">
        <f>IFERROR(INDEX('Docketed Comments'!I:I,MATCH(A75,'Docketed Comments'!H:H,0)),"")</f>
        <v>RTOUE47</v>
      </c>
      <c r="K75" s="65" t="str">
        <f t="shared" si="3"/>
        <v>❌ Not on Best Plan</v>
      </c>
      <c r="L75" s="65" t="str">
        <f>IFERROR(INDEX('Docketed Comments'!F:F,MATCH(A75,'Docketed Comments'!H:H,0)),"")</f>
        <v>Opposed</v>
      </c>
      <c r="M75" s="137" t="str">
        <f>IFERROR(HYPERLINK(INDEX('Docketed Comments'!G:G,MATCH(A75,'Docketed Comments'!H:H,0)),"📄 View Docket"),"")</f>
        <v>📄 View Docket</v>
      </c>
      <c r="N75" s="135" t="str">
        <f>IFERROR(INDEX('Docketed Comments'!N:N,MATCH(A75,'Docketed Comments'!H:H,0)),"")</f>
        <v>No</v>
      </c>
      <c r="O75" s="135" t="str">
        <f>IFERROR(INDEX('Docketed Comments'!L:L,MATCH(A75,'Docketed Comments'!H:H,0)),"")</f>
        <v>No MEP R-XS ($49.64)</v>
      </c>
      <c r="P75" s="136">
        <f t="shared" si="2"/>
        <v>49.64</v>
      </c>
      <c r="Q75" s="140" t="s">
        <v>5809</v>
      </c>
      <c r="R75" s="144">
        <v>0</v>
      </c>
    </row>
    <row r="76" spans="1:18" ht="21.95" customHeight="1">
      <c r="A76" s="71" t="s">
        <v>4974</v>
      </c>
      <c r="B76" s="69" t="s">
        <v>4887</v>
      </c>
      <c r="C76" s="70">
        <v>46060</v>
      </c>
      <c r="D76" s="69"/>
      <c r="E76" s="69"/>
      <c r="F76" s="65" t="s">
        <v>5701</v>
      </c>
      <c r="G76" s="65"/>
      <c r="H76" s="65" t="str">
        <f>IFERROR(INDEX('Docketed Comments'!C:C,MATCH(A76,'Docketed Comments'!H:H,0))&amp;", "&amp;INDEX('Docketed Comments'!B:B,MATCH(A76,'Docketed Comments'!H:H,0)),"")</f>
        <v>Isabel, Brunetti</v>
      </c>
      <c r="I76" s="65" t="str">
        <f>IFERROR(INDEX('Docketed Comments'!D:D,MATCH(A76,'Docketed Comments'!H:H,0)),"")</f>
        <v>Phoenix</v>
      </c>
      <c r="J76" s="65" t="str">
        <f>IFERROR(INDEX('Docketed Comments'!I:I,MATCH(A76,'Docketed Comments'!H:H,0)),"")</f>
        <v>R3-47</v>
      </c>
      <c r="K76" s="65" t="str">
        <f t="shared" si="3"/>
        <v>❌ Not on Best Plan</v>
      </c>
      <c r="L76" s="65" t="str">
        <f>IFERROR(INDEX('Docketed Comments'!F:F,MATCH(A76,'Docketed Comments'!H:H,0)),"")</f>
        <v>Unfair</v>
      </c>
      <c r="M76" s="137" t="str">
        <f>IFERROR(HYPERLINK(INDEX('Docketed Comments'!G:G,MATCH(A76,'Docketed Comments'!H:H,0)),"📄 View Docket"),"")</f>
        <v>📄 View Docket</v>
      </c>
      <c r="N76" s="135" t="str">
        <f>IFERROR(INDEX('Docketed Comments'!N:N,MATCH(A76,'Docketed Comments'!H:H,0)),"")</f>
        <v>No</v>
      </c>
      <c r="O76" s="135" t="str">
        <f>IFERROR(INDEX('Docketed Comments'!L:L,MATCH(A76,'Docketed Comments'!H:H,0)),"")</f>
        <v>No MEP R-BASIC($187.87)</v>
      </c>
      <c r="P76" s="136">
        <f t="shared" si="2"/>
        <v>187.87</v>
      </c>
      <c r="Q76" s="140" t="s">
        <v>5809</v>
      </c>
      <c r="R76" s="144">
        <v>0</v>
      </c>
    </row>
    <row r="77" spans="1:18" ht="21.95" customHeight="1">
      <c r="A77" s="71" t="s">
        <v>4975</v>
      </c>
      <c r="B77" s="69" t="s">
        <v>4887</v>
      </c>
      <c r="C77" s="70">
        <v>46053</v>
      </c>
      <c r="D77" s="69" t="s">
        <v>4888</v>
      </c>
      <c r="E77" s="69"/>
      <c r="F77" s="65" t="s">
        <v>5701</v>
      </c>
      <c r="G77" s="65"/>
      <c r="H77" s="65" t="str">
        <f>IFERROR(INDEX('Docketed Comments'!C:C,MATCH(A77,'Docketed Comments'!H:H,0))&amp;", "&amp;INDEX('Docketed Comments'!B:B,MATCH(A77,'Docketed Comments'!H:H,0)),"")</f>
        <v>Natalie, Pera</v>
      </c>
      <c r="I77" s="65" t="str">
        <f>IFERROR(INDEX('Docketed Comments'!D:D,MATCH(A77,'Docketed Comments'!H:H,0)),"")</f>
        <v>Phoenix</v>
      </c>
      <c r="J77" s="65" t="str">
        <f>IFERROR(INDEX('Docketed Comments'!I:I,MATCH(A77,'Docketed Comments'!H:H,0)),"")</f>
        <v>RTOUE47</v>
      </c>
      <c r="K77" s="65" t="str">
        <f t="shared" si="3"/>
        <v>❌ Not on Best Plan</v>
      </c>
      <c r="L77" s="65" t="str">
        <f>IFERROR(INDEX('Docketed Comments'!F:F,MATCH(A77,'Docketed Comments'!H:H,0)),"")</f>
        <v>Form letter</v>
      </c>
      <c r="M77" s="137" t="str">
        <f>IFERROR(HYPERLINK(INDEX('Docketed Comments'!G:G,MATCH(A77,'Docketed Comments'!H:H,0)),"📄 View Docket"),"")</f>
        <v>📄 View Docket</v>
      </c>
      <c r="N77" s="135" t="str">
        <f>IFERROR(INDEX('Docketed Comments'!N:N,MATCH(A77,'Docketed Comments'!H:H,0)),"")</f>
        <v>No</v>
      </c>
      <c r="O77" s="135" t="str">
        <f>IFERROR(INDEX('Docketed Comments'!L:L,MATCH(A77,'Docketed Comments'!H:H,0)),"")</f>
        <v>No MEP R3-47 ($108.13)</v>
      </c>
      <c r="P77" s="136">
        <f t="shared" si="2"/>
        <v>108.13</v>
      </c>
      <c r="Q77" s="140" t="s">
        <v>5809</v>
      </c>
      <c r="R77" s="144">
        <v>0</v>
      </c>
    </row>
    <row r="78" spans="1:18" ht="21.95" customHeight="1">
      <c r="A78" s="71" t="s">
        <v>4976</v>
      </c>
      <c r="B78" s="69" t="s">
        <v>4887</v>
      </c>
      <c r="C78" s="70">
        <v>46053</v>
      </c>
      <c r="D78" s="69" t="s">
        <v>4888</v>
      </c>
      <c r="E78" s="69"/>
      <c r="F78" s="65" t="s">
        <v>5701</v>
      </c>
      <c r="G78" s="65"/>
      <c r="H78" s="65" t="str">
        <f>IFERROR(INDEX('Docketed Comments'!C:C,MATCH(A78,'Docketed Comments'!H:H,0))&amp;", "&amp;INDEX('Docketed Comments'!B:B,MATCH(A78,'Docketed Comments'!H:H,0)),"")</f>
        <v>Robert, Kennedy</v>
      </c>
      <c r="I78" s="65" t="str">
        <f>IFERROR(INDEX('Docketed Comments'!D:D,MATCH(A78,'Docketed Comments'!H:H,0)),"")</f>
        <v>Phoenix</v>
      </c>
      <c r="J78" s="65" t="str">
        <f>IFERROR(INDEX('Docketed Comments'!I:I,MATCH(A78,'Docketed Comments'!H:H,0)),"")</f>
        <v>R3-47</v>
      </c>
      <c r="K78" s="65" t="str">
        <f t="shared" si="3"/>
        <v>❌ Not on Best Plan</v>
      </c>
      <c r="L78" s="65" t="str">
        <f>IFERROR(INDEX('Docketed Comments'!F:F,MATCH(A78,'Docketed Comments'!H:H,0)),"")</f>
        <v>Opposed</v>
      </c>
      <c r="M78" s="137" t="str">
        <f>IFERROR(HYPERLINK(INDEX('Docketed Comments'!G:G,MATCH(A78,'Docketed Comments'!H:H,0)),"📄 View Docket"),"")</f>
        <v>📄 View Docket</v>
      </c>
      <c r="N78" s="135" t="str">
        <f>IFERROR(INDEX('Docketed Comments'!N:N,MATCH(A78,'Docketed Comments'!H:H,0)),"")</f>
        <v>No</v>
      </c>
      <c r="O78" s="135" t="str">
        <f>IFERROR(INDEX('Docketed Comments'!L:L,MATCH(A78,'Docketed Comments'!H:H,0)),"")</f>
        <v>No MEP R-XS ($287.81)</v>
      </c>
      <c r="P78" s="136">
        <f t="shared" si="2"/>
        <v>287.81</v>
      </c>
      <c r="Q78" s="140" t="s">
        <v>5809</v>
      </c>
      <c r="R78" s="144">
        <v>0</v>
      </c>
    </row>
    <row r="79" spans="1:18" ht="21.95" customHeight="1">
      <c r="A79" s="71" t="s">
        <v>1718</v>
      </c>
      <c r="B79" s="69" t="s">
        <v>4887</v>
      </c>
      <c r="C79" s="70">
        <v>46053</v>
      </c>
      <c r="D79" s="69" t="s">
        <v>4865</v>
      </c>
      <c r="E79" s="69" t="s">
        <v>4894</v>
      </c>
      <c r="F79" s="65" t="s">
        <v>5713</v>
      </c>
      <c r="G79" s="65"/>
      <c r="H79" s="65" t="str">
        <f>IFERROR(INDEX('Docketed Comments'!C:C,MATCH(A79,'Docketed Comments'!H:H,0))&amp;", "&amp;INDEX('Docketed Comments'!B:B,MATCH(A79,'Docketed Comments'!H:H,0)),"")</f>
        <v>Tyler, Healey</v>
      </c>
      <c r="I79" s="65" t="str">
        <f>IFERROR(INDEX('Docketed Comments'!D:D,MATCH(A79,'Docketed Comments'!H:H,0)),"")</f>
        <v>Phoenix</v>
      </c>
      <c r="J79" s="65" t="str">
        <f>IFERROR(INDEX('Docketed Comments'!I:I,MATCH(A79,'Docketed Comments'!H:H,0)),"")</f>
        <v>RTOUE47</v>
      </c>
      <c r="K79" s="65" t="str">
        <f t="shared" si="3"/>
        <v>❌ Not on Best Plan</v>
      </c>
      <c r="L79" s="65" t="str">
        <f>IFERROR(INDEX('Docketed Comments'!F:F,MATCH(A79,'Docketed Comments'!H:H,0)),"")</f>
        <v>Enough with the rate hikes</v>
      </c>
      <c r="M79" s="137" t="str">
        <f>IFERROR(HYPERLINK(INDEX('Docketed Comments'!G:G,MATCH(A79,'Docketed Comments'!H:H,0)),"📄 View Docket"),"")</f>
        <v>📄 View Docket</v>
      </c>
      <c r="N79" s="135" t="str">
        <f>IFERROR(INDEX('Docketed Comments'!N:N,MATCH(A79,'Docketed Comments'!H:H,0)),"")</f>
        <v>No</v>
      </c>
      <c r="O79" s="135" t="str">
        <f>IFERROR(INDEX('Docketed Comments'!L:L,MATCH(A79,'Docketed Comments'!H:H,0)),"")</f>
        <v>No MEP R3-47($271.50)</v>
      </c>
      <c r="P79" s="136">
        <f t="shared" si="2"/>
        <v>271.5</v>
      </c>
      <c r="Q79" s="140" t="s">
        <v>5809</v>
      </c>
      <c r="R79" s="144">
        <v>0</v>
      </c>
    </row>
    <row r="80" spans="1:18" ht="21.95" customHeight="1">
      <c r="A80" s="71" t="s">
        <v>4977</v>
      </c>
      <c r="B80" s="69" t="s">
        <v>4887</v>
      </c>
      <c r="C80" s="70">
        <v>46053</v>
      </c>
      <c r="D80" s="69" t="s">
        <v>4888</v>
      </c>
      <c r="E80" s="69"/>
      <c r="F80" s="65" t="s">
        <v>5701</v>
      </c>
      <c r="G80" s="65"/>
      <c r="H80" s="65" t="str">
        <f>IFERROR(INDEX('Docketed Comments'!C:C,MATCH(A80,'Docketed Comments'!H:H,0))&amp;", "&amp;INDEX('Docketed Comments'!B:B,MATCH(A80,'Docketed Comments'!H:H,0)),"")</f>
        <v>Zachary, Abitz</v>
      </c>
      <c r="I80" s="65" t="str">
        <f>IFERROR(INDEX('Docketed Comments'!D:D,MATCH(A80,'Docketed Comments'!H:H,0)),"")</f>
        <v>Surprise</v>
      </c>
      <c r="J80" s="65" t="str">
        <f>IFERROR(INDEX('Docketed Comments'!I:I,MATCH(A80,'Docketed Comments'!H:H,0)),"")</f>
        <v>RTOUE47</v>
      </c>
      <c r="K80" s="65" t="str">
        <f t="shared" si="3"/>
        <v>❌ Not on Best Plan</v>
      </c>
      <c r="L80" s="65" t="str">
        <f>IFERROR(INDEX('Docketed Comments'!F:F,MATCH(A80,'Docketed Comments'!H:H,0)),"")</f>
        <v>Enough is enough</v>
      </c>
      <c r="M80" s="137" t="str">
        <f>IFERROR(HYPERLINK(INDEX('Docketed Comments'!G:G,MATCH(A80,'Docketed Comments'!H:H,0)),"📄 View Docket"),"")</f>
        <v>📄 View Docket</v>
      </c>
      <c r="N80" s="135" t="str">
        <f>IFERROR(INDEX('Docketed Comments'!N:N,MATCH(A80,'Docketed Comments'!H:H,0)),"")</f>
        <v>No</v>
      </c>
      <c r="O80" s="135" t="str">
        <f>IFERROR(INDEX('Docketed Comments'!L:L,MATCH(A80,'Docketed Comments'!H:H,0)),"")</f>
        <v>No MEP R3-47($426.81)</v>
      </c>
      <c r="P80" s="136">
        <f t="shared" si="2"/>
        <v>426.81</v>
      </c>
      <c r="Q80" s="140" t="s">
        <v>5809</v>
      </c>
      <c r="R80" s="144">
        <v>0</v>
      </c>
    </row>
    <row r="81" spans="1:18" ht="21.95" customHeight="1">
      <c r="A81" s="71" t="s">
        <v>4978</v>
      </c>
      <c r="B81" s="69" t="s">
        <v>4887</v>
      </c>
      <c r="C81" s="70">
        <v>46046</v>
      </c>
      <c r="D81" s="69" t="s">
        <v>4865</v>
      </c>
      <c r="E81" s="69"/>
      <c r="F81" s="65" t="s">
        <v>5714</v>
      </c>
      <c r="G81" s="65"/>
      <c r="H81" s="65" t="str">
        <f>IFERROR(INDEX('Docketed Comments'!C:C,MATCH(A81,'Docketed Comments'!H:H,0))&amp;", "&amp;INDEX('Docketed Comments'!B:B,MATCH(A81,'Docketed Comments'!H:H,0)),"")</f>
        <v>David, Henderson</v>
      </c>
      <c r="I81" s="65" t="str">
        <f>IFERROR(INDEX('Docketed Comments'!D:D,MATCH(A81,'Docketed Comments'!H:H,0)),"")</f>
        <v>Scottsdale</v>
      </c>
      <c r="J81" s="65" t="str">
        <f>IFERROR(INDEX('Docketed Comments'!I:I,MATCH(A81,'Docketed Comments'!H:H,0)),"")</f>
        <v>RTOUE47</v>
      </c>
      <c r="K81" s="65" t="str">
        <f t="shared" si="3"/>
        <v>❌ Not on Best Plan</v>
      </c>
      <c r="L81" s="65" t="str">
        <f>IFERROR(INDEX('Docketed Comments'!F:F,MATCH(A81,'Docketed Comments'!H:H,0)),"")</f>
        <v>Form letter</v>
      </c>
      <c r="M81" s="137" t="str">
        <f>IFERROR(HYPERLINK(INDEX('Docketed Comments'!G:G,MATCH(A81,'Docketed Comments'!H:H,0)),"📄 View Docket"),"")</f>
        <v>📄 View Docket</v>
      </c>
      <c r="N81" s="135" t="str">
        <f>IFERROR(INDEX('Docketed Comments'!N:N,MATCH(A81,'Docketed Comments'!H:H,0)),"")</f>
        <v>No</v>
      </c>
      <c r="O81" s="135" t="str">
        <f>IFERROR(INDEX('Docketed Comments'!L:L,MATCH(A81,'Docketed Comments'!H:H,0)),"")</f>
        <v>No MEP R-BASIC($140.27)</v>
      </c>
      <c r="P81" s="136">
        <f t="shared" si="2"/>
        <v>140.27000000000001</v>
      </c>
      <c r="Q81" s="140" t="s">
        <v>5809</v>
      </c>
      <c r="R81" s="144">
        <v>0</v>
      </c>
    </row>
    <row r="82" spans="1:18" ht="21.95" customHeight="1">
      <c r="A82" s="71" t="s">
        <v>4979</v>
      </c>
      <c r="B82" s="69" t="s">
        <v>4887</v>
      </c>
      <c r="C82" s="70">
        <v>46060</v>
      </c>
      <c r="D82" s="69" t="s">
        <v>4865</v>
      </c>
      <c r="E82" s="69" t="s">
        <v>4897</v>
      </c>
      <c r="F82" s="65" t="s">
        <v>5703</v>
      </c>
      <c r="G82" s="65"/>
      <c r="H82" s="65" t="str">
        <f>IFERROR(INDEX('Docketed Comments'!C:C,MATCH(A82,'Docketed Comments'!H:H,0))&amp;", "&amp;INDEX('Docketed Comments'!B:B,MATCH(A82,'Docketed Comments'!H:H,0)),"")</f>
        <v>Govardhan Reddy, Siddavatam</v>
      </c>
      <c r="I82" s="65" t="str">
        <f>IFERROR(INDEX('Docketed Comments'!D:D,MATCH(A82,'Docketed Comments'!H:H,0)),"")</f>
        <v>Peoria</v>
      </c>
      <c r="J82" s="65" t="str">
        <f>IFERROR(INDEX('Docketed Comments'!I:I,MATCH(A82,'Docketed Comments'!H:H,0)),"")</f>
        <v>RTOUE47</v>
      </c>
      <c r="K82" s="65" t="str">
        <f t="shared" si="3"/>
        <v>❌ Not on Best Plan</v>
      </c>
      <c r="L82" s="65" t="str">
        <f>IFERROR(INDEX('Docketed Comments'!F:F,MATCH(A82,'Docketed Comments'!H:H,0)),"")</f>
        <v>Opposed</v>
      </c>
      <c r="M82" s="137" t="str">
        <f>IFERROR(HYPERLINK(INDEX('Docketed Comments'!G:G,MATCH(A82,'Docketed Comments'!H:H,0)),"📄 View Docket"),"")</f>
        <v>📄 View Docket</v>
      </c>
      <c r="N82" s="135" t="str">
        <f>IFERROR(INDEX('Docketed Comments'!N:N,MATCH(A82,'Docketed Comments'!H:H,0)),"")</f>
        <v>No</v>
      </c>
      <c r="O82" s="135" t="str">
        <f>IFERROR(INDEX('Docketed Comments'!L:L,MATCH(A82,'Docketed Comments'!H:H,0)),"")</f>
        <v>No MEP R3-47($305.79)</v>
      </c>
      <c r="P82" s="136">
        <f t="shared" si="2"/>
        <v>305.79000000000002</v>
      </c>
      <c r="Q82" s="140" t="s">
        <v>5809</v>
      </c>
      <c r="R82" s="144">
        <v>0</v>
      </c>
    </row>
    <row r="83" spans="1:18" ht="21.95" customHeight="1">
      <c r="A83" s="71" t="s">
        <v>4980</v>
      </c>
      <c r="B83" s="69" t="s">
        <v>4887</v>
      </c>
      <c r="C83" s="70">
        <v>46046</v>
      </c>
      <c r="D83" s="69" t="s">
        <v>4865</v>
      </c>
      <c r="E83" s="69" t="s">
        <v>4894</v>
      </c>
      <c r="F83" s="65" t="s">
        <v>5715</v>
      </c>
      <c r="G83" s="65"/>
      <c r="H83" s="65" t="str">
        <f>IFERROR(INDEX('Docketed Comments'!C:C,MATCH(A83,'Docketed Comments'!H:H,0))&amp;", "&amp;INDEX('Docketed Comments'!B:B,MATCH(A83,'Docketed Comments'!H:H,0)),"")</f>
        <v>Ethan, Zohn</v>
      </c>
      <c r="I83" s="65" t="str">
        <f>IFERROR(INDEX('Docketed Comments'!D:D,MATCH(A83,'Docketed Comments'!H:H,0)),"")</f>
        <v>Phoenix</v>
      </c>
      <c r="J83" s="65" t="str">
        <f>IFERROR(INDEX('Docketed Comments'!I:I,MATCH(A83,'Docketed Comments'!H:H,0)),"")</f>
        <v>RTOUE47</v>
      </c>
      <c r="K83" s="65" t="str">
        <f t="shared" si="3"/>
        <v>❌ Not on Best Plan</v>
      </c>
      <c r="L83" s="65" t="str">
        <f>IFERROR(INDEX('Docketed Comments'!F:F,MATCH(A83,'Docketed Comments'!H:H,0)),"")</f>
        <v>Not good</v>
      </c>
      <c r="M83" s="137" t="str">
        <f>IFERROR(HYPERLINK(INDEX('Docketed Comments'!G:G,MATCH(A83,'Docketed Comments'!H:H,0)),"📄 View Docket"),"")</f>
        <v>📄 View Docket</v>
      </c>
      <c r="N83" s="135" t="str">
        <f>IFERROR(INDEX('Docketed Comments'!N:N,MATCH(A83,'Docketed Comments'!H:H,0)),"")</f>
        <v>No</v>
      </c>
      <c r="O83" s="135" t="str">
        <f>IFERROR(INDEX('Docketed Comments'!L:L,MATCH(A83,'Docketed Comments'!H:H,0)),"")</f>
        <v>No MEP R-XS($38.65)</v>
      </c>
      <c r="P83" s="136">
        <f t="shared" si="2"/>
        <v>38.65</v>
      </c>
      <c r="Q83" s="140" t="s">
        <v>5809</v>
      </c>
      <c r="R83" s="144">
        <v>0</v>
      </c>
    </row>
    <row r="84" spans="1:18" ht="21.95" customHeight="1">
      <c r="A84" s="71" t="s">
        <v>4981</v>
      </c>
      <c r="B84" s="69" t="s">
        <v>4887</v>
      </c>
      <c r="C84" s="70">
        <v>46046</v>
      </c>
      <c r="D84" s="69" t="s">
        <v>4888</v>
      </c>
      <c r="E84" s="69"/>
      <c r="F84" s="65"/>
      <c r="G84" s="65"/>
      <c r="H84" s="65" t="str">
        <f>IFERROR(INDEX('Docketed Comments'!C:C,MATCH(A84,'Docketed Comments'!H:H,0))&amp;", "&amp;INDEX('Docketed Comments'!B:B,MATCH(A84,'Docketed Comments'!H:H,0)),"")</f>
        <v>Aaron, Royster</v>
      </c>
      <c r="I84" s="65" t="str">
        <f>IFERROR(INDEX('Docketed Comments'!D:D,MATCH(A84,'Docketed Comments'!H:H,0)),"")</f>
        <v>Tempe</v>
      </c>
      <c r="J84" s="65" t="str">
        <f>IFERROR(INDEX('Docketed Comments'!I:I,MATCH(A84,'Docketed Comments'!H:H,0)),"")</f>
        <v>RTOUE47</v>
      </c>
      <c r="K84" s="65" t="str">
        <f t="shared" si="3"/>
        <v>❌ Not on Best Plan</v>
      </c>
      <c r="L84" s="65" t="str">
        <f>IFERROR(INDEX('Docketed Comments'!F:F,MATCH(A84,'Docketed Comments'!H:H,0)),"")</f>
        <v>Form letter</v>
      </c>
      <c r="M84" s="137" t="str">
        <f>IFERROR(HYPERLINK(INDEX('Docketed Comments'!G:G,MATCH(A84,'Docketed Comments'!H:H,0)),"📄 View Docket"),"")</f>
        <v>📄 View Docket</v>
      </c>
      <c r="N84" s="135" t="str">
        <f>IFERROR(INDEX('Docketed Comments'!N:N,MATCH(A84,'Docketed Comments'!H:H,0)),"")</f>
        <v>No</v>
      </c>
      <c r="O84" s="135" t="str">
        <f>IFERROR(INDEX('Docketed Comments'!L:L,MATCH(A84,'Docketed Comments'!H:H,0)),"")</f>
        <v>No MEP R3-47 ($130.61)</v>
      </c>
      <c r="P84" s="136">
        <f t="shared" si="2"/>
        <v>130.61000000000001</v>
      </c>
      <c r="Q84" s="140" t="s">
        <v>5809</v>
      </c>
      <c r="R84" s="144">
        <v>0</v>
      </c>
    </row>
    <row r="85" spans="1:18" ht="21.95" customHeight="1">
      <c r="A85" s="71" t="s">
        <v>4982</v>
      </c>
      <c r="B85" s="69" t="s">
        <v>4887</v>
      </c>
      <c r="C85" s="70">
        <v>46046</v>
      </c>
      <c r="D85" s="69" t="s">
        <v>4865</v>
      </c>
      <c r="E85" s="69"/>
      <c r="F85" s="65" t="s">
        <v>5714</v>
      </c>
      <c r="G85" s="65"/>
      <c r="H85" s="65" t="str">
        <f>IFERROR(INDEX('Docketed Comments'!C:C,MATCH(A85,'Docketed Comments'!H:H,0))&amp;", "&amp;INDEX('Docketed Comments'!B:B,MATCH(A85,'Docketed Comments'!H:H,0)),"")</f>
        <v>Christopher, Macagni</v>
      </c>
      <c r="I85" s="65" t="str">
        <f>IFERROR(INDEX('Docketed Comments'!D:D,MATCH(A85,'Docketed Comments'!H:H,0)),"")</f>
        <v>Peoria</v>
      </c>
      <c r="J85" s="65" t="str">
        <f>IFERROR(INDEX('Docketed Comments'!I:I,MATCH(A85,'Docketed Comments'!H:H,0)),"")</f>
        <v>RTOUE47</v>
      </c>
      <c r="K85" s="65" t="str">
        <f t="shared" si="3"/>
        <v>❌ Not on Best Plan</v>
      </c>
      <c r="L85" s="65" t="str">
        <f>IFERROR(INDEX('Docketed Comments'!F:F,MATCH(A85,'Docketed Comments'!H:H,0)),"")</f>
        <v>Form letter</v>
      </c>
      <c r="M85" s="137" t="str">
        <f>IFERROR(HYPERLINK(INDEX('Docketed Comments'!G:G,MATCH(A85,'Docketed Comments'!H:H,0)),"📄 View Docket"),"")</f>
        <v>📄 View Docket</v>
      </c>
      <c r="N85" s="135" t="str">
        <f>IFERROR(INDEX('Docketed Comments'!N:N,MATCH(A85,'Docketed Comments'!H:H,0)),"")</f>
        <v>No</v>
      </c>
      <c r="O85" s="135" t="str">
        <f>IFERROR(INDEX('Docketed Comments'!L:L,MATCH(A85,'Docketed Comments'!H:H,0)),"")</f>
        <v>No MEP R3-47($392.95)</v>
      </c>
      <c r="P85" s="136">
        <f t="shared" si="2"/>
        <v>392.95</v>
      </c>
      <c r="Q85" s="140" t="s">
        <v>5809</v>
      </c>
      <c r="R85" s="144">
        <v>0</v>
      </c>
    </row>
    <row r="86" spans="1:18" ht="21.95" customHeight="1">
      <c r="A86" s="71" t="s">
        <v>4983</v>
      </c>
      <c r="B86" s="69" t="s">
        <v>4887</v>
      </c>
      <c r="C86" s="70">
        <v>46046</v>
      </c>
      <c r="D86" s="69" t="s">
        <v>4888</v>
      </c>
      <c r="E86" s="69"/>
      <c r="F86" s="65" t="s">
        <v>5701</v>
      </c>
      <c r="G86" s="65"/>
      <c r="H86" s="65" t="str">
        <f>IFERROR(INDEX('Docketed Comments'!C:C,MATCH(A86,'Docketed Comments'!H:H,0))&amp;", "&amp;INDEX('Docketed Comments'!B:B,MATCH(A86,'Docketed Comments'!H:H,0)),"")</f>
        <v>Morgan, Heiser</v>
      </c>
      <c r="I86" s="65" t="str">
        <f>IFERROR(INDEX('Docketed Comments'!D:D,MATCH(A86,'Docketed Comments'!H:H,0)),"")</f>
        <v>Phoenix</v>
      </c>
      <c r="J86" s="65" t="str">
        <f>IFERROR(INDEX('Docketed Comments'!I:I,MATCH(A86,'Docketed Comments'!H:H,0)),"")</f>
        <v>R3-47</v>
      </c>
      <c r="K86" s="65" t="str">
        <f t="shared" si="3"/>
        <v>❌ Not on Best Plan</v>
      </c>
      <c r="L86" s="65" t="str">
        <f>IFERROR(INDEX('Docketed Comments'!F:F,MATCH(A86,'Docketed Comments'!H:H,0)),"")</f>
        <v>Opposed</v>
      </c>
      <c r="M86" s="137" t="str">
        <f>IFERROR(HYPERLINK(INDEX('Docketed Comments'!G:G,MATCH(A86,'Docketed Comments'!H:H,0)),"📄 View Docket"),"")</f>
        <v>📄 View Docket</v>
      </c>
      <c r="N86" s="135" t="str">
        <f>IFERROR(INDEX('Docketed Comments'!N:N,MATCH(A86,'Docketed Comments'!H:H,0)),"")</f>
        <v>No</v>
      </c>
      <c r="O86" s="135" t="str">
        <f>IFERROR(INDEX('Docketed Comments'!L:L,MATCH(A86,'Docketed Comments'!H:H,0)),"")</f>
        <v>No MEP R-XS($171.24)</v>
      </c>
      <c r="P86" s="136">
        <f t="shared" si="2"/>
        <v>171.24</v>
      </c>
      <c r="Q86" s="140" t="s">
        <v>5809</v>
      </c>
      <c r="R86" s="144">
        <v>0</v>
      </c>
    </row>
    <row r="87" spans="1:18" ht="21.95" customHeight="1">
      <c r="A87" s="71" t="s">
        <v>4984</v>
      </c>
      <c r="B87" s="69" t="s">
        <v>4887</v>
      </c>
      <c r="C87" s="70">
        <v>46046</v>
      </c>
      <c r="D87" s="69" t="s">
        <v>4888</v>
      </c>
      <c r="E87" s="69"/>
      <c r="F87" s="65" t="s">
        <v>5701</v>
      </c>
      <c r="G87" s="65"/>
      <c r="H87" s="65" t="str">
        <f>IFERROR(INDEX('Docketed Comments'!C:C,MATCH(A87,'Docketed Comments'!H:H,0))&amp;", "&amp;INDEX('Docketed Comments'!B:B,MATCH(A87,'Docketed Comments'!H:H,0)),"")</f>
        <v>Michelle, Phipps</v>
      </c>
      <c r="I87" s="65" t="str">
        <f>IFERROR(INDEX('Docketed Comments'!D:D,MATCH(A87,'Docketed Comments'!H:H,0)),"")</f>
        <v>Casa Grande</v>
      </c>
      <c r="J87" s="65" t="str">
        <f>IFERROR(INDEX('Docketed Comments'!I:I,MATCH(A87,'Docketed Comments'!H:H,0)),"")</f>
        <v>RTOUE47</v>
      </c>
      <c r="K87" s="65" t="str">
        <f t="shared" si="3"/>
        <v>❌ Not on Best Plan</v>
      </c>
      <c r="L87" s="65" t="str">
        <f>IFERROR(INDEX('Docketed Comments'!F:F,MATCH(A87,'Docketed Comments'!H:H,0)),"")</f>
        <v>Opposed, out of control</v>
      </c>
      <c r="M87" s="137" t="str">
        <f>IFERROR(HYPERLINK(INDEX('Docketed Comments'!G:G,MATCH(A87,'Docketed Comments'!H:H,0)),"📄 View Docket"),"")</f>
        <v>📄 View Docket</v>
      </c>
      <c r="N87" s="135" t="str">
        <f>IFERROR(INDEX('Docketed Comments'!N:N,MATCH(A87,'Docketed Comments'!H:H,0)),"")</f>
        <v>No</v>
      </c>
      <c r="O87" s="135" t="str">
        <f>IFERROR(INDEX('Docketed Comments'!L:L,MATCH(A87,'Docketed Comments'!H:H,0)),"")</f>
        <v>No MEP R3-47($1.24)</v>
      </c>
      <c r="P87" s="136">
        <f t="shared" si="2"/>
        <v>1.24</v>
      </c>
      <c r="Q87" s="140" t="s">
        <v>5809</v>
      </c>
      <c r="R87" s="144">
        <v>0</v>
      </c>
    </row>
    <row r="88" spans="1:18" ht="21.95" customHeight="1">
      <c r="A88" s="71" t="s">
        <v>4985</v>
      </c>
      <c r="B88" s="69" t="s">
        <v>4887</v>
      </c>
      <c r="C88" s="70">
        <v>46046</v>
      </c>
      <c r="D88" s="69" t="s">
        <v>4888</v>
      </c>
      <c r="E88" s="69"/>
      <c r="F88" s="65" t="s">
        <v>5701</v>
      </c>
      <c r="G88" s="65"/>
      <c r="H88" s="65" t="str">
        <f>IFERROR(INDEX('Docketed Comments'!C:C,MATCH(A88,'Docketed Comments'!H:H,0))&amp;", "&amp;INDEX('Docketed Comments'!B:B,MATCH(A88,'Docketed Comments'!H:H,0)),"")</f>
        <v>Jordon, Smith</v>
      </c>
      <c r="I88" s="65" t="str">
        <f>IFERROR(INDEX('Docketed Comments'!D:D,MATCH(A88,'Docketed Comments'!H:H,0)),"")</f>
        <v>Phoenix</v>
      </c>
      <c r="J88" s="65" t="str">
        <f>IFERROR(INDEX('Docketed Comments'!I:I,MATCH(A88,'Docketed Comments'!H:H,0)),"")</f>
        <v>R-BASICL</v>
      </c>
      <c r="K88" s="65" t="str">
        <f t="shared" si="3"/>
        <v>❌ Not on Best Plan</v>
      </c>
      <c r="L88" s="65" t="str">
        <f>IFERROR(INDEX('Docketed Comments'!F:F,MATCH(A88,'Docketed Comments'!H:H,0)),"")</f>
        <v>Opposed</v>
      </c>
      <c r="M88" s="137" t="str">
        <f>IFERROR(HYPERLINK(INDEX('Docketed Comments'!G:G,MATCH(A88,'Docketed Comments'!H:H,0)),"📄 View Docket"),"")</f>
        <v>📄 View Docket</v>
      </c>
      <c r="N88" s="135" t="str">
        <f>IFERROR(INDEX('Docketed Comments'!N:N,MATCH(A88,'Docketed Comments'!H:H,0)),"")</f>
        <v>No</v>
      </c>
      <c r="O88" s="135" t="str">
        <f>IFERROR(INDEX('Docketed Comments'!L:L,MATCH(A88,'Docketed Comments'!H:H,0)),"")</f>
        <v>No MEP R3-47($694.71)</v>
      </c>
      <c r="P88" s="136">
        <f t="shared" si="2"/>
        <v>694.71</v>
      </c>
      <c r="Q88" s="140" t="s">
        <v>5809</v>
      </c>
      <c r="R88" s="144">
        <v>0</v>
      </c>
    </row>
    <row r="89" spans="1:18" ht="21.95" customHeight="1">
      <c r="A89" s="71" t="s">
        <v>4986</v>
      </c>
      <c r="B89" s="69" t="s">
        <v>4887</v>
      </c>
      <c r="C89" s="70">
        <v>46060</v>
      </c>
      <c r="D89" s="69" t="s">
        <v>4888</v>
      </c>
      <c r="E89" s="69"/>
      <c r="F89" s="65" t="s">
        <v>5701</v>
      </c>
      <c r="G89" s="65"/>
      <c r="H89" s="65" t="str">
        <f>IFERROR(INDEX('Docketed Comments'!C:C,MATCH(A89,'Docketed Comments'!H:H,0))&amp;", "&amp;INDEX('Docketed Comments'!B:B,MATCH(A89,'Docketed Comments'!H:H,0)),"")</f>
        <v>Bryce, Sommer</v>
      </c>
      <c r="I89" s="65" t="str">
        <f>IFERROR(INDEX('Docketed Comments'!D:D,MATCH(A89,'Docketed Comments'!H:H,0)),"")</f>
        <v>Scottsdale</v>
      </c>
      <c r="J89" s="65" t="str">
        <f>IFERROR(INDEX('Docketed Comments'!I:I,MATCH(A89,'Docketed Comments'!H:H,0)),"")</f>
        <v>R-BASIC</v>
      </c>
      <c r="K89" s="65" t="str">
        <f t="shared" si="3"/>
        <v>❌ Not on Best Plan</v>
      </c>
      <c r="L89" s="65" t="str">
        <f>IFERROR(INDEX('Docketed Comments'!F:F,MATCH(A89,'Docketed Comments'!H:H,0)),"")</f>
        <v>Horrible policy</v>
      </c>
      <c r="M89" s="137" t="str">
        <f>IFERROR(HYPERLINK(INDEX('Docketed Comments'!G:G,MATCH(A89,'Docketed Comments'!H:H,0)),"📄 View Docket"),"")</f>
        <v>📄 View Docket</v>
      </c>
      <c r="N89" s="135" t="str">
        <f>IFERROR(INDEX('Docketed Comments'!N:N,MATCH(A89,'Docketed Comments'!H:H,0)),"")</f>
        <v>No</v>
      </c>
      <c r="O89" s="135" t="str">
        <f>IFERROR(INDEX('Docketed Comments'!L:L,MATCH(A89,'Docketed Comments'!H:H,0)),"")</f>
        <v>No MEP R-XS(125.13)</v>
      </c>
      <c r="P89" s="136">
        <f t="shared" si="2"/>
        <v>125.13</v>
      </c>
      <c r="Q89" s="140" t="s">
        <v>5809</v>
      </c>
      <c r="R89" s="144">
        <v>0</v>
      </c>
    </row>
    <row r="90" spans="1:18" ht="21.95" customHeight="1">
      <c r="A90" s="71" t="s">
        <v>4987</v>
      </c>
      <c r="B90" s="69" t="s">
        <v>4887</v>
      </c>
      <c r="C90" s="70">
        <v>46060</v>
      </c>
      <c r="D90" s="69" t="s">
        <v>4865</v>
      </c>
      <c r="E90" s="69"/>
      <c r="F90" s="65" t="s">
        <v>5716</v>
      </c>
      <c r="G90" s="65"/>
      <c r="H90" s="65" t="str">
        <f>IFERROR(INDEX('Docketed Comments'!C:C,MATCH(A90,'Docketed Comments'!H:H,0))&amp;", "&amp;INDEX('Docketed Comments'!B:B,MATCH(A90,'Docketed Comments'!H:H,0)),"")</f>
        <v>Samuel, Glass</v>
      </c>
      <c r="I90" s="65" t="str">
        <f>IFERROR(INDEX('Docketed Comments'!D:D,MATCH(A90,'Docketed Comments'!H:H,0)),"")</f>
        <v>Surprise</v>
      </c>
      <c r="J90" s="65" t="str">
        <f>IFERROR(INDEX('Docketed Comments'!I:I,MATCH(A90,'Docketed Comments'!H:H,0)),"")</f>
        <v>RTOUE47</v>
      </c>
      <c r="K90" s="65" t="str">
        <f t="shared" si="3"/>
        <v>❌ Not on Best Plan</v>
      </c>
      <c r="L90" s="65" t="str">
        <f>IFERROR(INDEX('Docketed Comments'!F:F,MATCH(A90,'Docketed Comments'!H:H,0)),"")</f>
        <v>Opposed, unjust and wrong</v>
      </c>
      <c r="M90" s="137" t="str">
        <f>IFERROR(HYPERLINK(INDEX('Docketed Comments'!G:G,MATCH(A90,'Docketed Comments'!H:H,0)),"📄 View Docket"),"")</f>
        <v>📄 View Docket</v>
      </c>
      <c r="N90" s="135" t="str">
        <f>IFERROR(INDEX('Docketed Comments'!N:N,MATCH(A90,'Docketed Comments'!H:H,0)),"")</f>
        <v>No</v>
      </c>
      <c r="O90" s="135" t="str">
        <f>IFERROR(INDEX('Docketed Comments'!L:L,MATCH(A90,'Docketed Comments'!H:H,0)),"")</f>
        <v>No MEP R3-47(145.00)</v>
      </c>
      <c r="P90" s="136">
        <f t="shared" si="2"/>
        <v>145</v>
      </c>
      <c r="Q90" s="140" t="s">
        <v>5809</v>
      </c>
      <c r="R90" s="144">
        <v>0</v>
      </c>
    </row>
    <row r="91" spans="1:18" ht="21.95" customHeight="1">
      <c r="A91" s="71" t="s">
        <v>4988</v>
      </c>
      <c r="B91" s="69" t="s">
        <v>4887</v>
      </c>
      <c r="C91" s="70">
        <v>46046</v>
      </c>
      <c r="D91" s="69" t="s">
        <v>4888</v>
      </c>
      <c r="E91" s="69"/>
      <c r="F91" s="65" t="s">
        <v>5701</v>
      </c>
      <c r="G91" s="65"/>
      <c r="H91" s="65" t="str">
        <f>IFERROR(INDEX('Docketed Comments'!C:C,MATCH(A91,'Docketed Comments'!H:H,0))&amp;", "&amp;INDEX('Docketed Comments'!B:B,MATCH(A91,'Docketed Comments'!H:H,0)),"")</f>
        <v>Anthony, Pham</v>
      </c>
      <c r="I91" s="65" t="str">
        <f>IFERROR(INDEX('Docketed Comments'!D:D,MATCH(A91,'Docketed Comments'!H:H,0)),"")</f>
        <v>Peoria</v>
      </c>
      <c r="J91" s="65" t="str">
        <f>IFERROR(INDEX('Docketed Comments'!I:I,MATCH(A91,'Docketed Comments'!H:H,0)),"")</f>
        <v>R-BASICL</v>
      </c>
      <c r="K91" s="65" t="str">
        <f t="shared" si="3"/>
        <v>❌ Not on Best Plan</v>
      </c>
      <c r="L91" s="65" t="str">
        <f>IFERROR(INDEX('Docketed Comments'!F:F,MATCH(A91,'Docketed Comments'!H:H,0)),"")</f>
        <v>Opposed (included news story of indoor heat deaths)</v>
      </c>
      <c r="M91" s="137" t="str">
        <f>IFERROR(HYPERLINK(INDEX('Docketed Comments'!G:G,MATCH(A91,'Docketed Comments'!H:H,0)),"📄 View Docket"),"")</f>
        <v>📄 View Docket</v>
      </c>
      <c r="N91" s="135" t="str">
        <f>IFERROR(INDEX('Docketed Comments'!N:N,MATCH(A91,'Docketed Comments'!H:H,0)),"")</f>
        <v>No</v>
      </c>
      <c r="O91" s="135" t="str">
        <f>IFERROR(INDEX('Docketed Comments'!L:L,MATCH(A91,'Docketed Comments'!H:H,0)),"")</f>
        <v>No MEP R-BASIC($135.72)</v>
      </c>
      <c r="P91" s="136">
        <f t="shared" si="2"/>
        <v>135.72</v>
      </c>
      <c r="Q91" s="140" t="s">
        <v>5809</v>
      </c>
      <c r="R91" s="144">
        <v>0</v>
      </c>
    </row>
    <row r="92" spans="1:18" ht="21.95" customHeight="1">
      <c r="A92" s="71" t="s">
        <v>4989</v>
      </c>
      <c r="B92" s="69" t="s">
        <v>4887</v>
      </c>
      <c r="C92" s="70">
        <v>46046</v>
      </c>
      <c r="D92" s="69" t="s">
        <v>4888</v>
      </c>
      <c r="E92" s="69"/>
      <c r="F92" s="65" t="s">
        <v>5701</v>
      </c>
      <c r="G92" s="65"/>
      <c r="H92" s="65" t="str">
        <f>IFERROR(INDEX('Docketed Comments'!C:C,MATCH(A92,'Docketed Comments'!H:H,0))&amp;", "&amp;INDEX('Docketed Comments'!B:B,MATCH(A92,'Docketed Comments'!H:H,0)),"")</f>
        <v>Stefan, Roberts</v>
      </c>
      <c r="I92" s="65" t="str">
        <f>IFERROR(INDEX('Docketed Comments'!D:D,MATCH(A92,'Docketed Comments'!H:H,0)),"")</f>
        <v>Glendale</v>
      </c>
      <c r="J92" s="65" t="str">
        <f>IFERROR(INDEX('Docketed Comments'!I:I,MATCH(A92,'Docketed Comments'!H:H,0)),"")</f>
        <v>RTOUE47</v>
      </c>
      <c r="K92" s="65" t="str">
        <f t="shared" si="3"/>
        <v>❌ Not on Best Plan</v>
      </c>
      <c r="L92" s="65" t="str">
        <f>IFERROR(INDEX('Docketed Comments'!F:F,MATCH(A92,'Docketed Comments'!H:H,0)),"")</f>
        <v>Form letter</v>
      </c>
      <c r="M92" s="137" t="str">
        <f>IFERROR(HYPERLINK(INDEX('Docketed Comments'!G:G,MATCH(A92,'Docketed Comments'!H:H,0)),"📄 View Docket"),"")</f>
        <v>📄 View Docket</v>
      </c>
      <c r="N92" s="135" t="str">
        <f>IFERROR(INDEX('Docketed Comments'!N:N,MATCH(A92,'Docketed Comments'!H:H,0)),"")</f>
        <v>No</v>
      </c>
      <c r="O92" s="135" t="str">
        <f>IFERROR(INDEX('Docketed Comments'!L:L,MATCH(A92,'Docketed Comments'!H:H,0)),"")</f>
        <v>No MEP R-BASIC ($0.57)</v>
      </c>
      <c r="P92" s="136">
        <f t="shared" si="2"/>
        <v>0.56999999999999995</v>
      </c>
      <c r="Q92" s="140" t="s">
        <v>5809</v>
      </c>
      <c r="R92" s="144">
        <v>0</v>
      </c>
    </row>
    <row r="93" spans="1:18" ht="21.95" customHeight="1">
      <c r="A93" s="71" t="s">
        <v>4990</v>
      </c>
      <c r="B93" s="69" t="s">
        <v>4887</v>
      </c>
      <c r="C93" s="70">
        <v>46060</v>
      </c>
      <c r="D93" s="69" t="s">
        <v>4888</v>
      </c>
      <c r="E93" s="69"/>
      <c r="F93" s="65" t="s">
        <v>5701</v>
      </c>
      <c r="G93" s="65"/>
      <c r="H93" s="65" t="str">
        <f>IFERROR(INDEX('Docketed Comments'!C:C,MATCH(A93,'Docketed Comments'!H:H,0))&amp;", "&amp;INDEX('Docketed Comments'!B:B,MATCH(A93,'Docketed Comments'!H:H,0)),"")</f>
        <v>Diego, Rascon</v>
      </c>
      <c r="I93" s="65" t="str">
        <f>IFERROR(INDEX('Docketed Comments'!D:D,MATCH(A93,'Docketed Comments'!H:H,0)),"")</f>
        <v>Phoenix</v>
      </c>
      <c r="J93" s="65" t="str">
        <f>IFERROR(INDEX('Docketed Comments'!I:I,MATCH(A93,'Docketed Comments'!H:H,0)),"")</f>
        <v>R-BASICL</v>
      </c>
      <c r="K93" s="65" t="str">
        <f t="shared" si="3"/>
        <v>❌ Not on Best Plan</v>
      </c>
      <c r="L93" s="65" t="str">
        <f>IFERROR(INDEX('Docketed Comments'!F:F,MATCH(A93,'Docketed Comments'!H:H,0)),"")</f>
        <v>Form letter</v>
      </c>
      <c r="M93" s="137" t="str">
        <f>IFERROR(HYPERLINK(INDEX('Docketed Comments'!G:G,MATCH(A93,'Docketed Comments'!H:H,0)),"📄 View Docket"),"")</f>
        <v>📄 View Docket</v>
      </c>
      <c r="N93" s="135" t="str">
        <f>IFERROR(INDEX('Docketed Comments'!N:N,MATCH(A93,'Docketed Comments'!H:H,0)),"")</f>
        <v>No</v>
      </c>
      <c r="O93" s="135" t="str">
        <f>IFERROR(INDEX('Docketed Comments'!L:L,MATCH(A93,'Docketed Comments'!H:H,0)),"")</f>
        <v>Not eligible yet (needs 3 months)</v>
      </c>
      <c r="P93" s="136">
        <f t="shared" si="2"/>
        <v>0</v>
      </c>
      <c r="Q93" s="140" t="s">
        <v>5809</v>
      </c>
      <c r="R93" s="144">
        <v>0</v>
      </c>
    </row>
    <row r="94" spans="1:18" ht="21.95" customHeight="1">
      <c r="A94" s="71" t="s">
        <v>4991</v>
      </c>
      <c r="B94" s="69" t="s">
        <v>4887</v>
      </c>
      <c r="C94" s="70">
        <v>46046</v>
      </c>
      <c r="D94" s="69" t="s">
        <v>4888</v>
      </c>
      <c r="E94" s="69"/>
      <c r="F94" s="65" t="s">
        <v>5701</v>
      </c>
      <c r="G94" s="65"/>
      <c r="H94" s="65" t="str">
        <f>IFERROR(INDEX('Docketed Comments'!C:C,MATCH(A94,'Docketed Comments'!H:H,0))&amp;", "&amp;INDEX('Docketed Comments'!B:B,MATCH(A94,'Docketed Comments'!H:H,0)),"")</f>
        <v>Andre, De Simone</v>
      </c>
      <c r="I94" s="65" t="str">
        <f>IFERROR(INDEX('Docketed Comments'!D:D,MATCH(A94,'Docketed Comments'!H:H,0)),"")</f>
        <v>Phoenix</v>
      </c>
      <c r="J94" s="65" t="str">
        <f>IFERROR(INDEX('Docketed Comments'!I:I,MATCH(A94,'Docketed Comments'!H:H,0)),"")</f>
        <v>RTOUE47</v>
      </c>
      <c r="K94" s="65" t="str">
        <f t="shared" si="3"/>
        <v>❌ Not on Best Plan</v>
      </c>
      <c r="L94" s="65" t="str">
        <f>IFERROR(INDEX('Docketed Comments'!F:F,MATCH(A94,'Docketed Comments'!H:H,0)),"")</f>
        <v>Form letter</v>
      </c>
      <c r="M94" s="137" t="str">
        <f>IFERROR(HYPERLINK(INDEX('Docketed Comments'!G:G,MATCH(A94,'Docketed Comments'!H:H,0)),"📄 View Docket"),"")</f>
        <v>📄 View Docket</v>
      </c>
      <c r="N94" s="135" t="str">
        <f>IFERROR(INDEX('Docketed Comments'!N:N,MATCH(A94,'Docketed Comments'!H:H,0)),"")</f>
        <v>No</v>
      </c>
      <c r="O94" s="135" t="str">
        <f>IFERROR(INDEX('Docketed Comments'!L:L,MATCH(A94,'Docketed Comments'!H:H,0)),"")</f>
        <v>No MEP R-BASIC($60.32)</v>
      </c>
      <c r="P94" s="136">
        <f t="shared" si="2"/>
        <v>60.32</v>
      </c>
      <c r="Q94" s="140" t="s">
        <v>5809</v>
      </c>
      <c r="R94" s="144">
        <v>0</v>
      </c>
    </row>
    <row r="95" spans="1:18" ht="21.95" customHeight="1">
      <c r="A95" s="71" t="s">
        <v>4992</v>
      </c>
      <c r="B95" s="69" t="s">
        <v>4887</v>
      </c>
      <c r="C95" s="70">
        <v>46046</v>
      </c>
      <c r="D95" s="69" t="s">
        <v>4888</v>
      </c>
      <c r="E95" s="69"/>
      <c r="F95" s="65" t="s">
        <v>5701</v>
      </c>
      <c r="G95" s="65"/>
      <c r="H95" s="65" t="str">
        <f>IFERROR(INDEX('Docketed Comments'!C:C,MATCH(A95,'Docketed Comments'!H:H,0))&amp;", "&amp;INDEX('Docketed Comments'!B:B,MATCH(A95,'Docketed Comments'!H:H,0)),"")</f>
        <v>Jesse, McWilliams</v>
      </c>
      <c r="I95" s="65" t="str">
        <f>IFERROR(INDEX('Docketed Comments'!D:D,MATCH(A95,'Docketed Comments'!H:H,0)),"")</f>
        <v>Cave Creek</v>
      </c>
      <c r="J95" s="65" t="str">
        <f>IFERROR(INDEX('Docketed Comments'!I:I,MATCH(A95,'Docketed Comments'!H:H,0)),"")</f>
        <v>RTOUE47</v>
      </c>
      <c r="K95" s="65" t="str">
        <f t="shared" si="3"/>
        <v>❌ Not on Best Plan</v>
      </c>
      <c r="L95" s="65" t="str">
        <f>IFERROR(INDEX('Docketed Comments'!F:F,MATCH(A95,'Docketed Comments'!H:H,0)),"")</f>
        <v>Form letter</v>
      </c>
      <c r="M95" s="137" t="str">
        <f>IFERROR(HYPERLINK(INDEX('Docketed Comments'!G:G,MATCH(A95,'Docketed Comments'!H:H,0)),"📄 View Docket"),"")</f>
        <v>📄 View Docket</v>
      </c>
      <c r="N95" s="135" t="str">
        <f>IFERROR(INDEX('Docketed Comments'!N:N,MATCH(A95,'Docketed Comments'!H:H,0)),"")</f>
        <v>No</v>
      </c>
      <c r="O95" s="135" t="str">
        <f>IFERROR(INDEX('Docketed Comments'!L:L,MATCH(A95,'Docketed Comments'!H:H,0)),"")</f>
        <v>No MEP R3-47($631.55)</v>
      </c>
      <c r="P95" s="136">
        <f t="shared" si="2"/>
        <v>631.54999999999995</v>
      </c>
      <c r="Q95" s="140" t="s">
        <v>5809</v>
      </c>
      <c r="R95" s="144">
        <v>0</v>
      </c>
    </row>
    <row r="96" spans="1:18" ht="21.95" customHeight="1">
      <c r="A96" s="71" t="s">
        <v>4993</v>
      </c>
      <c r="B96" s="69" t="s">
        <v>4887</v>
      </c>
      <c r="C96" s="70">
        <v>46060</v>
      </c>
      <c r="D96" s="69" t="s">
        <v>4865</v>
      </c>
      <c r="E96" s="69" t="s">
        <v>4898</v>
      </c>
      <c r="F96" s="65"/>
      <c r="G96" s="65"/>
      <c r="H96" s="65" t="str">
        <f>IFERROR(INDEX('Docketed Comments'!C:C,MATCH(A96,'Docketed Comments'!H:H,0))&amp;", "&amp;INDEX('Docketed Comments'!B:B,MATCH(A96,'Docketed Comments'!H:H,0)),"")</f>
        <v>Dale, Perelman</v>
      </c>
      <c r="I96" s="65" t="str">
        <f>IFERROR(INDEX('Docketed Comments'!D:D,MATCH(A96,'Docketed Comments'!H:H,0)),"")</f>
        <v>Scottsdale</v>
      </c>
      <c r="J96" s="65" t="str">
        <f>IFERROR(INDEX('Docketed Comments'!I:I,MATCH(A96,'Docketed Comments'!H:H,0)),"")</f>
        <v>R3-47</v>
      </c>
      <c r="K96" s="65" t="str">
        <f t="shared" si="3"/>
        <v>❌ Not on Best Plan</v>
      </c>
      <c r="L96" s="65" t="str">
        <f>IFERROR(INDEX('Docketed Comments'!F:F,MATCH(A96,'Docketed Comments'!H:H,0)),"")</f>
        <v>Increase will be very onerous for those on fixed income</v>
      </c>
      <c r="M96" s="137" t="str">
        <f>IFERROR(HYPERLINK(INDEX('Docketed Comments'!G:G,MATCH(A96,'Docketed Comments'!H:H,0)),"📄 View Docket"),"")</f>
        <v>📄 View Docket</v>
      </c>
      <c r="N96" s="135" t="str">
        <f>IFERROR(INDEX('Docketed Comments'!N:N,MATCH(A96,'Docketed Comments'!H:H,0)),"")</f>
        <v>No</v>
      </c>
      <c r="O96" s="135" t="str">
        <f>IFERROR(INDEX('Docketed Comments'!L:L,MATCH(A96,'Docketed Comments'!H:H,0)),"")</f>
        <v>No MEP R-BSIC(32.84)</v>
      </c>
      <c r="P96" s="136">
        <f t="shared" si="2"/>
        <v>32.840000000000003</v>
      </c>
      <c r="Q96" s="140" t="s">
        <v>5809</v>
      </c>
      <c r="R96" s="144">
        <v>0</v>
      </c>
    </row>
    <row r="97" spans="1:18" ht="21.95" customHeight="1">
      <c r="A97" s="71" t="s">
        <v>4994</v>
      </c>
      <c r="B97" s="69" t="s">
        <v>4887</v>
      </c>
      <c r="C97" s="70">
        <v>46046</v>
      </c>
      <c r="D97" s="69" t="s">
        <v>4888</v>
      </c>
      <c r="E97" s="69"/>
      <c r="F97" s="65" t="s">
        <v>5701</v>
      </c>
      <c r="G97" s="65"/>
      <c r="H97" s="65" t="str">
        <f>IFERROR(INDEX('Docketed Comments'!C:C,MATCH(A97,'Docketed Comments'!H:H,0))&amp;", "&amp;INDEX('Docketed Comments'!B:B,MATCH(A97,'Docketed Comments'!H:H,0)),"")</f>
        <v>Steven, Leal</v>
      </c>
      <c r="I97" s="65" t="str">
        <f>IFERROR(INDEX('Docketed Comments'!D:D,MATCH(A97,'Docketed Comments'!H:H,0)),"")</f>
        <v>Phoenix</v>
      </c>
      <c r="J97" s="65" t="str">
        <f>IFERROR(INDEX('Docketed Comments'!I:I,MATCH(A97,'Docketed Comments'!H:H,0)),"")</f>
        <v>R-BASIC</v>
      </c>
      <c r="K97" s="65" t="str">
        <f t="shared" si="3"/>
        <v>❌ Not on Best Plan</v>
      </c>
      <c r="L97" s="65" t="str">
        <f>IFERROR(INDEX('Docketed Comments'!F:F,MATCH(A97,'Docketed Comments'!H:H,0)),"")</f>
        <v>Opposed</v>
      </c>
      <c r="M97" s="137" t="str">
        <f>IFERROR(HYPERLINK(INDEX('Docketed Comments'!G:G,MATCH(A97,'Docketed Comments'!H:H,0)),"📄 View Docket"),"")</f>
        <v>📄 View Docket</v>
      </c>
      <c r="N97" s="135" t="str">
        <f>IFERROR(INDEX('Docketed Comments'!N:N,MATCH(A97,'Docketed Comments'!H:H,0)),"")</f>
        <v>No</v>
      </c>
      <c r="O97" s="135" t="str">
        <f>IFERROR(INDEX('Docketed Comments'!L:L,MATCH(A97,'Docketed Comments'!H:H,0)),"")</f>
        <v>No MEP RTOUE47($18.11)</v>
      </c>
      <c r="P97" s="136">
        <f t="shared" si="2"/>
        <v>18.11</v>
      </c>
      <c r="Q97" s="140" t="s">
        <v>5809</v>
      </c>
      <c r="R97" s="144">
        <v>0</v>
      </c>
    </row>
    <row r="98" spans="1:18" ht="21.95" customHeight="1">
      <c r="A98" s="71" t="s">
        <v>4995</v>
      </c>
      <c r="B98" s="69" t="s">
        <v>4887</v>
      </c>
      <c r="C98" s="70">
        <v>46046</v>
      </c>
      <c r="D98" s="69" t="s">
        <v>4865</v>
      </c>
      <c r="E98" s="69" t="s">
        <v>4897</v>
      </c>
      <c r="F98" s="65" t="s">
        <v>5718</v>
      </c>
      <c r="G98" s="65"/>
      <c r="H98" s="65" t="str">
        <f>IFERROR(INDEX('Docketed Comments'!C:C,MATCH(A98,'Docketed Comments'!H:H,0))&amp;", "&amp;INDEX('Docketed Comments'!B:B,MATCH(A98,'Docketed Comments'!H:H,0)),"")</f>
        <v>Arunkumar, Lakshmipathy</v>
      </c>
      <c r="I98" s="65" t="str">
        <f>IFERROR(INDEX('Docketed Comments'!D:D,MATCH(A98,'Docketed Comments'!H:H,0)),"")</f>
        <v>Peoria</v>
      </c>
      <c r="J98" s="65" t="str">
        <f>IFERROR(INDEX('Docketed Comments'!I:I,MATCH(A98,'Docketed Comments'!H:H,0)),"")</f>
        <v>RCPw/RTOUE47</v>
      </c>
      <c r="K98" s="65" t="str">
        <f t="shared" si="3"/>
        <v>❌ Not on Best Plan</v>
      </c>
      <c r="L98" s="65" t="str">
        <f>IFERROR(INDEX('Docketed Comments'!F:F,MATCH(A98,'Docketed Comments'!H:H,0)),"")</f>
        <v>Form letter</v>
      </c>
      <c r="M98" s="137" t="str">
        <f>IFERROR(HYPERLINK(INDEX('Docketed Comments'!G:G,MATCH(A98,'Docketed Comments'!H:H,0)),"📄 View Docket"),"")</f>
        <v>📄 View Docket</v>
      </c>
      <c r="N98" s="135" t="str">
        <f>IFERROR(INDEX('Docketed Comments'!N:N,MATCH(A98,'Docketed Comments'!H:H,0)),"")</f>
        <v>No</v>
      </c>
      <c r="O98" s="135" t="str">
        <f>IFERROR(INDEX('Docketed Comments'!L:L,MATCH(A98,'Docketed Comments'!H:H,0)),"")</f>
        <v>No MEP R3-47($52.51)</v>
      </c>
      <c r="P98" s="136">
        <f t="shared" si="2"/>
        <v>52.51</v>
      </c>
      <c r="Q98" s="140" t="s">
        <v>5809</v>
      </c>
      <c r="R98" s="144">
        <v>0</v>
      </c>
    </row>
    <row r="99" spans="1:18" ht="21.95" customHeight="1">
      <c r="A99" s="71" t="s">
        <v>4996</v>
      </c>
      <c r="B99" s="69" t="s">
        <v>4887</v>
      </c>
      <c r="C99" s="70">
        <v>46060</v>
      </c>
      <c r="D99" s="69" t="s">
        <v>4865</v>
      </c>
      <c r="E99" s="69"/>
      <c r="F99" s="65" t="s">
        <v>5720</v>
      </c>
      <c r="G99" s="65"/>
      <c r="H99" s="65" t="str">
        <f>IFERROR(INDEX('Docketed Comments'!C:C,MATCH(A99,'Docketed Comments'!H:H,0))&amp;", "&amp;INDEX('Docketed Comments'!B:B,MATCH(A99,'Docketed Comments'!H:H,0)),"")</f>
        <v>Joen, Copeland</v>
      </c>
      <c r="I99" s="65" t="str">
        <f>IFERROR(INDEX('Docketed Comments'!D:D,MATCH(A99,'Docketed Comments'!H:H,0)),"")</f>
        <v>Phoenix</v>
      </c>
      <c r="J99" s="65" t="str">
        <f>IFERROR(INDEX('Docketed Comments'!I:I,MATCH(A99,'Docketed Comments'!H:H,0)),"")</f>
        <v>R-BASICL</v>
      </c>
      <c r="K99" s="65" t="str">
        <f t="shared" si="3"/>
        <v>❌ Not on Best Plan</v>
      </c>
      <c r="L99" s="65" t="str">
        <f>IFERROR(INDEX('Docketed Comments'!F:F,MATCH(A99,'Docketed Comments'!H:H,0)),"")</f>
        <v>Opposed</v>
      </c>
      <c r="M99" s="137" t="str">
        <f>IFERROR(HYPERLINK(INDEX('Docketed Comments'!G:G,MATCH(A99,'Docketed Comments'!H:H,0)),"📄 View Docket"),"")</f>
        <v>📄 View Docket</v>
      </c>
      <c r="N99" s="135" t="str">
        <f>IFERROR(INDEX('Docketed Comments'!N:N,MATCH(A99,'Docketed Comments'!H:H,0)),"")</f>
        <v>No</v>
      </c>
      <c r="O99" s="135" t="str">
        <f>IFERROR(INDEX('Docketed Comments'!L:L,MATCH(A99,'Docketed Comments'!H:H,0)),"")</f>
        <v>No MEP R3-47(498.46)</v>
      </c>
      <c r="P99" s="136">
        <f t="shared" si="2"/>
        <v>498.46</v>
      </c>
      <c r="Q99" s="140" t="s">
        <v>5809</v>
      </c>
      <c r="R99" s="144">
        <v>0</v>
      </c>
    </row>
    <row r="100" spans="1:18" ht="21.95" customHeight="1">
      <c r="A100" s="71" t="s">
        <v>4997</v>
      </c>
      <c r="B100" s="69" t="s">
        <v>4887</v>
      </c>
      <c r="C100" s="70">
        <v>46046</v>
      </c>
      <c r="D100" s="69" t="s">
        <v>4888</v>
      </c>
      <c r="E100" s="69"/>
      <c r="F100" s="65" t="s">
        <v>5701</v>
      </c>
      <c r="G100" s="65"/>
      <c r="H100" s="65" t="str">
        <f>IFERROR(INDEX('Docketed Comments'!C:C,MATCH(A100,'Docketed Comments'!H:H,0))&amp;", "&amp;INDEX('Docketed Comments'!B:B,MATCH(A100,'Docketed Comments'!H:H,0)),"")</f>
        <v>Daniel, Bracken</v>
      </c>
      <c r="I100" s="65" t="str">
        <f>IFERROR(INDEX('Docketed Comments'!D:D,MATCH(A100,'Docketed Comments'!H:H,0)),"")</f>
        <v>Scottsdale</v>
      </c>
      <c r="J100" s="65" t="str">
        <f>IFERROR(INDEX('Docketed Comments'!I:I,MATCH(A100,'Docketed Comments'!H:H,0)),"")</f>
        <v>R-BASICL</v>
      </c>
      <c r="K100" s="65" t="str">
        <f t="shared" si="3"/>
        <v>❌ Not on Best Plan</v>
      </c>
      <c r="L100" s="65" t="str">
        <f>IFERROR(INDEX('Docketed Comments'!F:F,MATCH(A100,'Docketed Comments'!H:H,0)),"")</f>
        <v>Form letter</v>
      </c>
      <c r="M100" s="137" t="str">
        <f>IFERROR(HYPERLINK(INDEX('Docketed Comments'!G:G,MATCH(A100,'Docketed Comments'!H:H,0)),"📄 View Docket"),"")</f>
        <v>📄 View Docket</v>
      </c>
      <c r="N100" s="135" t="str">
        <f>IFERROR(INDEX('Docketed Comments'!N:N,MATCH(A100,'Docketed Comments'!H:H,0)),"")</f>
        <v>No</v>
      </c>
      <c r="O100" s="135" t="str">
        <f>IFERROR(INDEX('Docketed Comments'!L:L,MATCH(A100,'Docketed Comments'!H:H,0)),"")</f>
        <v>No MEP R3-47($150.38)</v>
      </c>
      <c r="P100" s="136">
        <f t="shared" si="2"/>
        <v>150.38</v>
      </c>
      <c r="Q100" s="140" t="s">
        <v>5809</v>
      </c>
      <c r="R100" s="144">
        <v>0</v>
      </c>
    </row>
    <row r="101" spans="1:18" ht="21.95" customHeight="1">
      <c r="A101" s="71" t="s">
        <v>4998</v>
      </c>
      <c r="B101" s="69" t="s">
        <v>4887</v>
      </c>
      <c r="C101" s="70">
        <v>46060</v>
      </c>
      <c r="D101" s="69" t="s">
        <v>4888</v>
      </c>
      <c r="E101" s="69"/>
      <c r="F101" s="65" t="s">
        <v>4930</v>
      </c>
      <c r="G101" s="65"/>
      <c r="H101" s="65" t="str">
        <f>IFERROR(INDEX('Docketed Comments'!C:C,MATCH(A101,'Docketed Comments'!H:H,0))&amp;", "&amp;INDEX('Docketed Comments'!B:B,MATCH(A101,'Docketed Comments'!H:H,0)),"")</f>
        <v>Jessica, Turner-Warren</v>
      </c>
      <c r="I101" s="65" t="str">
        <f>IFERROR(INDEX('Docketed Comments'!D:D,MATCH(A101,'Docketed Comments'!H:H,0)),"")</f>
        <v>Flagstaff</v>
      </c>
      <c r="J101" s="65" t="str">
        <f>IFERROR(INDEX('Docketed Comments'!I:I,MATCH(A101,'Docketed Comments'!H:H,0)),"")</f>
        <v>R-BASIC</v>
      </c>
      <c r="K101" s="65" t="str">
        <f t="shared" si="3"/>
        <v>❌ Not on Best Plan</v>
      </c>
      <c r="L101" s="65" t="str">
        <f>IFERROR(INDEX('Docketed Comments'!F:F,MATCH(A101,'Docketed Comments'!H:H,0)),"")</f>
        <v>Irresponsible</v>
      </c>
      <c r="M101" s="137" t="str">
        <f>IFERROR(HYPERLINK(INDEX('Docketed Comments'!G:G,MATCH(A101,'Docketed Comments'!H:H,0)),"📄 View Docket"),"")</f>
        <v>📄 View Docket</v>
      </c>
      <c r="N101" s="135" t="str">
        <f>IFERROR(INDEX('Docketed Comments'!N:N,MATCH(A101,'Docketed Comments'!H:H,0)),"")</f>
        <v>No</v>
      </c>
      <c r="O101" s="135" t="str">
        <f>IFERROR(INDEX('Docketed Comments'!L:L,MATCH(A101,'Docketed Comments'!H:H,0)),"")</f>
        <v>No MEP R-XS(127.55)</v>
      </c>
      <c r="P101" s="136">
        <f t="shared" si="2"/>
        <v>127.55</v>
      </c>
      <c r="Q101" s="140" t="s">
        <v>5809</v>
      </c>
      <c r="R101" s="144">
        <v>0</v>
      </c>
    </row>
    <row r="102" spans="1:18" ht="21.95" customHeight="1">
      <c r="A102" s="71" t="s">
        <v>4999</v>
      </c>
      <c r="B102" s="69" t="s">
        <v>4887</v>
      </c>
      <c r="C102" s="70">
        <v>46060</v>
      </c>
      <c r="D102" s="69" t="s">
        <v>4888</v>
      </c>
      <c r="E102" s="69"/>
      <c r="F102" s="65" t="s">
        <v>4930</v>
      </c>
      <c r="G102" s="65"/>
      <c r="H102" s="65" t="str">
        <f>IFERROR(INDEX('Docketed Comments'!C:C,MATCH(A102,'Docketed Comments'!H:H,0))&amp;", "&amp;INDEX('Docketed Comments'!B:B,MATCH(A102,'Docketed Comments'!H:H,0)),"")</f>
        <v>Marc, Dinnerstein</v>
      </c>
      <c r="I102" s="65" t="str">
        <f>IFERROR(INDEX('Docketed Comments'!D:D,MATCH(A102,'Docketed Comments'!H:H,0)),"")</f>
        <v>Carefree</v>
      </c>
      <c r="J102" s="65" t="str">
        <f>IFERROR(INDEX('Docketed Comments'!I:I,MATCH(A102,'Docketed Comments'!H:H,0)),"")</f>
        <v>RTOUE47</v>
      </c>
      <c r="K102" s="65" t="str">
        <f t="shared" si="3"/>
        <v>❌ Not on Best Plan</v>
      </c>
      <c r="L102" s="65" t="str">
        <f>IFERROR(INDEX('Docketed Comments'!F:F,MATCH(A102,'Docketed Comments'!H:H,0)),"")</f>
        <v>Already astronomical</v>
      </c>
      <c r="M102" s="137" t="str">
        <f>IFERROR(HYPERLINK(INDEX('Docketed Comments'!G:G,MATCH(A102,'Docketed Comments'!H:H,0)),"📄 View Docket"),"")</f>
        <v>📄 View Docket</v>
      </c>
      <c r="N102" s="135" t="str">
        <f>IFERROR(INDEX('Docketed Comments'!N:N,MATCH(A102,'Docketed Comments'!H:H,0)),"")</f>
        <v>No</v>
      </c>
      <c r="O102" s="135" t="str">
        <f>IFERROR(INDEX('Docketed Comments'!L:L,MATCH(A102,'Docketed Comments'!H:H,0)),"")</f>
        <v>No MEP R3-47(675.81)</v>
      </c>
      <c r="P102" s="136">
        <f t="shared" si="2"/>
        <v>675.81</v>
      </c>
      <c r="Q102" s="140" t="s">
        <v>5809</v>
      </c>
      <c r="R102" s="144">
        <v>0</v>
      </c>
    </row>
    <row r="103" spans="1:18" ht="21.95" customHeight="1">
      <c r="A103" s="71" t="s">
        <v>5000</v>
      </c>
      <c r="B103" s="69" t="s">
        <v>4887</v>
      </c>
      <c r="C103" s="70">
        <v>46046</v>
      </c>
      <c r="D103" s="69" t="s">
        <v>4888</v>
      </c>
      <c r="E103" s="69"/>
      <c r="F103" s="65"/>
      <c r="G103" s="65"/>
      <c r="H103" s="65" t="str">
        <f>IFERROR(INDEX('Docketed Comments'!C:C,MATCH(A103,'Docketed Comments'!H:H,0))&amp;", "&amp;INDEX('Docketed Comments'!B:B,MATCH(A103,'Docketed Comments'!H:H,0)),"")</f>
        <v>Chanel, Vidal</v>
      </c>
      <c r="I103" s="65" t="str">
        <f>IFERROR(INDEX('Docketed Comments'!D:D,MATCH(A103,'Docketed Comments'!H:H,0)),"")</f>
        <v>Tempe</v>
      </c>
      <c r="J103" s="65" t="str">
        <f>IFERROR(INDEX('Docketed Comments'!I:I,MATCH(A103,'Docketed Comments'!H:H,0)),"")</f>
        <v>R-BASIC</v>
      </c>
      <c r="K103" s="65" t="str">
        <f t="shared" si="3"/>
        <v>❌ Not on Best Plan</v>
      </c>
      <c r="L103" s="65" t="str">
        <f>IFERROR(INDEX('Docketed Comments'!F:F,MATCH(A103,'Docketed Comments'!H:H,0)),"")</f>
        <v>Form letter</v>
      </c>
      <c r="M103" s="137" t="str">
        <f>IFERROR(HYPERLINK(INDEX('Docketed Comments'!G:G,MATCH(A103,'Docketed Comments'!H:H,0)),"📄 View Docket"),"")</f>
        <v>📄 View Docket</v>
      </c>
      <c r="N103" s="135" t="str">
        <f>IFERROR(INDEX('Docketed Comments'!N:N,MATCH(A103,'Docketed Comments'!H:H,0)),"")</f>
        <v>No</v>
      </c>
      <c r="O103" s="135" t="str">
        <f>IFERROR(INDEX('Docketed Comments'!L:L,MATCH(A103,'Docketed Comments'!H:H,0)),"")</f>
        <v>No MEP R3-47($70.31)</v>
      </c>
      <c r="P103" s="136">
        <f t="shared" si="2"/>
        <v>70.31</v>
      </c>
      <c r="Q103" s="140" t="s">
        <v>5809</v>
      </c>
      <c r="R103" s="144">
        <v>0</v>
      </c>
    </row>
    <row r="104" spans="1:18" ht="21.95" customHeight="1">
      <c r="A104" s="71" t="s">
        <v>5001</v>
      </c>
      <c r="B104" s="69" t="s">
        <v>4887</v>
      </c>
      <c r="C104" s="70">
        <v>46060</v>
      </c>
      <c r="D104" s="69" t="s">
        <v>4865</v>
      </c>
      <c r="E104" s="69" t="s">
        <v>4898</v>
      </c>
      <c r="F104" s="65" t="s">
        <v>5706</v>
      </c>
      <c r="G104" s="65"/>
      <c r="H104" s="65" t="str">
        <f>IFERROR(INDEX('Docketed Comments'!C:C,MATCH(A104,'Docketed Comments'!H:H,0))&amp;", "&amp;INDEX('Docketed Comments'!B:B,MATCH(A104,'Docketed Comments'!H:H,0)),"")</f>
        <v>Xavier, Armenta</v>
      </c>
      <c r="I104" s="65" t="str">
        <f>IFERROR(INDEX('Docketed Comments'!D:D,MATCH(A104,'Docketed Comments'!H:H,0)),"")</f>
        <v>Phoenix</v>
      </c>
      <c r="J104" s="65" t="str">
        <f>IFERROR(INDEX('Docketed Comments'!I:I,MATCH(A104,'Docketed Comments'!H:H,0)),"")</f>
        <v>RTOUE47</v>
      </c>
      <c r="K104" s="65" t="str">
        <f t="shared" si="3"/>
        <v>❌ Not on Best Plan</v>
      </c>
      <c r="L104" s="65" t="str">
        <f>IFERROR(INDEX('Docketed Comments'!F:F,MATCH(A104,'Docketed Comments'!H:H,0)),"")</f>
        <v>Opposed</v>
      </c>
      <c r="M104" s="137" t="str">
        <f>IFERROR(HYPERLINK(INDEX('Docketed Comments'!G:G,MATCH(A104,'Docketed Comments'!H:H,0)),"📄 View Docket"),"")</f>
        <v>📄 View Docket</v>
      </c>
      <c r="N104" s="135" t="str">
        <f>IFERROR(INDEX('Docketed Comments'!N:N,MATCH(A104,'Docketed Comments'!H:H,0)),"")</f>
        <v>No</v>
      </c>
      <c r="O104" s="135" t="str">
        <f>IFERROR(INDEX('Docketed Comments'!L:L,MATCH(A104,'Docketed Comments'!H:H,0)),"")</f>
        <v>No MEP R3-47(860.51)</v>
      </c>
      <c r="P104" s="136">
        <f t="shared" si="2"/>
        <v>860.51</v>
      </c>
      <c r="Q104" s="140" t="s">
        <v>5809</v>
      </c>
      <c r="R104" s="144">
        <v>0</v>
      </c>
    </row>
    <row r="105" spans="1:18" ht="21.95" customHeight="1">
      <c r="A105" s="71" t="s">
        <v>5002</v>
      </c>
      <c r="B105" s="69" t="s">
        <v>4887</v>
      </c>
      <c r="C105" s="70">
        <v>46046</v>
      </c>
      <c r="D105" s="69" t="s">
        <v>4865</v>
      </c>
      <c r="E105" s="69" t="s">
        <v>4898</v>
      </c>
      <c r="F105" s="65" t="s">
        <v>5719</v>
      </c>
      <c r="G105" s="65"/>
      <c r="H105" s="65" t="str">
        <f>IFERROR(INDEX('Docketed Comments'!C:C,MATCH(A105,'Docketed Comments'!H:H,0))&amp;", "&amp;INDEX('Docketed Comments'!B:B,MATCH(A105,'Docketed Comments'!H:H,0)),"")</f>
        <v>Matt, Horne</v>
      </c>
      <c r="I105" s="65" t="str">
        <f>IFERROR(INDEX('Docketed Comments'!D:D,MATCH(A105,'Docketed Comments'!H:H,0)),"")</f>
        <v>Phoenix</v>
      </c>
      <c r="J105" s="65" t="str">
        <f>IFERROR(INDEX('Docketed Comments'!I:I,MATCH(A105,'Docketed Comments'!H:H,0)),"")</f>
        <v>RTOUE47</v>
      </c>
      <c r="K105" s="65" t="str">
        <f t="shared" si="3"/>
        <v>❌ Not on Best Plan</v>
      </c>
      <c r="L105" s="65" t="str">
        <f>IFERROR(INDEX('Docketed Comments'!F:F,MATCH(A105,'Docketed Comments'!H:H,0)),"")</f>
        <v>Form letter</v>
      </c>
      <c r="M105" s="137" t="str">
        <f>IFERROR(HYPERLINK(INDEX('Docketed Comments'!G:G,MATCH(A105,'Docketed Comments'!H:H,0)),"📄 View Docket"),"")</f>
        <v>📄 View Docket</v>
      </c>
      <c r="N105" s="135" t="str">
        <f>IFERROR(INDEX('Docketed Comments'!N:N,MATCH(A105,'Docketed Comments'!H:H,0)),"")</f>
        <v>No</v>
      </c>
      <c r="O105" s="135" t="str">
        <f>IFERROR(INDEX('Docketed Comments'!L:L,MATCH(A105,'Docketed Comments'!H:H,0)),"")</f>
        <v>No MEP R3-47($84.78)</v>
      </c>
      <c r="P105" s="136">
        <f t="shared" si="2"/>
        <v>84.78</v>
      </c>
      <c r="Q105" s="140" t="s">
        <v>5809</v>
      </c>
      <c r="R105" s="144">
        <v>0</v>
      </c>
    </row>
    <row r="106" spans="1:18" ht="21.95" customHeight="1">
      <c r="A106" s="71" t="s">
        <v>5003</v>
      </c>
      <c r="B106" s="69" t="s">
        <v>4887</v>
      </c>
      <c r="C106" s="70">
        <v>46046</v>
      </c>
      <c r="D106" s="69" t="s">
        <v>4888</v>
      </c>
      <c r="E106" s="69"/>
      <c r="F106" s="65"/>
      <c r="G106" s="65"/>
      <c r="H106" s="65" t="str">
        <f>IFERROR(INDEX('Docketed Comments'!C:C,MATCH(A106,'Docketed Comments'!H:H,0))&amp;", "&amp;INDEX('Docketed Comments'!B:B,MATCH(A106,'Docketed Comments'!H:H,0)),"")</f>
        <v>Jeremy, Hochgraver</v>
      </c>
      <c r="I106" s="65" t="str">
        <f>IFERROR(INDEX('Docketed Comments'!D:D,MATCH(A106,'Docketed Comments'!H:H,0)),"")</f>
        <v>Scottsdale</v>
      </c>
      <c r="J106" s="65" t="str">
        <f>IFERROR(INDEX('Docketed Comments'!I:I,MATCH(A106,'Docketed Comments'!H:H,0)),"")</f>
        <v>RTOUE47</v>
      </c>
      <c r="K106" s="65" t="str">
        <f t="shared" si="3"/>
        <v>❌ Not on Best Plan</v>
      </c>
      <c r="L106" s="65" t="str">
        <f>IFERROR(INDEX('Docketed Comments'!F:F,MATCH(A106,'Docketed Comments'!H:H,0)),"")</f>
        <v>Opposed</v>
      </c>
      <c r="M106" s="137" t="str">
        <f>IFERROR(HYPERLINK(INDEX('Docketed Comments'!G:G,MATCH(A106,'Docketed Comments'!H:H,0)),"📄 View Docket"),"")</f>
        <v>📄 View Docket</v>
      </c>
      <c r="N106" s="135" t="str">
        <f>IFERROR(INDEX('Docketed Comments'!N:N,MATCH(A106,'Docketed Comments'!H:H,0)),"")</f>
        <v>No</v>
      </c>
      <c r="O106" s="135" t="str">
        <f>IFERROR(INDEX('Docketed Comments'!L:L,MATCH(A106,'Docketed Comments'!H:H,0)),"")</f>
        <v>No MEP R3-47($285.34)</v>
      </c>
      <c r="P106" s="136">
        <f t="shared" si="2"/>
        <v>285.33999999999997</v>
      </c>
      <c r="Q106" s="140" t="s">
        <v>5809</v>
      </c>
      <c r="R106" s="144">
        <v>0</v>
      </c>
    </row>
    <row r="107" spans="1:18" ht="21.95" customHeight="1">
      <c r="A107" s="71" t="s">
        <v>2461</v>
      </c>
      <c r="B107" s="69" t="s">
        <v>4887</v>
      </c>
      <c r="C107" s="70">
        <v>46060</v>
      </c>
      <c r="D107" s="69" t="s">
        <v>4888</v>
      </c>
      <c r="E107" s="69"/>
      <c r="F107" s="65" t="s">
        <v>4930</v>
      </c>
      <c r="G107" s="65"/>
      <c r="H107" s="65" t="str">
        <f>IFERROR(INDEX('Docketed Comments'!C:C,MATCH(A107,'Docketed Comments'!H:H,0))&amp;", "&amp;INDEX('Docketed Comments'!B:B,MATCH(A107,'Docketed Comments'!H:H,0)),"")</f>
        <v>Vicki, Simone</v>
      </c>
      <c r="I107" s="65" t="str">
        <f>IFERROR(INDEX('Docketed Comments'!D:D,MATCH(A107,'Docketed Comments'!H:H,0)),"")</f>
        <v>Unknown</v>
      </c>
      <c r="J107" s="65" t="str">
        <f>IFERROR(INDEX('Docketed Comments'!I:I,MATCH(A107,'Docketed Comments'!H:H,0)),"")</f>
        <v>R-BASIC</v>
      </c>
      <c r="K107" s="65" t="str">
        <f t="shared" si="3"/>
        <v>❌ Not on Best Plan</v>
      </c>
      <c r="L107" s="65" t="str">
        <f>IFERROR(INDEX('Docketed Comments'!F:F,MATCH(A107,'Docketed Comments'!H:H,0)),"")</f>
        <v>Do the right thing, deny the rate increase</v>
      </c>
      <c r="M107" s="137" t="str">
        <f>IFERROR(HYPERLINK(INDEX('Docketed Comments'!G:G,MATCH(A107,'Docketed Comments'!H:H,0)),"📄 View Docket"),"")</f>
        <v>📄 View Docket</v>
      </c>
      <c r="N107" s="135" t="str">
        <f>IFERROR(INDEX('Docketed Comments'!N:N,MATCH(A107,'Docketed Comments'!H:H,0)),"")</f>
        <v>No</v>
      </c>
      <c r="O107" s="135" t="str">
        <f>IFERROR(INDEX('Docketed Comments'!L:L,MATCH(A107,'Docketed Comments'!H:H,0)),"")</f>
        <v>No MEP R3-47(35.30)</v>
      </c>
      <c r="P107" s="136">
        <f t="shared" si="2"/>
        <v>35.299999999999997</v>
      </c>
      <c r="Q107" s="140" t="s">
        <v>5809</v>
      </c>
      <c r="R107" s="144">
        <v>0</v>
      </c>
    </row>
    <row r="108" spans="1:18" ht="21.95" customHeight="1">
      <c r="A108" s="71" t="s">
        <v>5004</v>
      </c>
      <c r="B108" s="69" t="s">
        <v>4887</v>
      </c>
      <c r="C108" s="70">
        <v>46046</v>
      </c>
      <c r="D108" s="69" t="s">
        <v>4865</v>
      </c>
      <c r="E108" s="69" t="s">
        <v>4898</v>
      </c>
      <c r="F108" s="65" t="s">
        <v>5710</v>
      </c>
      <c r="G108" s="65"/>
      <c r="H108" s="65" t="str">
        <f>IFERROR(INDEX('Docketed Comments'!C:C,MATCH(A108,'Docketed Comments'!H:H,0))&amp;", "&amp;INDEX('Docketed Comments'!B:B,MATCH(A108,'Docketed Comments'!H:H,0)),"")</f>
        <v>James, Cotton</v>
      </c>
      <c r="I108" s="65" t="str">
        <f>IFERROR(INDEX('Docketed Comments'!D:D,MATCH(A108,'Docketed Comments'!H:H,0)),"")</f>
        <v>Scottsdale</v>
      </c>
      <c r="J108" s="65" t="str">
        <f>IFERROR(INDEX('Docketed Comments'!I:I,MATCH(A108,'Docketed Comments'!H:H,0)),"")</f>
        <v>R3-47</v>
      </c>
      <c r="K108" s="65" t="str">
        <f t="shared" si="3"/>
        <v>❌ Not on Best Plan</v>
      </c>
      <c r="L108" s="65" t="str">
        <f>IFERROR(INDEX('Docketed Comments'!F:F,MATCH(A108,'Docketed Comments'!H:H,0)),"")</f>
        <v>Opposed to outrageous request</v>
      </c>
      <c r="M108" s="137" t="str">
        <f>IFERROR(HYPERLINK(INDEX('Docketed Comments'!G:G,MATCH(A108,'Docketed Comments'!H:H,0)),"📄 View Docket"),"")</f>
        <v>📄 View Docket</v>
      </c>
      <c r="N108" s="135" t="str">
        <f>IFERROR(INDEX('Docketed Comments'!N:N,MATCH(A108,'Docketed Comments'!H:H,0)),"")</f>
        <v>No</v>
      </c>
      <c r="O108" s="135" t="str">
        <f>IFERROR(INDEX('Docketed Comments'!L:L,MATCH(A108,'Docketed Comments'!H:H,0)),"")</f>
        <v>No MEP TOUE($139.14)</v>
      </c>
      <c r="P108" s="136">
        <f t="shared" si="2"/>
        <v>139.13999999999999</v>
      </c>
      <c r="Q108" s="140" t="s">
        <v>5809</v>
      </c>
      <c r="R108" s="144">
        <v>0</v>
      </c>
    </row>
    <row r="109" spans="1:18" ht="21.95" customHeight="1">
      <c r="A109" s="71" t="s">
        <v>5005</v>
      </c>
      <c r="B109" s="69" t="s">
        <v>4887</v>
      </c>
      <c r="C109" s="70">
        <v>46046</v>
      </c>
      <c r="D109" s="69" t="s">
        <v>4865</v>
      </c>
      <c r="E109" s="69" t="s">
        <v>4894</v>
      </c>
      <c r="F109" s="65" t="s">
        <v>5721</v>
      </c>
      <c r="G109" s="65"/>
      <c r="H109" s="65" t="str">
        <f>IFERROR(INDEX('Docketed Comments'!C:C,MATCH(A109,'Docketed Comments'!H:H,0))&amp;", "&amp;INDEX('Docketed Comments'!B:B,MATCH(A109,'Docketed Comments'!H:H,0)),"")</f>
        <v>Srinivascharandeepak, Pydimarry</v>
      </c>
      <c r="I109" s="65" t="str">
        <f>IFERROR(INDEX('Docketed Comments'!D:D,MATCH(A109,'Docketed Comments'!H:H,0)),"")</f>
        <v>Peoria</v>
      </c>
      <c r="J109" s="65" t="str">
        <f>IFERROR(INDEX('Docketed Comments'!I:I,MATCH(A109,'Docketed Comments'!H:H,0)),"")</f>
        <v>RCPw/RTOUE47</v>
      </c>
      <c r="K109" s="65" t="str">
        <f t="shared" si="3"/>
        <v>⚠ N MEP R3-47($240.90)</v>
      </c>
      <c r="L109" s="65" t="str">
        <f>IFERROR(INDEX('Docketed Comments'!F:F,MATCH(A109,'Docketed Comments'!H:H,0)),"")</f>
        <v>Form letter</v>
      </c>
      <c r="M109" s="137" t="str">
        <f>IFERROR(HYPERLINK(INDEX('Docketed Comments'!G:G,MATCH(A109,'Docketed Comments'!H:H,0)),"📄 View Docket"),"")</f>
        <v>📄 View Docket</v>
      </c>
      <c r="N109" s="135" t="str">
        <f>IFERROR(INDEX('Docketed Comments'!N:N,MATCH(A109,'Docketed Comments'!H:H,0)),"")</f>
        <v>No</v>
      </c>
      <c r="O109" s="135" t="str">
        <f>IFERROR(INDEX('Docketed Comments'!L:L,MATCH(A109,'Docketed Comments'!H:H,0)),"")</f>
        <v>N MEP R3-47($240.90)</v>
      </c>
      <c r="P109" s="136">
        <f t="shared" si="2"/>
        <v>240.9</v>
      </c>
      <c r="Q109" s="140" t="s">
        <v>5809</v>
      </c>
      <c r="R109" s="144">
        <v>0</v>
      </c>
    </row>
    <row r="110" spans="1:18" ht="21.95" customHeight="1">
      <c r="A110" s="71" t="s">
        <v>5006</v>
      </c>
      <c r="B110" s="69" t="s">
        <v>4887</v>
      </c>
      <c r="C110" s="70">
        <v>46046</v>
      </c>
      <c r="D110" s="69" t="s">
        <v>4888</v>
      </c>
      <c r="E110" s="69" t="s">
        <v>4898</v>
      </c>
      <c r="F110" s="65"/>
      <c r="G110" s="65"/>
      <c r="H110" s="65" t="str">
        <f>IFERROR(INDEX('Docketed Comments'!C:C,MATCH(A110,'Docketed Comments'!H:H,0))&amp;", "&amp;INDEX('Docketed Comments'!B:B,MATCH(A110,'Docketed Comments'!H:H,0)),"")</f>
        <v>Laura, Newton</v>
      </c>
      <c r="I110" s="65" t="str">
        <f>IFERROR(INDEX('Docketed Comments'!D:D,MATCH(A110,'Docketed Comments'!H:H,0)),"")</f>
        <v>Phoenix</v>
      </c>
      <c r="J110" s="65" t="str">
        <f>IFERROR(INDEX('Docketed Comments'!I:I,MATCH(A110,'Docketed Comments'!H:H,0)),"")</f>
        <v>R-BASICL</v>
      </c>
      <c r="K110" s="65" t="str">
        <f t="shared" si="3"/>
        <v>❌ Not on Best Plan</v>
      </c>
      <c r="L110" s="65" t="str">
        <f>IFERROR(INDEX('Docketed Comments'!F:F,MATCH(A110,'Docketed Comments'!H:H,0)),"")</f>
        <v>Form letter</v>
      </c>
      <c r="M110" s="137" t="str">
        <f>IFERROR(HYPERLINK(INDEX('Docketed Comments'!G:G,MATCH(A110,'Docketed Comments'!H:H,0)),"📄 View Docket"),"")</f>
        <v>📄 View Docket</v>
      </c>
      <c r="N110" s="135" t="str">
        <f>IFERROR(INDEX('Docketed Comments'!N:N,MATCH(A110,'Docketed Comments'!H:H,0)),"")</f>
        <v>No</v>
      </c>
      <c r="O110" s="135" t="str">
        <f>IFERROR(INDEX('Docketed Comments'!L:L,MATCH(A110,'Docketed Comments'!H:H,0)),"")</f>
        <v>No MEP R3-47($65.26)</v>
      </c>
      <c r="P110" s="136">
        <f t="shared" si="2"/>
        <v>65.260000000000005</v>
      </c>
      <c r="Q110" s="140" t="s">
        <v>5809</v>
      </c>
      <c r="R110" s="144">
        <v>0</v>
      </c>
    </row>
    <row r="111" spans="1:18" ht="21.95" customHeight="1">
      <c r="A111" s="71" t="s">
        <v>5007</v>
      </c>
      <c r="B111" s="69" t="s">
        <v>4887</v>
      </c>
      <c r="C111" s="70">
        <v>46046</v>
      </c>
      <c r="D111" s="69" t="s">
        <v>4888</v>
      </c>
      <c r="E111" s="69" t="s">
        <v>4898</v>
      </c>
      <c r="F111" s="65"/>
      <c r="G111" s="65"/>
      <c r="H111" s="65" t="str">
        <f>IFERROR(INDEX('Docketed Comments'!C:C,MATCH(A111,'Docketed Comments'!H:H,0))&amp;", "&amp;INDEX('Docketed Comments'!B:B,MATCH(A111,'Docketed Comments'!H:H,0)),"")</f>
        <v>Celeste, Meiergerd</v>
      </c>
      <c r="I111" s="65" t="str">
        <f>IFERROR(INDEX('Docketed Comments'!D:D,MATCH(A111,'Docketed Comments'!H:H,0)),"")</f>
        <v>Tempe</v>
      </c>
      <c r="J111" s="65" t="str">
        <f>IFERROR(INDEX('Docketed Comments'!I:I,MATCH(A111,'Docketed Comments'!H:H,0)),"")</f>
        <v>RTOUE47</v>
      </c>
      <c r="K111" s="65" t="str">
        <f t="shared" si="3"/>
        <v>❌ Not on Best Plan</v>
      </c>
      <c r="L111" s="65" t="str">
        <f>IFERROR(INDEX('Docketed Comments'!F:F,MATCH(A111,'Docketed Comments'!H:H,0)),"")</f>
        <v>Opposed</v>
      </c>
      <c r="M111" s="137" t="str">
        <f>IFERROR(HYPERLINK(INDEX('Docketed Comments'!G:G,MATCH(A111,'Docketed Comments'!H:H,0)),"📄 View Docket"),"")</f>
        <v>📄 View Docket</v>
      </c>
      <c r="N111" s="135" t="str">
        <f>IFERROR(INDEX('Docketed Comments'!N:N,MATCH(A111,'Docketed Comments'!H:H,0)),"")</f>
        <v>No</v>
      </c>
      <c r="O111" s="135" t="str">
        <f>IFERROR(INDEX('Docketed Comments'!L:L,MATCH(A111,'Docketed Comments'!H:H,0)),"")</f>
        <v>No MEP R3-47($92.94)</v>
      </c>
      <c r="P111" s="136">
        <f t="shared" si="2"/>
        <v>92.94</v>
      </c>
      <c r="Q111" s="140" t="s">
        <v>5809</v>
      </c>
      <c r="R111" s="144">
        <v>0</v>
      </c>
    </row>
    <row r="112" spans="1:18" ht="21.95" customHeight="1">
      <c r="A112" s="71" t="s">
        <v>5008</v>
      </c>
      <c r="B112" s="69" t="s">
        <v>4887</v>
      </c>
      <c r="C112" s="70">
        <v>46046</v>
      </c>
      <c r="D112" s="69" t="s">
        <v>4865</v>
      </c>
      <c r="E112" s="69" t="s">
        <v>4898</v>
      </c>
      <c r="F112" s="65" t="s">
        <v>5722</v>
      </c>
      <c r="G112" s="65"/>
      <c r="H112" s="65" t="str">
        <f>IFERROR(INDEX('Docketed Comments'!C:C,MATCH(A112,'Docketed Comments'!H:H,0))&amp;", "&amp;INDEX('Docketed Comments'!B:B,MATCH(A112,'Docketed Comments'!H:H,0)),"")</f>
        <v>Emily, Chandler</v>
      </c>
      <c r="I112" s="65" t="str">
        <f>IFERROR(INDEX('Docketed Comments'!D:D,MATCH(A112,'Docketed Comments'!H:H,0)),"")</f>
        <v>Phoenix</v>
      </c>
      <c r="J112" s="65" t="str">
        <f>IFERROR(INDEX('Docketed Comments'!I:I,MATCH(A112,'Docketed Comments'!H:H,0)),"")</f>
        <v>R-BASICL</v>
      </c>
      <c r="K112" s="65" t="str">
        <f t="shared" si="3"/>
        <v>❌ Not on Best Plan</v>
      </c>
      <c r="L112" s="65" t="str">
        <f>IFERROR(INDEX('Docketed Comments'!F:F,MATCH(A112,'Docketed Comments'!H:H,0)),"")</f>
        <v>Families have to make difficult choices</v>
      </c>
      <c r="M112" s="137" t="str">
        <f>IFERROR(HYPERLINK(INDEX('Docketed Comments'!G:G,MATCH(A112,'Docketed Comments'!H:H,0)),"📄 View Docket"),"")</f>
        <v>📄 View Docket</v>
      </c>
      <c r="N112" s="135" t="str">
        <f>IFERROR(INDEX('Docketed Comments'!N:N,MATCH(A112,'Docketed Comments'!H:H,0)),"")</f>
        <v>No</v>
      </c>
      <c r="O112" s="135" t="str">
        <f>IFERROR(INDEX('Docketed Comments'!L:L,MATCH(A112,'Docketed Comments'!H:H,0)),"")</f>
        <v>No MEP R-BASIC($175.71)</v>
      </c>
      <c r="P112" s="136">
        <f t="shared" si="2"/>
        <v>175.71</v>
      </c>
      <c r="Q112" s="140" t="s">
        <v>5809</v>
      </c>
      <c r="R112" s="144">
        <v>0</v>
      </c>
    </row>
    <row r="113" spans="1:18" ht="21.95" customHeight="1">
      <c r="A113" s="71" t="s">
        <v>5009</v>
      </c>
      <c r="B113" s="69" t="s">
        <v>4887</v>
      </c>
      <c r="C113" s="70">
        <v>46046</v>
      </c>
      <c r="D113" s="69" t="s">
        <v>4865</v>
      </c>
      <c r="E113" s="69"/>
      <c r="F113" s="65" t="s">
        <v>5714</v>
      </c>
      <c r="G113" s="65"/>
      <c r="H113" s="65" t="str">
        <f>IFERROR(INDEX('Docketed Comments'!C:C,MATCH(A113,'Docketed Comments'!H:H,0))&amp;", "&amp;INDEX('Docketed Comments'!B:B,MATCH(A113,'Docketed Comments'!H:H,0)),"")</f>
        <v>Jose, Deltoro</v>
      </c>
      <c r="I113" s="65" t="str">
        <f>IFERROR(INDEX('Docketed Comments'!D:D,MATCH(A113,'Docketed Comments'!H:H,0)),"")</f>
        <v>Cave Creek</v>
      </c>
      <c r="J113" s="65" t="str">
        <f>IFERROR(INDEX('Docketed Comments'!I:I,MATCH(A113,'Docketed Comments'!H:H,0)),"")</f>
        <v>RTOUE47</v>
      </c>
      <c r="K113" s="65" t="str">
        <f t="shared" si="3"/>
        <v>❌ Not on Best Plan</v>
      </c>
      <c r="L113" s="65" t="str">
        <f>IFERROR(INDEX('Docketed Comments'!F:F,MATCH(A113,'Docketed Comments'!H:H,0)),"")</f>
        <v>Form letter</v>
      </c>
      <c r="M113" s="137" t="str">
        <f>IFERROR(HYPERLINK(INDEX('Docketed Comments'!G:G,MATCH(A113,'Docketed Comments'!H:H,0)),"📄 View Docket"),"")</f>
        <v>📄 View Docket</v>
      </c>
      <c r="N113" s="135" t="str">
        <f>IFERROR(INDEX('Docketed Comments'!N:N,MATCH(A113,'Docketed Comments'!H:H,0)),"")</f>
        <v>No</v>
      </c>
      <c r="O113" s="135" t="str">
        <f>IFERROR(INDEX('Docketed Comments'!L:L,MATCH(A113,'Docketed Comments'!H:H,0)),"")</f>
        <v>No MEP R3-47($253.38)</v>
      </c>
      <c r="P113" s="136">
        <f t="shared" si="2"/>
        <v>253.38</v>
      </c>
      <c r="Q113" s="140" t="s">
        <v>5809</v>
      </c>
      <c r="R113" s="144">
        <v>0</v>
      </c>
    </row>
    <row r="114" spans="1:18" ht="21.95" customHeight="1">
      <c r="A114" s="71" t="s">
        <v>5010</v>
      </c>
      <c r="B114" s="69" t="s">
        <v>4887</v>
      </c>
      <c r="C114" s="70">
        <v>46046</v>
      </c>
      <c r="D114" s="69" t="s">
        <v>4865</v>
      </c>
      <c r="E114" s="69" t="s">
        <v>4898</v>
      </c>
      <c r="F114" s="65"/>
      <c r="G114" s="65"/>
      <c r="H114" s="65" t="str">
        <f>IFERROR(INDEX('Docketed Comments'!C:C,MATCH(A114,'Docketed Comments'!H:H,0))&amp;", "&amp;INDEX('Docketed Comments'!B:B,MATCH(A114,'Docketed Comments'!H:H,0)),"")</f>
        <v>Michael, Jender</v>
      </c>
      <c r="I114" s="65" t="str">
        <f>IFERROR(INDEX('Docketed Comments'!D:D,MATCH(A114,'Docketed Comments'!H:H,0)),"")</f>
        <v>Phoenix</v>
      </c>
      <c r="J114" s="65" t="str">
        <f>IFERROR(INDEX('Docketed Comments'!I:I,MATCH(A114,'Docketed Comments'!H:H,0)),"")</f>
        <v>R-BASIC</v>
      </c>
      <c r="K114" s="65" t="str">
        <f t="shared" si="3"/>
        <v>❌ Not on Best Plan</v>
      </c>
      <c r="L114" s="65" t="str">
        <f>IFERROR(INDEX('Docketed Comments'!F:F,MATCH(A114,'Docketed Comments'!H:H,0)),"")</f>
        <v>Form letter</v>
      </c>
      <c r="M114" s="137" t="str">
        <f>IFERROR(HYPERLINK(INDEX('Docketed Comments'!G:G,MATCH(A114,'Docketed Comments'!H:H,0)),"📄 View Docket"),"")</f>
        <v>📄 View Docket</v>
      </c>
      <c r="N114" s="135" t="str">
        <f>IFERROR(INDEX('Docketed Comments'!N:N,MATCH(A114,'Docketed Comments'!H:H,0)),"")</f>
        <v>No</v>
      </c>
      <c r="O114" s="135" t="str">
        <f>IFERROR(INDEX('Docketed Comments'!L:L,MATCH(A114,'Docketed Comments'!H:H,0)),"")</f>
        <v>No MEP R-XS ($47.79)</v>
      </c>
      <c r="P114" s="136">
        <f t="shared" si="2"/>
        <v>47.79</v>
      </c>
      <c r="Q114" s="140" t="s">
        <v>5809</v>
      </c>
      <c r="R114" s="144">
        <v>0</v>
      </c>
    </row>
    <row r="115" spans="1:18" ht="21.95" customHeight="1">
      <c r="A115" s="71" t="s">
        <v>5011</v>
      </c>
      <c r="B115" s="69" t="s">
        <v>4887</v>
      </c>
      <c r="C115" s="70">
        <v>46046</v>
      </c>
      <c r="D115" s="69" t="s">
        <v>4888</v>
      </c>
      <c r="E115" s="69" t="s">
        <v>4898</v>
      </c>
      <c r="F115" s="65"/>
      <c r="G115" s="65"/>
      <c r="H115" s="65" t="str">
        <f>IFERROR(INDEX('Docketed Comments'!C:C,MATCH(A115,'Docketed Comments'!H:H,0))&amp;", "&amp;INDEX('Docketed Comments'!B:B,MATCH(A115,'Docketed Comments'!H:H,0)),"")</f>
        <v>Marlenne, Ferrales</v>
      </c>
      <c r="I115" s="65" t="str">
        <f>IFERROR(INDEX('Docketed Comments'!D:D,MATCH(A115,'Docketed Comments'!H:H,0)),"")</f>
        <v>Phoenix</v>
      </c>
      <c r="J115" s="65" t="str">
        <f>IFERROR(INDEX('Docketed Comments'!I:I,MATCH(A115,'Docketed Comments'!H:H,0)),"")</f>
        <v>RTOUE47</v>
      </c>
      <c r="K115" s="65" t="str">
        <f t="shared" si="3"/>
        <v>❌ Not on Best Plan</v>
      </c>
      <c r="L115" s="65" t="str">
        <f>IFERROR(INDEX('Docketed Comments'!F:F,MATCH(A115,'Docketed Comments'!H:H,0)),"")</f>
        <v>Form letter</v>
      </c>
      <c r="M115" s="137" t="str">
        <f>IFERROR(HYPERLINK(INDEX('Docketed Comments'!G:G,MATCH(A115,'Docketed Comments'!H:H,0)),"📄 View Docket"),"")</f>
        <v>📄 View Docket</v>
      </c>
      <c r="N115" s="135" t="str">
        <f>IFERROR(INDEX('Docketed Comments'!N:N,MATCH(A115,'Docketed Comments'!H:H,0)),"")</f>
        <v>No</v>
      </c>
      <c r="O115" s="135" t="str">
        <f>IFERROR(INDEX('Docketed Comments'!L:L,MATCH(A115,'Docketed Comments'!H:H,0)),"")</f>
        <v>No MEP R-BASIC ($18.51)</v>
      </c>
      <c r="P115" s="136">
        <f t="shared" si="2"/>
        <v>18.510000000000002</v>
      </c>
      <c r="Q115" s="140" t="s">
        <v>5809</v>
      </c>
      <c r="R115" s="144">
        <v>0</v>
      </c>
    </row>
    <row r="116" spans="1:18" ht="21.95" customHeight="1">
      <c r="A116" s="71" t="s">
        <v>5012</v>
      </c>
      <c r="B116" s="69" t="s">
        <v>4887</v>
      </c>
      <c r="C116" s="70">
        <v>46046</v>
      </c>
      <c r="D116" s="69" t="s">
        <v>4888</v>
      </c>
      <c r="E116" s="69" t="s">
        <v>4909</v>
      </c>
      <c r="F116" s="65"/>
      <c r="G116" s="65"/>
      <c r="H116" s="65" t="str">
        <f>IFERROR(INDEX('Docketed Comments'!C:C,MATCH(A116,'Docketed Comments'!H:H,0))&amp;", "&amp;INDEX('Docketed Comments'!B:B,MATCH(A116,'Docketed Comments'!H:H,0)),"")</f>
        <v>Harikrishna, Pesala</v>
      </c>
      <c r="I116" s="65" t="str">
        <f>IFERROR(INDEX('Docketed Comments'!D:D,MATCH(A116,'Docketed Comments'!H:H,0)),"")</f>
        <v>Peoria</v>
      </c>
      <c r="J116" s="65" t="str">
        <f>IFERROR(INDEX('Docketed Comments'!I:I,MATCH(A116,'Docketed Comments'!H:H,0)),"")</f>
        <v>RCPw/RTOUE47</v>
      </c>
      <c r="K116" s="65" t="str">
        <f t="shared" si="3"/>
        <v>❌ Not on Best Plan</v>
      </c>
      <c r="L116" s="65" t="str">
        <f>IFERROR(INDEX('Docketed Comments'!F:F,MATCH(A116,'Docketed Comments'!H:H,0)),"")</f>
        <v>rake hike is not good</v>
      </c>
      <c r="M116" s="137" t="str">
        <f>IFERROR(HYPERLINK(INDEX('Docketed Comments'!G:G,MATCH(A116,'Docketed Comments'!H:H,0)),"📄 View Docket"),"")</f>
        <v>📄 View Docket</v>
      </c>
      <c r="N116" s="135" t="str">
        <f>IFERROR(INDEX('Docketed Comments'!N:N,MATCH(A116,'Docketed Comments'!H:H,0)),"")</f>
        <v>No</v>
      </c>
      <c r="O116" s="135" t="str">
        <f>IFERROR(INDEX('Docketed Comments'!L:L,MATCH(A116,'Docketed Comments'!H:H,0)),"")</f>
        <v>No MEP R3-47($83.41)</v>
      </c>
      <c r="P116" s="136">
        <f t="shared" si="2"/>
        <v>83.41</v>
      </c>
      <c r="Q116" s="140" t="s">
        <v>5809</v>
      </c>
      <c r="R116" s="144">
        <v>0</v>
      </c>
    </row>
    <row r="117" spans="1:18" ht="21.95" customHeight="1">
      <c r="A117" s="71" t="s">
        <v>5013</v>
      </c>
      <c r="B117" s="69" t="s">
        <v>4887</v>
      </c>
      <c r="C117" s="70">
        <v>46060</v>
      </c>
      <c r="D117" s="69" t="s">
        <v>4865</v>
      </c>
      <c r="E117" s="69" t="s">
        <v>4898</v>
      </c>
      <c r="F117" s="65"/>
      <c r="G117" s="65"/>
      <c r="H117" s="65" t="str">
        <f>IFERROR(INDEX('Docketed Comments'!C:C,MATCH(A117,'Docketed Comments'!H:H,0))&amp;", "&amp;INDEX('Docketed Comments'!B:B,MATCH(A117,'Docketed Comments'!H:H,0)),"")</f>
        <v>Daniel, Lee</v>
      </c>
      <c r="I117" s="65" t="str">
        <f>IFERROR(INDEX('Docketed Comments'!D:D,MATCH(A117,'Docketed Comments'!H:H,0)),"")</f>
        <v>Scottsdale</v>
      </c>
      <c r="J117" s="65" t="str">
        <f>IFERROR(INDEX('Docketed Comments'!I:I,MATCH(A117,'Docketed Comments'!H:H,0)),"")</f>
        <v>R-XS</v>
      </c>
      <c r="K117" s="65" t="str">
        <f t="shared" si="3"/>
        <v>❌ Not on Best Plan</v>
      </c>
      <c r="L117" s="65" t="str">
        <f>IFERROR(INDEX('Docketed Comments'!F:F,MATCH(A117,'Docketed Comments'!H:H,0)),"")</f>
        <v>Form letter</v>
      </c>
      <c r="M117" s="137" t="str">
        <f>IFERROR(HYPERLINK(INDEX('Docketed Comments'!G:G,MATCH(A117,'Docketed Comments'!H:H,0)),"📄 View Docket"),"")</f>
        <v>📄 View Docket</v>
      </c>
      <c r="N117" s="135" t="str">
        <f>IFERROR(INDEX('Docketed Comments'!N:N,MATCH(A117,'Docketed Comments'!H:H,0)),"")</f>
        <v>No</v>
      </c>
      <c r="O117" s="135" t="str">
        <f>IFERROR(INDEX('Docketed Comments'!L:L,MATCH(A117,'Docketed Comments'!H:H,0)),"")</f>
        <v>Not eligible yet (needs 3 months)</v>
      </c>
      <c r="P117" s="136">
        <f t="shared" si="2"/>
        <v>0</v>
      </c>
      <c r="Q117" s="140" t="s">
        <v>5809</v>
      </c>
      <c r="R117" s="144">
        <v>0</v>
      </c>
    </row>
    <row r="118" spans="1:18" ht="21.95" customHeight="1">
      <c r="A118" s="71" t="s">
        <v>5014</v>
      </c>
      <c r="B118" s="69" t="s">
        <v>4887</v>
      </c>
      <c r="C118" s="70">
        <v>46039</v>
      </c>
      <c r="D118" s="69" t="s">
        <v>4888</v>
      </c>
      <c r="E118" s="69"/>
      <c r="F118" s="65"/>
      <c r="G118" s="65"/>
      <c r="H118" s="65" t="str">
        <f>IFERROR(INDEX('Docketed Comments'!C:C,MATCH(A118,'Docketed Comments'!H:H,0))&amp;", "&amp;INDEX('Docketed Comments'!B:B,MATCH(A118,'Docketed Comments'!H:H,0)),"")</f>
        <v>Rajesh, Kulandaivadivelu</v>
      </c>
      <c r="I118" s="65" t="str">
        <f>IFERROR(INDEX('Docketed Comments'!D:D,MATCH(A118,'Docketed Comments'!H:H,0)),"")</f>
        <v>Peoria</v>
      </c>
      <c r="J118" s="65" t="str">
        <f>IFERROR(INDEX('Docketed Comments'!I:I,MATCH(A118,'Docketed Comments'!H:H,0)),"")</f>
        <v>R-BASICL</v>
      </c>
      <c r="K118" s="65" t="str">
        <f t="shared" si="3"/>
        <v>❌ Not on Best Plan</v>
      </c>
      <c r="L118" s="65" t="str">
        <f>IFERROR(INDEX('Docketed Comments'!F:F,MATCH(A118,'Docketed Comments'!H:H,0)),"")</f>
        <v>Form letter</v>
      </c>
      <c r="M118" s="137" t="str">
        <f>IFERROR(HYPERLINK(INDEX('Docketed Comments'!G:G,MATCH(A118,'Docketed Comments'!H:H,0)),"📄 View Docket"),"")</f>
        <v>📄 View Docket</v>
      </c>
      <c r="N118" s="135" t="str">
        <f>IFERROR(INDEX('Docketed Comments'!N:N,MATCH(A118,'Docketed Comments'!H:H,0)),"")</f>
        <v>No</v>
      </c>
      <c r="O118" s="135" t="str">
        <f>IFERROR(INDEX('Docketed Comments'!L:L,MATCH(A118,'Docketed Comments'!H:H,0)),"")</f>
        <v>No MEP RTOUE47($181.10)</v>
      </c>
      <c r="P118" s="136">
        <f t="shared" si="2"/>
        <v>181.1</v>
      </c>
      <c r="Q118" s="140" t="s">
        <v>5809</v>
      </c>
      <c r="R118" s="144">
        <v>0</v>
      </c>
    </row>
    <row r="119" spans="1:18" ht="21.95" customHeight="1">
      <c r="A119" s="71" t="s">
        <v>2122</v>
      </c>
      <c r="B119" s="69" t="s">
        <v>4887</v>
      </c>
      <c r="C119" s="70">
        <v>46060</v>
      </c>
      <c r="D119" s="69" t="s">
        <v>4888</v>
      </c>
      <c r="E119" s="69"/>
      <c r="F119" s="65" t="s">
        <v>4938</v>
      </c>
      <c r="G119" s="65"/>
      <c r="H119" s="65" t="str">
        <f>IFERROR(INDEX('Docketed Comments'!C:C,MATCH(A119,'Docketed Comments'!H:H,0))&amp;", "&amp;INDEX('Docketed Comments'!B:B,MATCH(A119,'Docketed Comments'!H:H,0)),"")</f>
        <v>Diego, Ezrre</v>
      </c>
      <c r="I119" s="65" t="str">
        <f>IFERROR(INDEX('Docketed Comments'!D:D,MATCH(A119,'Docketed Comments'!H:H,0)),"")</f>
        <v>Phoenix</v>
      </c>
      <c r="J119" s="65" t="str">
        <f>IFERROR(INDEX('Docketed Comments'!I:I,MATCH(A119,'Docketed Comments'!H:H,0)),"")</f>
        <v>R3-47</v>
      </c>
      <c r="K119" s="65" t="str">
        <f t="shared" si="3"/>
        <v>❌ Not on Best Plan</v>
      </c>
      <c r="L119" s="65" t="str">
        <f>IFERROR(INDEX('Docketed Comments'!F:F,MATCH(A119,'Docketed Comments'!H:H,0)),"")</f>
        <v>Form letter</v>
      </c>
      <c r="M119" s="137" t="str">
        <f>IFERROR(HYPERLINK(INDEX('Docketed Comments'!G:G,MATCH(A119,'Docketed Comments'!H:H,0)),"📄 View Docket"),"")</f>
        <v>📄 View Docket</v>
      </c>
      <c r="N119" s="135" t="str">
        <f>IFERROR(INDEX('Docketed Comments'!N:N,MATCH(A119,'Docketed Comments'!H:H,0)),"")</f>
        <v>No</v>
      </c>
      <c r="O119" s="135" t="str">
        <f>IFERROR(INDEX('Docketed Comments'!L:L,MATCH(A119,'Docketed Comments'!H:H,0)),"")</f>
        <v>Not eligible yet (needs 3 months)</v>
      </c>
      <c r="P119" s="136">
        <f t="shared" si="2"/>
        <v>0</v>
      </c>
      <c r="Q119" s="140" t="s">
        <v>5809</v>
      </c>
      <c r="R119" s="144">
        <v>0</v>
      </c>
    </row>
    <row r="120" spans="1:18" ht="21.95" customHeight="1">
      <c r="A120" s="71" t="s">
        <v>5015</v>
      </c>
      <c r="B120" s="69" t="s">
        <v>4887</v>
      </c>
      <c r="C120" s="70">
        <v>46039</v>
      </c>
      <c r="D120" s="69" t="s">
        <v>4865</v>
      </c>
      <c r="E120" s="69" t="s">
        <v>4898</v>
      </c>
      <c r="F120" s="65" t="s">
        <v>5699</v>
      </c>
      <c r="G120" s="65"/>
      <c r="H120" s="65" t="str">
        <f>IFERROR(INDEX('Docketed Comments'!C:C,MATCH(A120,'Docketed Comments'!H:H,0))&amp;", "&amp;INDEX('Docketed Comments'!B:B,MATCH(A120,'Docketed Comments'!H:H,0)),"")</f>
        <v>Bevan, Greibesland</v>
      </c>
      <c r="I120" s="65" t="str">
        <f>IFERROR(INDEX('Docketed Comments'!D:D,MATCH(A120,'Docketed Comments'!H:H,0)),"")</f>
        <v>Peoria</v>
      </c>
      <c r="J120" s="65" t="str">
        <f>IFERROR(INDEX('Docketed Comments'!I:I,MATCH(A120,'Docketed Comments'!H:H,0)),"")</f>
        <v>RTOUE47</v>
      </c>
      <c r="K120" s="65" t="str">
        <f t="shared" si="3"/>
        <v>❌ Not on Best Plan</v>
      </c>
      <c r="L120" s="65" t="str">
        <f>IFERROR(INDEX('Docketed Comments'!F:F,MATCH(A120,'Docketed Comments'!H:H,0)),"")</f>
        <v>Form letter</v>
      </c>
      <c r="M120" s="137" t="str">
        <f>IFERROR(HYPERLINK(INDEX('Docketed Comments'!G:G,MATCH(A120,'Docketed Comments'!H:H,0)),"📄 View Docket"),"")</f>
        <v>📄 View Docket</v>
      </c>
      <c r="N120" s="135" t="str">
        <f>IFERROR(INDEX('Docketed Comments'!N:N,MATCH(A120,'Docketed Comments'!H:H,0)),"")</f>
        <v>No</v>
      </c>
      <c r="O120" s="135" t="str">
        <f>IFERROR(INDEX('Docketed Comments'!L:L,MATCH(A120,'Docketed Comments'!H:H,0)),"")</f>
        <v>No MEP R3-47($138.04)</v>
      </c>
      <c r="P120" s="136">
        <f t="shared" si="2"/>
        <v>138.04</v>
      </c>
      <c r="Q120" s="140" t="s">
        <v>5809</v>
      </c>
      <c r="R120" s="144">
        <v>0</v>
      </c>
    </row>
    <row r="121" spans="1:18" ht="21.95" customHeight="1">
      <c r="A121" s="71" t="s">
        <v>5016</v>
      </c>
      <c r="B121" s="69" t="s">
        <v>4887</v>
      </c>
      <c r="C121" s="70">
        <v>46039</v>
      </c>
      <c r="D121" s="69" t="s">
        <v>4888</v>
      </c>
      <c r="E121" s="69"/>
      <c r="F121" s="65"/>
      <c r="G121" s="65"/>
      <c r="H121" s="65" t="str">
        <f>IFERROR(INDEX('Docketed Comments'!C:C,MATCH(A121,'Docketed Comments'!H:H,0))&amp;", "&amp;INDEX('Docketed Comments'!B:B,MATCH(A121,'Docketed Comments'!H:H,0)),"")</f>
        <v>Miranda, Litton</v>
      </c>
      <c r="I121" s="65" t="str">
        <f>IFERROR(INDEX('Docketed Comments'!D:D,MATCH(A121,'Docketed Comments'!H:H,0)),"")</f>
        <v>Youngtown</v>
      </c>
      <c r="J121" s="65" t="str">
        <f>IFERROR(INDEX('Docketed Comments'!I:I,MATCH(A121,'Docketed Comments'!H:H,0)),"")</f>
        <v>RTOUE47</v>
      </c>
      <c r="K121" s="65" t="str">
        <f t="shared" si="3"/>
        <v>❌ Not on Best Plan</v>
      </c>
      <c r="L121" s="65" t="str">
        <f>IFERROR(INDEX('Docketed Comments'!F:F,MATCH(A121,'Docketed Comments'!H:H,0)),"")</f>
        <v>Form letter</v>
      </c>
      <c r="M121" s="137" t="str">
        <f>IFERROR(HYPERLINK(INDEX('Docketed Comments'!G:G,MATCH(A121,'Docketed Comments'!H:H,0)),"📄 View Docket"),"")</f>
        <v>📄 View Docket</v>
      </c>
      <c r="N121" s="135" t="str">
        <f>IFERROR(INDEX('Docketed Comments'!N:N,MATCH(A121,'Docketed Comments'!H:H,0)),"")</f>
        <v>No</v>
      </c>
      <c r="O121" s="135" t="str">
        <f>IFERROR(INDEX('Docketed Comments'!L:L,MATCH(A121,'Docketed Comments'!H:H,0)),"")</f>
        <v>No MEP R3-47 ($110.70)</v>
      </c>
      <c r="P121" s="136">
        <f t="shared" si="2"/>
        <v>110.7</v>
      </c>
      <c r="Q121" s="140" t="s">
        <v>5809</v>
      </c>
      <c r="R121" s="144">
        <v>0</v>
      </c>
    </row>
    <row r="122" spans="1:18" ht="21.95" customHeight="1">
      <c r="A122" s="71" t="s">
        <v>5017</v>
      </c>
      <c r="B122" s="69" t="s">
        <v>4887</v>
      </c>
      <c r="C122" s="70">
        <v>46025</v>
      </c>
      <c r="D122" s="69" t="s">
        <v>4865</v>
      </c>
      <c r="E122" s="69"/>
      <c r="F122" s="65" t="s">
        <v>5723</v>
      </c>
      <c r="G122" s="65"/>
      <c r="H122" s="65" t="str">
        <f>IFERROR(INDEX('Docketed Comments'!C:C,MATCH(A122,'Docketed Comments'!H:H,0))&amp;", "&amp;INDEX('Docketed Comments'!B:B,MATCH(A122,'Docketed Comments'!H:H,0)),"")</f>
        <v>Mary Ann, Watson</v>
      </c>
      <c r="I122" s="65" t="str">
        <f>IFERROR(INDEX('Docketed Comments'!D:D,MATCH(A122,'Docketed Comments'!H:H,0)),"")</f>
        <v>Sun City West</v>
      </c>
      <c r="J122" s="65" t="str">
        <f>IFERROR(INDEX('Docketed Comments'!I:I,MATCH(A122,'Docketed Comments'!H:H,0)),"")</f>
        <v>RTOUE47</v>
      </c>
      <c r="K122" s="65" t="str">
        <f t="shared" si="3"/>
        <v>❌ Not on Best Plan</v>
      </c>
      <c r="L122" s="65" t="str">
        <f>IFERROR(INDEX('Docketed Comments'!F:F,MATCH(A122,'Docketed Comments'!H:H,0)),"")</f>
        <v>Too much too often</v>
      </c>
      <c r="M122" s="137" t="str">
        <f>IFERROR(HYPERLINK(INDEX('Docketed Comments'!G:G,MATCH(A122,'Docketed Comments'!H:H,0)),"📄 View Docket"),"")</f>
        <v>📄 View Docket</v>
      </c>
      <c r="N122" s="135" t="str">
        <f>IFERROR(INDEX('Docketed Comments'!N:N,MATCH(A122,'Docketed Comments'!H:H,0)),"")</f>
        <v>No</v>
      </c>
      <c r="O122" s="135" t="str">
        <f>IFERROR(INDEX('Docketed Comments'!L:L,MATCH(A122,'Docketed Comments'!H:H,0)),"")</f>
        <v>No MEP R3-47($130.18)</v>
      </c>
      <c r="P122" s="136">
        <f t="shared" si="2"/>
        <v>130.18</v>
      </c>
      <c r="Q122" s="140" t="s">
        <v>5809</v>
      </c>
      <c r="R122" s="144">
        <v>0</v>
      </c>
    </row>
    <row r="123" spans="1:18" ht="21.95" customHeight="1">
      <c r="A123" s="71" t="s">
        <v>5018</v>
      </c>
      <c r="B123" s="69" t="s">
        <v>4887</v>
      </c>
      <c r="C123" s="70">
        <v>46025</v>
      </c>
      <c r="D123" s="69" t="s">
        <v>4865</v>
      </c>
      <c r="E123" s="69"/>
      <c r="F123" s="65" t="s">
        <v>4938</v>
      </c>
      <c r="G123" s="65"/>
      <c r="H123" s="65" t="str">
        <f>IFERROR(INDEX('Docketed Comments'!C:C,MATCH(A123,'Docketed Comments'!H:H,0))&amp;", "&amp;INDEX('Docketed Comments'!B:B,MATCH(A123,'Docketed Comments'!H:H,0)),"")</f>
        <v>Atul, Bahrie</v>
      </c>
      <c r="I123" s="65" t="str">
        <f>IFERROR(INDEX('Docketed Comments'!D:D,MATCH(A123,'Docketed Comments'!H:H,0)),"")</f>
        <v>Phoenix</v>
      </c>
      <c r="J123" s="65" t="str">
        <f>IFERROR(INDEX('Docketed Comments'!I:I,MATCH(A123,'Docketed Comments'!H:H,0)),"")</f>
        <v>R-BASICL</v>
      </c>
      <c r="K123" s="65" t="str">
        <f t="shared" si="3"/>
        <v>❌ Not on Best Plan</v>
      </c>
      <c r="L123" s="65" t="str">
        <f>IFERROR(INDEX('Docketed Comments'!F:F,MATCH(A123,'Docketed Comments'!H:H,0)),"")</f>
        <v>Form letter</v>
      </c>
      <c r="M123" s="137" t="str">
        <f>IFERROR(HYPERLINK(INDEX('Docketed Comments'!G:G,MATCH(A123,'Docketed Comments'!H:H,0)),"📄 View Docket"),"")</f>
        <v>📄 View Docket</v>
      </c>
      <c r="N123" s="135" t="str">
        <f>IFERROR(INDEX('Docketed Comments'!N:N,MATCH(A123,'Docketed Comments'!H:H,0)),"")</f>
        <v>No</v>
      </c>
      <c r="O123" s="135" t="str">
        <f>IFERROR(INDEX('Docketed Comments'!L:L,MATCH(A123,'Docketed Comments'!H:H,0)),"")</f>
        <v>No MEP R3-47($481.47)</v>
      </c>
      <c r="P123" s="136">
        <f t="shared" si="2"/>
        <v>481.47</v>
      </c>
      <c r="Q123" s="140" t="s">
        <v>5809</v>
      </c>
      <c r="R123" s="144">
        <v>0</v>
      </c>
    </row>
    <row r="124" spans="1:18" ht="21.95" customHeight="1">
      <c r="A124" s="71" t="s">
        <v>5019</v>
      </c>
      <c r="B124" s="69" t="s">
        <v>4887</v>
      </c>
      <c r="C124" s="70">
        <v>46025</v>
      </c>
      <c r="D124" s="69" t="s">
        <v>4888</v>
      </c>
      <c r="E124" s="69"/>
      <c r="F124" s="65"/>
      <c r="G124" s="65"/>
      <c r="H124" s="65" t="str">
        <f>IFERROR(INDEX('Docketed Comments'!C:C,MATCH(A124,'Docketed Comments'!H:H,0))&amp;", "&amp;INDEX('Docketed Comments'!B:B,MATCH(A124,'Docketed Comments'!H:H,0)),"")</f>
        <v>Andrew, Pludowski</v>
      </c>
      <c r="I124" s="65" t="str">
        <f>IFERROR(INDEX('Docketed Comments'!D:D,MATCH(A124,'Docketed Comments'!H:H,0)),"")</f>
        <v>Surprise</v>
      </c>
      <c r="J124" s="65" t="str">
        <f>IFERROR(INDEX('Docketed Comments'!I:I,MATCH(A124,'Docketed Comments'!H:H,0)),"")</f>
        <v>RTOUE47</v>
      </c>
      <c r="K124" s="65" t="str">
        <f t="shared" si="3"/>
        <v>❌ Not on Best Plan</v>
      </c>
      <c r="L124" s="65" t="str">
        <f>IFERROR(INDEX('Docketed Comments'!F:F,MATCH(A124,'Docketed Comments'!H:H,0)),"")</f>
        <v>Increase approved last year</v>
      </c>
      <c r="M124" s="137" t="str">
        <f>IFERROR(HYPERLINK(INDEX('Docketed Comments'!G:G,MATCH(A124,'Docketed Comments'!H:H,0)),"📄 View Docket"),"")</f>
        <v>📄 View Docket</v>
      </c>
      <c r="N124" s="135" t="str">
        <f>IFERROR(INDEX('Docketed Comments'!N:N,MATCH(A124,'Docketed Comments'!H:H,0)),"")</f>
        <v>No</v>
      </c>
      <c r="O124" s="135" t="str">
        <f>IFERROR(INDEX('Docketed Comments'!L:L,MATCH(A124,'Docketed Comments'!H:H,0)),"")</f>
        <v>No MRP R3-47($305.33)</v>
      </c>
      <c r="P124" s="136">
        <f t="shared" si="2"/>
        <v>305.33</v>
      </c>
      <c r="Q124" s="140" t="s">
        <v>5809</v>
      </c>
      <c r="R124" s="144">
        <v>0</v>
      </c>
    </row>
    <row r="125" spans="1:18" ht="21.95" customHeight="1">
      <c r="A125" s="71" t="s">
        <v>5020</v>
      </c>
      <c r="B125" s="69" t="s">
        <v>4887</v>
      </c>
      <c r="C125" s="70">
        <v>46025</v>
      </c>
      <c r="D125" s="69" t="s">
        <v>4865</v>
      </c>
      <c r="E125" s="69" t="s">
        <v>4898</v>
      </c>
      <c r="F125" s="65" t="s">
        <v>5724</v>
      </c>
      <c r="G125" s="65"/>
      <c r="H125" s="65" t="str">
        <f>IFERROR(INDEX('Docketed Comments'!C:C,MATCH(A125,'Docketed Comments'!H:H,0))&amp;", "&amp;INDEX('Docketed Comments'!B:B,MATCH(A125,'Docketed Comments'!H:H,0)),"")</f>
        <v>Kirsten, Nicholson</v>
      </c>
      <c r="I125" s="65" t="str">
        <f>IFERROR(INDEX('Docketed Comments'!D:D,MATCH(A125,'Docketed Comments'!H:H,0)),"")</f>
        <v>Phoenix</v>
      </c>
      <c r="J125" s="65" t="str">
        <f>IFERROR(INDEX('Docketed Comments'!I:I,MATCH(A125,'Docketed Comments'!H:H,0)),"")</f>
        <v>R-BASIC</v>
      </c>
      <c r="K125" s="65" t="str">
        <f t="shared" si="3"/>
        <v>❌ Not on Best Plan</v>
      </c>
      <c r="L125" s="65" t="str">
        <f>IFERROR(INDEX('Docketed Comments'!F:F,MATCH(A125,'Docketed Comments'!H:H,0)),"")</f>
        <v>Form letter</v>
      </c>
      <c r="M125" s="137" t="str">
        <f>IFERROR(HYPERLINK(INDEX('Docketed Comments'!G:G,MATCH(A125,'Docketed Comments'!H:H,0)),"📄 View Docket"),"")</f>
        <v>📄 View Docket</v>
      </c>
      <c r="N125" s="135" t="str">
        <f>IFERROR(INDEX('Docketed Comments'!N:N,MATCH(A125,'Docketed Comments'!H:H,0)),"")</f>
        <v>No</v>
      </c>
      <c r="O125" s="135" t="str">
        <f>IFERROR(INDEX('Docketed Comments'!L:L,MATCH(A125,'Docketed Comments'!H:H,0)),"")</f>
        <v>No R3-47($76.57)</v>
      </c>
      <c r="P125" s="136">
        <f t="shared" si="2"/>
        <v>76.569999999999993</v>
      </c>
      <c r="Q125" s="140" t="s">
        <v>5809</v>
      </c>
      <c r="R125" s="144">
        <v>0</v>
      </c>
    </row>
    <row r="126" spans="1:18" ht="21.95" customHeight="1">
      <c r="A126" s="71" t="s">
        <v>5021</v>
      </c>
      <c r="B126" s="69" t="s">
        <v>4887</v>
      </c>
      <c r="C126" s="70">
        <v>46025</v>
      </c>
      <c r="D126" s="69"/>
      <c r="E126" s="69" t="s">
        <v>4898</v>
      </c>
      <c r="F126" s="65" t="s">
        <v>5725</v>
      </c>
      <c r="G126" s="65"/>
      <c r="H126" s="65" t="str">
        <f>IFERROR(INDEX('Docketed Comments'!C:C,MATCH(A126,'Docketed Comments'!H:H,0))&amp;", "&amp;INDEX('Docketed Comments'!B:B,MATCH(A126,'Docketed Comments'!H:H,0)),"")</f>
        <v>Melissa, Haynes</v>
      </c>
      <c r="I126" s="65" t="str">
        <f>IFERROR(INDEX('Docketed Comments'!D:D,MATCH(A126,'Docketed Comments'!H:H,0)),"")</f>
        <v>Surprise</v>
      </c>
      <c r="J126" s="65" t="str">
        <f>IFERROR(INDEX('Docketed Comments'!I:I,MATCH(A126,'Docketed Comments'!H:H,0)),"")</f>
        <v>R-XS</v>
      </c>
      <c r="K126" s="65" t="str">
        <f t="shared" si="3"/>
        <v>❌ Not on Best Plan</v>
      </c>
      <c r="L126" s="65" t="str">
        <f>IFERROR(INDEX('Docketed Comments'!F:F,MATCH(A126,'Docketed Comments'!H:H,0)),"")</f>
        <v>Absolutely insane</v>
      </c>
      <c r="M126" s="137" t="str">
        <f>IFERROR(HYPERLINK(INDEX('Docketed Comments'!G:G,MATCH(A126,'Docketed Comments'!H:H,0)),"📄 View Docket"),"")</f>
        <v>📄 View Docket</v>
      </c>
      <c r="N126" s="135" t="str">
        <f>IFERROR(INDEX('Docketed Comments'!N:N,MATCH(A126,'Docketed Comments'!H:H,0)),"")</f>
        <v>No</v>
      </c>
      <c r="O126" s="135" t="str">
        <f>IFERROR(INDEX('Docketed Comments'!L:L,MATCH(A126,'Docketed Comments'!H:H,0)),"")</f>
        <v>No R3-47($147.75)</v>
      </c>
      <c r="P126" s="136">
        <f t="shared" si="2"/>
        <v>147.75</v>
      </c>
      <c r="Q126" s="140" t="s">
        <v>5809</v>
      </c>
      <c r="R126" s="144">
        <v>0</v>
      </c>
    </row>
    <row r="127" spans="1:18" ht="21.95" customHeight="1">
      <c r="A127" s="71" t="s">
        <v>5022</v>
      </c>
      <c r="B127" s="69" t="s">
        <v>4887</v>
      </c>
      <c r="C127" s="70">
        <v>46025</v>
      </c>
      <c r="D127" s="69" t="s">
        <v>4888</v>
      </c>
      <c r="E127" s="69"/>
      <c r="F127" s="65" t="s">
        <v>4938</v>
      </c>
      <c r="G127" s="65"/>
      <c r="H127" s="65" t="str">
        <f>IFERROR(INDEX('Docketed Comments'!C:C,MATCH(A127,'Docketed Comments'!H:H,0))&amp;", "&amp;INDEX('Docketed Comments'!B:B,MATCH(A127,'Docketed Comments'!H:H,0)),"")</f>
        <v>Indy, Yip</v>
      </c>
      <c r="I127" s="65" t="str">
        <f>IFERROR(INDEX('Docketed Comments'!D:D,MATCH(A127,'Docketed Comments'!H:H,0)),"")</f>
        <v>Gilbert</v>
      </c>
      <c r="J127" s="65" t="str">
        <f>IFERROR(INDEX('Docketed Comments'!I:I,MATCH(A127,'Docketed Comments'!H:H,0)),"")</f>
        <v>R-BASICL</v>
      </c>
      <c r="K127" s="65" t="str">
        <f t="shared" si="3"/>
        <v>❌ Not on Best Plan</v>
      </c>
      <c r="L127" s="65" t="str">
        <f>IFERROR(INDEX('Docketed Comments'!F:F,MATCH(A127,'Docketed Comments'!H:H,0)),"")</f>
        <v>Form letter</v>
      </c>
      <c r="M127" s="137" t="str">
        <f>IFERROR(HYPERLINK(INDEX('Docketed Comments'!G:G,MATCH(A127,'Docketed Comments'!H:H,0)),"📄 View Docket"),"")</f>
        <v>📄 View Docket</v>
      </c>
      <c r="N127" s="135" t="str">
        <f>IFERROR(INDEX('Docketed Comments'!N:N,MATCH(A127,'Docketed Comments'!H:H,0)),"")</f>
        <v>No</v>
      </c>
      <c r="O127" s="135" t="str">
        <f>IFERROR(INDEX('Docketed Comments'!L:L,MATCH(A127,'Docketed Comments'!H:H,0)),"")</f>
        <v>No MEP R3-47($37.53)</v>
      </c>
      <c r="P127" s="136">
        <f t="shared" si="2"/>
        <v>37.53</v>
      </c>
      <c r="Q127" s="140" t="s">
        <v>5809</v>
      </c>
      <c r="R127" s="144">
        <v>0</v>
      </c>
    </row>
    <row r="128" spans="1:18" ht="21.95" customHeight="1">
      <c r="A128" s="71" t="s">
        <v>5023</v>
      </c>
      <c r="B128" s="69" t="s">
        <v>4887</v>
      </c>
      <c r="C128" s="70">
        <v>46025</v>
      </c>
      <c r="D128" s="69" t="s">
        <v>4888</v>
      </c>
      <c r="E128" s="69"/>
      <c r="F128" s="65" t="s">
        <v>4938</v>
      </c>
      <c r="G128" s="65"/>
      <c r="H128" s="65" t="str">
        <f>IFERROR(INDEX('Docketed Comments'!C:C,MATCH(A128,'Docketed Comments'!H:H,0))&amp;", "&amp;INDEX('Docketed Comments'!B:B,MATCH(A128,'Docketed Comments'!H:H,0)),"")</f>
        <v>Kenneth, Wollman</v>
      </c>
      <c r="I128" s="65" t="str">
        <f>IFERROR(INDEX('Docketed Comments'!D:D,MATCH(A128,'Docketed Comments'!H:H,0)),"")</f>
        <v>Anthem</v>
      </c>
      <c r="J128" s="65" t="str">
        <f>IFERROR(INDEX('Docketed Comments'!I:I,MATCH(A128,'Docketed Comments'!H:H,0)),"")</f>
        <v>RTOUE47</v>
      </c>
      <c r="K128" s="65" t="str">
        <f t="shared" si="3"/>
        <v>❌ Not on Best Plan</v>
      </c>
      <c r="L128" s="65" t="str">
        <f>IFERROR(INDEX('Docketed Comments'!F:F,MATCH(A128,'Docketed Comments'!H:H,0)),"")</f>
        <v>Ridiculous and a hardship</v>
      </c>
      <c r="M128" s="137" t="str">
        <f>IFERROR(HYPERLINK(INDEX('Docketed Comments'!G:G,MATCH(A128,'Docketed Comments'!H:H,0)),"📄 View Docket"),"")</f>
        <v>📄 View Docket</v>
      </c>
      <c r="N128" s="135" t="str">
        <f>IFERROR(INDEX('Docketed Comments'!N:N,MATCH(A128,'Docketed Comments'!H:H,0)),"")</f>
        <v>No</v>
      </c>
      <c r="O128" s="135" t="str">
        <f>IFERROR(INDEX('Docketed Comments'!L:L,MATCH(A128,'Docketed Comments'!H:H,0)),"")</f>
        <v>No MEP R3-47($88.73)</v>
      </c>
      <c r="P128" s="136">
        <f t="shared" si="2"/>
        <v>88.73</v>
      </c>
      <c r="Q128" s="140" t="s">
        <v>5809</v>
      </c>
      <c r="R128" s="144">
        <v>0</v>
      </c>
    </row>
    <row r="129" spans="1:18" ht="21.95" customHeight="1">
      <c r="A129" s="71" t="s">
        <v>5024</v>
      </c>
      <c r="B129" s="69" t="s">
        <v>4887</v>
      </c>
      <c r="C129" s="70">
        <v>46025</v>
      </c>
      <c r="D129" s="69" t="s">
        <v>4888</v>
      </c>
      <c r="E129" s="69"/>
      <c r="F129" s="65" t="s">
        <v>4938</v>
      </c>
      <c r="G129" s="65"/>
      <c r="H129" s="65" t="str">
        <f>IFERROR(INDEX('Docketed Comments'!C:C,MATCH(A129,'Docketed Comments'!H:H,0))&amp;", "&amp;INDEX('Docketed Comments'!B:B,MATCH(A129,'Docketed Comments'!H:H,0)),"")</f>
        <v>Zachary, Lassner</v>
      </c>
      <c r="I129" s="65" t="str">
        <f>IFERROR(INDEX('Docketed Comments'!D:D,MATCH(A129,'Docketed Comments'!H:H,0)),"")</f>
        <v>Morristown</v>
      </c>
      <c r="J129" s="65" t="str">
        <f>IFERROR(INDEX('Docketed Comments'!I:I,MATCH(A129,'Docketed Comments'!H:H,0)),"")</f>
        <v>R3-47</v>
      </c>
      <c r="K129" s="65" t="str">
        <f t="shared" si="3"/>
        <v>❌ Not on Best Plan</v>
      </c>
      <c r="L129" s="65" t="str">
        <f>IFERROR(INDEX('Docketed Comments'!F:F,MATCH(A129,'Docketed Comments'!H:H,0)),"")</f>
        <v>Opposed</v>
      </c>
      <c r="M129" s="137" t="str">
        <f>IFERROR(HYPERLINK(INDEX('Docketed Comments'!G:G,MATCH(A129,'Docketed Comments'!H:H,0)),"📄 View Docket"),"")</f>
        <v>📄 View Docket</v>
      </c>
      <c r="N129" s="135" t="str">
        <f>IFERROR(INDEX('Docketed Comments'!N:N,MATCH(A129,'Docketed Comments'!H:H,0)),"")</f>
        <v>No</v>
      </c>
      <c r="O129" s="135" t="str">
        <f>IFERROR(INDEX('Docketed Comments'!L:L,MATCH(A129,'Docketed Comments'!H:H,0)),"")</f>
        <v>No MEP R-BASIC($42.83)</v>
      </c>
      <c r="P129" s="136">
        <f t="shared" si="2"/>
        <v>42.83</v>
      </c>
      <c r="Q129" s="140" t="s">
        <v>5809</v>
      </c>
      <c r="R129" s="144">
        <v>0</v>
      </c>
    </row>
    <row r="130" spans="1:18" ht="21.95" customHeight="1">
      <c r="A130" s="71" t="s">
        <v>5025</v>
      </c>
      <c r="B130" s="69" t="s">
        <v>4887</v>
      </c>
      <c r="C130" s="70">
        <v>46025</v>
      </c>
      <c r="D130" s="69" t="s">
        <v>4888</v>
      </c>
      <c r="E130" s="69"/>
      <c r="F130" s="65" t="s">
        <v>4938</v>
      </c>
      <c r="G130" s="65"/>
      <c r="H130" s="65" t="str">
        <f>IFERROR(INDEX('Docketed Comments'!C:C,MATCH(A130,'Docketed Comments'!H:H,0))&amp;", "&amp;INDEX('Docketed Comments'!B:B,MATCH(A130,'Docketed Comments'!H:H,0)),"")</f>
        <v>Jason, Wesley</v>
      </c>
      <c r="I130" s="65" t="str">
        <f>IFERROR(INDEX('Docketed Comments'!D:D,MATCH(A130,'Docketed Comments'!H:H,0)),"")</f>
        <v>Peoria</v>
      </c>
      <c r="J130" s="65" t="str">
        <f>IFERROR(INDEX('Docketed Comments'!I:I,MATCH(A130,'Docketed Comments'!H:H,0)),"")</f>
        <v>R-BASICL</v>
      </c>
      <c r="K130" s="65" t="str">
        <f t="shared" si="3"/>
        <v>❌ Not on Best Plan</v>
      </c>
      <c r="L130" s="65" t="str">
        <f>IFERROR(INDEX('Docketed Comments'!F:F,MATCH(A130,'Docketed Comments'!H:H,0)),"")</f>
        <v>Form letter</v>
      </c>
      <c r="M130" s="137" t="str">
        <f>IFERROR(HYPERLINK(INDEX('Docketed Comments'!G:G,MATCH(A130,'Docketed Comments'!H:H,0)),"📄 View Docket"),"")</f>
        <v>📄 View Docket</v>
      </c>
      <c r="N130" s="135" t="str">
        <f>IFERROR(INDEX('Docketed Comments'!N:N,MATCH(A130,'Docketed Comments'!H:H,0)),"")</f>
        <v>No</v>
      </c>
      <c r="O130" s="135" t="str">
        <f>IFERROR(INDEX('Docketed Comments'!L:L,MATCH(A130,'Docketed Comments'!H:H,0)),"")</f>
        <v>No MEP R3-47($419.59)</v>
      </c>
      <c r="P130" s="136">
        <f t="shared" ref="P130:P193" si="4">IFERROR(IF(ISNUMBER(SEARCH("$",O130)),VALUE(SUBSTITUTE(SUBSTITUTE(MID(O130,FIND("$",O130)+1,FIND(")",O130)-FIND("$",O130)-1),",","")," ","")),VALUE(SUBSTITUTE(SUBSTITUTE(MID(O130,FIND("(",O130)+1,FIND(")",O130)-FIND("(",O130)-1),",","")," ",""))),0)</f>
        <v>419.59</v>
      </c>
      <c r="Q130" s="140" t="s">
        <v>5809</v>
      </c>
      <c r="R130" s="144">
        <v>0</v>
      </c>
    </row>
    <row r="131" spans="1:18" ht="21.95" customHeight="1">
      <c r="A131" s="71" t="s">
        <v>5026</v>
      </c>
      <c r="B131" s="69" t="s">
        <v>4887</v>
      </c>
      <c r="C131" s="70">
        <v>46060</v>
      </c>
      <c r="D131" s="69" t="s">
        <v>4888</v>
      </c>
      <c r="E131" s="69"/>
      <c r="F131" s="65" t="s">
        <v>4938</v>
      </c>
      <c r="G131" s="65"/>
      <c r="H131" s="65" t="str">
        <f>IFERROR(INDEX('Docketed Comments'!C:C,MATCH(A131,'Docketed Comments'!H:H,0))&amp;", "&amp;INDEX('Docketed Comments'!B:B,MATCH(A131,'Docketed Comments'!H:H,0)),"")</f>
        <v>Ruben, Futi</v>
      </c>
      <c r="I131" s="65" t="str">
        <f>IFERROR(INDEX('Docketed Comments'!D:D,MATCH(A131,'Docketed Comments'!H:H,0)),"")</f>
        <v>Avondale</v>
      </c>
      <c r="J131" s="65" t="str">
        <f>IFERROR(INDEX('Docketed Comments'!I:I,MATCH(A131,'Docketed Comments'!H:H,0)),"")</f>
        <v>Multiple SAs</v>
      </c>
      <c r="K131" s="65" t="str">
        <f t="shared" ref="K131:K194" si="5">IFERROR(IF(OR(LEFT(O131,2)="No",LEFT(O131,3)="Not"),"❌ Not on Best Plan",IF(OR(O131="Yes",O131="Y",O131="Yes "),"✅ On Best Plan","⚠ "&amp;O131)),"")</f>
        <v>❌ Not on Best Plan</v>
      </c>
      <c r="L131" s="65" t="str">
        <f>IFERROR(INDEX('Docketed Comments'!F:F,MATCH(A131,'Docketed Comments'!H:H,0)),"")</f>
        <v>Greedy</v>
      </c>
      <c r="M131" s="137" t="str">
        <f>IFERROR(HYPERLINK(INDEX('Docketed Comments'!G:G,MATCH(A131,'Docketed Comments'!H:H,0)),"📄 View Docket"),"")</f>
        <v>📄 View Docket</v>
      </c>
      <c r="N131" s="135" t="str">
        <f>IFERROR(INDEX('Docketed Comments'!N:N,MATCH(A131,'Docketed Comments'!H:H,0)),"")</f>
        <v>No</v>
      </c>
      <c r="O131" s="135" t="str">
        <f>IFERROR(INDEX('Docketed Comments'!L:L,MATCH(A131,'Docketed Comments'!H:H,0)),"")</f>
        <v>Not eligible yet (needs 3 months)</v>
      </c>
      <c r="P131" s="136">
        <f t="shared" si="4"/>
        <v>0</v>
      </c>
      <c r="Q131" s="140" t="s">
        <v>5809</v>
      </c>
      <c r="R131" s="144">
        <v>0</v>
      </c>
    </row>
    <row r="132" spans="1:18" ht="21.95" customHeight="1">
      <c r="A132" s="71" t="s">
        <v>5027</v>
      </c>
      <c r="B132" s="69" t="s">
        <v>4887</v>
      </c>
      <c r="C132" s="70">
        <v>46025</v>
      </c>
      <c r="D132" s="69" t="s">
        <v>4888</v>
      </c>
      <c r="E132" s="69"/>
      <c r="F132" s="65" t="s">
        <v>4938</v>
      </c>
      <c r="G132" s="65"/>
      <c r="H132" s="65" t="str">
        <f>IFERROR(INDEX('Docketed Comments'!C:C,MATCH(A132,'Docketed Comments'!H:H,0))&amp;", "&amp;INDEX('Docketed Comments'!B:B,MATCH(A132,'Docketed Comments'!H:H,0)),"")</f>
        <v>Joseph, Ramia</v>
      </c>
      <c r="I132" s="65" t="str">
        <f>IFERROR(INDEX('Docketed Comments'!D:D,MATCH(A132,'Docketed Comments'!H:H,0)),"")</f>
        <v>Surprise</v>
      </c>
      <c r="J132" s="65" t="str">
        <f>IFERROR(INDEX('Docketed Comments'!I:I,MATCH(A132,'Docketed Comments'!H:H,0)),"")</f>
        <v>RTOUE47</v>
      </c>
      <c r="K132" s="65" t="str">
        <f t="shared" si="5"/>
        <v>❌ Not on Best Plan</v>
      </c>
      <c r="L132" s="65" t="str">
        <f>IFERROR(INDEX('Docketed Comments'!F:F,MATCH(A132,'Docketed Comments'!H:H,0)),"")</f>
        <v>Form letter</v>
      </c>
      <c r="M132" s="137" t="str">
        <f>IFERROR(HYPERLINK(INDEX('Docketed Comments'!G:G,MATCH(A132,'Docketed Comments'!H:H,0)),"📄 View Docket"),"")</f>
        <v>📄 View Docket</v>
      </c>
      <c r="N132" s="135" t="str">
        <f>IFERROR(INDEX('Docketed Comments'!N:N,MATCH(A132,'Docketed Comments'!H:H,0)),"")</f>
        <v>No</v>
      </c>
      <c r="O132" s="135" t="str">
        <f>IFERROR(INDEX('Docketed Comments'!L:L,MATCH(A132,'Docketed Comments'!H:H,0)),"")</f>
        <v>No MEP R3-47 ($9.57)</v>
      </c>
      <c r="P132" s="136">
        <f t="shared" si="4"/>
        <v>9.57</v>
      </c>
      <c r="Q132" s="140" t="s">
        <v>5809</v>
      </c>
      <c r="R132" s="144">
        <v>0</v>
      </c>
    </row>
    <row r="133" spans="1:18" ht="21.95" customHeight="1">
      <c r="A133" s="71" t="s">
        <v>5028</v>
      </c>
      <c r="B133" s="69" t="s">
        <v>4887</v>
      </c>
      <c r="C133" s="70">
        <v>46025</v>
      </c>
      <c r="D133" s="69" t="s">
        <v>4888</v>
      </c>
      <c r="E133" s="69"/>
      <c r="F133" s="65" t="s">
        <v>4938</v>
      </c>
      <c r="G133" s="65"/>
      <c r="H133" s="65" t="str">
        <f>IFERROR(INDEX('Docketed Comments'!C:C,MATCH(A133,'Docketed Comments'!H:H,0))&amp;", "&amp;INDEX('Docketed Comments'!B:B,MATCH(A133,'Docketed Comments'!H:H,0)),"")</f>
        <v>Patrick, Kane</v>
      </c>
      <c r="I133" s="65" t="str">
        <f>IFERROR(INDEX('Docketed Comments'!D:D,MATCH(A133,'Docketed Comments'!H:H,0)),"")</f>
        <v>Phoenix</v>
      </c>
      <c r="J133" s="65" t="str">
        <f>IFERROR(INDEX('Docketed Comments'!I:I,MATCH(A133,'Docketed Comments'!H:H,0)),"")</f>
        <v>R-BASIC</v>
      </c>
      <c r="K133" s="65" t="str">
        <f t="shared" si="5"/>
        <v>❌ Not on Best Plan</v>
      </c>
      <c r="L133" s="65" t="str">
        <f>IFERROR(INDEX('Docketed Comments'!F:F,MATCH(A133,'Docketed Comments'!H:H,0)),"")</f>
        <v>Form letter</v>
      </c>
      <c r="M133" s="137" t="str">
        <f>IFERROR(HYPERLINK(INDEX('Docketed Comments'!G:G,MATCH(A133,'Docketed Comments'!H:H,0)),"📄 View Docket"),"")</f>
        <v>📄 View Docket</v>
      </c>
      <c r="N133" s="135" t="str">
        <f>IFERROR(INDEX('Docketed Comments'!N:N,MATCH(A133,'Docketed Comments'!H:H,0)),"")</f>
        <v>No</v>
      </c>
      <c r="O133" s="135" t="str">
        <f>IFERROR(INDEX('Docketed Comments'!L:L,MATCH(A133,'Docketed Comments'!H:H,0)),"")</f>
        <v>No MEP RTOUE47 ($0.81)</v>
      </c>
      <c r="P133" s="136">
        <f t="shared" si="4"/>
        <v>0.81</v>
      </c>
      <c r="Q133" s="140" t="s">
        <v>5809</v>
      </c>
      <c r="R133" s="144">
        <v>0</v>
      </c>
    </row>
    <row r="134" spans="1:18" ht="21.95" customHeight="1">
      <c r="A134" s="71" t="s">
        <v>5029</v>
      </c>
      <c r="B134" s="69"/>
      <c r="C134" s="70"/>
      <c r="D134" s="69"/>
      <c r="E134" s="69"/>
      <c r="F134" s="65"/>
      <c r="G134" s="65" t="s">
        <v>5811</v>
      </c>
      <c r="H134" s="65" t="str">
        <f>IFERROR(INDEX('Docketed Comments'!C:C,MATCH(A134,'Docketed Comments'!H:H,0))&amp;", "&amp;INDEX('Docketed Comments'!B:B,MATCH(A134,'Docketed Comments'!H:H,0)),"")</f>
        <v>Michael, Wallace</v>
      </c>
      <c r="I134" s="65" t="str">
        <f>IFERROR(INDEX('Docketed Comments'!D:D,MATCH(A134,'Docketed Comments'!H:H,0)),"")</f>
        <v>Phoenix</v>
      </c>
      <c r="J134" s="65" t="str">
        <f>IFERROR(INDEX('Docketed Comments'!I:I,MATCH(A134,'Docketed Comments'!H:H,0)),"")</f>
        <v>R3-47</v>
      </c>
      <c r="K134" s="65" t="str">
        <f t="shared" si="5"/>
        <v>⚠ R3-47</v>
      </c>
      <c r="L134" s="65" t="str">
        <f>IFERROR(INDEX('Docketed Comments'!F:F,MATCH(A134,'Docketed Comments'!H:H,0)),"")</f>
        <v>Opposed, not fair</v>
      </c>
      <c r="M134" s="137" t="str">
        <f>IFERROR(HYPERLINK(INDEX('Docketed Comments'!G:G,MATCH(A134,'Docketed Comments'!H:H,0)),"📄 View Docket"),"")</f>
        <v>📄 View Docket</v>
      </c>
      <c r="N134" s="135" t="str">
        <f>IFERROR(INDEX('Docketed Comments'!N:N,MATCH(A134,'Docketed Comments'!H:H,0)),"")</f>
        <v>No</v>
      </c>
      <c r="O134" s="135" t="str">
        <f>IFERROR(INDEX('Docketed Comments'!L:L,MATCH(A134,'Docketed Comments'!H:H,0)),"")</f>
        <v>R3-47</v>
      </c>
      <c r="P134" s="136">
        <f t="shared" si="4"/>
        <v>0</v>
      </c>
      <c r="Q134" s="140"/>
      <c r="R134" s="144">
        <v>1</v>
      </c>
    </row>
    <row r="135" spans="1:18" ht="21.95" customHeight="1">
      <c r="A135" s="71" t="s">
        <v>5030</v>
      </c>
      <c r="B135" s="69" t="s">
        <v>4887</v>
      </c>
      <c r="C135" s="70">
        <v>46025</v>
      </c>
      <c r="D135" s="69" t="s">
        <v>4888</v>
      </c>
      <c r="E135" s="69"/>
      <c r="F135" s="65" t="s">
        <v>4938</v>
      </c>
      <c r="G135" s="65"/>
      <c r="H135" s="65" t="str">
        <f>IFERROR(INDEX('Docketed Comments'!C:C,MATCH(A135,'Docketed Comments'!H:H,0))&amp;", "&amp;INDEX('Docketed Comments'!B:B,MATCH(A135,'Docketed Comments'!H:H,0)),"")</f>
        <v>Jamison, Lindsey</v>
      </c>
      <c r="I135" s="65" t="str">
        <f>IFERROR(INDEX('Docketed Comments'!D:D,MATCH(A135,'Docketed Comments'!H:H,0)),"")</f>
        <v>Phoenix</v>
      </c>
      <c r="J135" s="65" t="str">
        <f>IFERROR(INDEX('Docketed Comments'!I:I,MATCH(A135,'Docketed Comments'!H:H,0)),"")</f>
        <v>RTOUE47</v>
      </c>
      <c r="K135" s="65" t="str">
        <f t="shared" si="5"/>
        <v>❌ Not on Best Plan</v>
      </c>
      <c r="L135" s="65" t="str">
        <f>IFERROR(INDEX('Docketed Comments'!F:F,MATCH(A135,'Docketed Comments'!H:H,0)),"")</f>
        <v>Form letter</v>
      </c>
      <c r="M135" s="137" t="str">
        <f>IFERROR(HYPERLINK(INDEX('Docketed Comments'!G:G,MATCH(A135,'Docketed Comments'!H:H,0)),"📄 View Docket"),"")</f>
        <v>📄 View Docket</v>
      </c>
      <c r="N135" s="135" t="str">
        <f>IFERROR(INDEX('Docketed Comments'!N:N,MATCH(A135,'Docketed Comments'!H:H,0)),"")</f>
        <v>No</v>
      </c>
      <c r="O135" s="135" t="str">
        <f>IFERROR(INDEX('Docketed Comments'!L:L,MATCH(A135,'Docketed Comments'!H:H,0)),"")</f>
        <v>No MEP R-BASIC($44.93)</v>
      </c>
      <c r="P135" s="136">
        <f t="shared" si="4"/>
        <v>44.93</v>
      </c>
      <c r="Q135" s="140" t="s">
        <v>5809</v>
      </c>
      <c r="R135" s="144">
        <v>0</v>
      </c>
    </row>
    <row r="136" spans="1:18" ht="21.95" customHeight="1">
      <c r="A136" s="71" t="s">
        <v>5031</v>
      </c>
      <c r="B136" s="69" t="s">
        <v>4887</v>
      </c>
      <c r="C136" s="70">
        <v>46025</v>
      </c>
      <c r="D136" s="69" t="s">
        <v>4888</v>
      </c>
      <c r="E136" s="69"/>
      <c r="F136" s="65" t="s">
        <v>5705</v>
      </c>
      <c r="G136" s="65"/>
      <c r="H136" s="65" t="str">
        <f>IFERROR(INDEX('Docketed Comments'!C:C,MATCH(A136,'Docketed Comments'!H:H,0))&amp;", "&amp;INDEX('Docketed Comments'!B:B,MATCH(A136,'Docketed Comments'!H:H,0)),"")</f>
        <v>Jason, Corirossi</v>
      </c>
      <c r="I136" s="65" t="str">
        <f>IFERROR(INDEX('Docketed Comments'!D:D,MATCH(A136,'Docketed Comments'!H:H,0)),"")</f>
        <v>Glendale</v>
      </c>
      <c r="J136" s="65" t="str">
        <f>IFERROR(INDEX('Docketed Comments'!I:I,MATCH(A136,'Docketed Comments'!H:H,0)),"")</f>
        <v>RTOUE47</v>
      </c>
      <c r="K136" s="65" t="str">
        <f t="shared" si="5"/>
        <v>❌ Not on Best Plan</v>
      </c>
      <c r="L136" s="65" t="str">
        <f>IFERROR(INDEX('Docketed Comments'!F:F,MATCH(A136,'Docketed Comments'!H:H,0)),"")</f>
        <v>Form letter</v>
      </c>
      <c r="M136" s="137" t="str">
        <f>IFERROR(HYPERLINK(INDEX('Docketed Comments'!G:G,MATCH(A136,'Docketed Comments'!H:H,0)),"📄 View Docket"),"")</f>
        <v>📄 View Docket</v>
      </c>
      <c r="N136" s="135" t="str">
        <f>IFERROR(INDEX('Docketed Comments'!N:N,MATCH(A136,'Docketed Comments'!H:H,0)),"")</f>
        <v>No</v>
      </c>
      <c r="O136" s="135" t="str">
        <f>IFERROR(INDEX('Docketed Comments'!L:L,MATCH(A136,'Docketed Comments'!H:H,0)),"")</f>
        <v>No MEP R3-47($62.68)</v>
      </c>
      <c r="P136" s="136">
        <f t="shared" si="4"/>
        <v>62.68</v>
      </c>
      <c r="Q136" s="140" t="s">
        <v>5809</v>
      </c>
      <c r="R136" s="144">
        <v>0</v>
      </c>
    </row>
    <row r="137" spans="1:18" ht="21.95" customHeight="1">
      <c r="A137" s="71" t="s">
        <v>5032</v>
      </c>
      <c r="B137" s="69" t="s">
        <v>4887</v>
      </c>
      <c r="C137" s="70">
        <v>46025</v>
      </c>
      <c r="D137" s="69" t="s">
        <v>4888</v>
      </c>
      <c r="E137" s="69"/>
      <c r="F137" s="65" t="s">
        <v>4938</v>
      </c>
      <c r="G137" s="65"/>
      <c r="H137" s="65" t="str">
        <f>IFERROR(INDEX('Docketed Comments'!C:C,MATCH(A137,'Docketed Comments'!H:H,0))&amp;", "&amp;INDEX('Docketed Comments'!B:B,MATCH(A137,'Docketed Comments'!H:H,0)),"")</f>
        <v>Nicole, Talbott</v>
      </c>
      <c r="I137" s="65" t="str">
        <f>IFERROR(INDEX('Docketed Comments'!D:D,MATCH(A137,'Docketed Comments'!H:H,0)),"")</f>
        <v>Glendale</v>
      </c>
      <c r="J137" s="65" t="str">
        <f>IFERROR(INDEX('Docketed Comments'!I:I,MATCH(A137,'Docketed Comments'!H:H,0)),"")</f>
        <v>RTOUE47</v>
      </c>
      <c r="K137" s="65" t="str">
        <f t="shared" si="5"/>
        <v>❌ Not on Best Plan</v>
      </c>
      <c r="L137" s="65" t="str">
        <f>IFERROR(INDEX('Docketed Comments'!F:F,MATCH(A137,'Docketed Comments'!H:H,0)),"")</f>
        <v>Cut the fat</v>
      </c>
      <c r="M137" s="137" t="str">
        <f>IFERROR(HYPERLINK(INDEX('Docketed Comments'!G:G,MATCH(A137,'Docketed Comments'!H:H,0)),"📄 View Docket"),"")</f>
        <v>📄 View Docket</v>
      </c>
      <c r="N137" s="135" t="str">
        <f>IFERROR(INDEX('Docketed Comments'!N:N,MATCH(A137,'Docketed Comments'!H:H,0)),"")</f>
        <v>No</v>
      </c>
      <c r="O137" s="135" t="str">
        <f>IFERROR(INDEX('Docketed Comments'!L:L,MATCH(A137,'Docketed Comments'!H:H,0)),"")</f>
        <v>No MEP R3-47($235.10)</v>
      </c>
      <c r="P137" s="136">
        <f t="shared" si="4"/>
        <v>235.1</v>
      </c>
      <c r="Q137" s="140" t="s">
        <v>5809</v>
      </c>
      <c r="R137" s="144">
        <v>0</v>
      </c>
    </row>
    <row r="138" spans="1:18" ht="21.95" customHeight="1">
      <c r="A138" s="71" t="s">
        <v>2293</v>
      </c>
      <c r="B138" s="69" t="s">
        <v>4887</v>
      </c>
      <c r="C138" s="70">
        <v>46025</v>
      </c>
      <c r="D138" s="69" t="s">
        <v>4888</v>
      </c>
      <c r="E138" s="69"/>
      <c r="F138" s="65" t="s">
        <v>4938</v>
      </c>
      <c r="G138" s="65"/>
      <c r="H138" s="65" t="str">
        <f>IFERROR(INDEX('Docketed Comments'!C:C,MATCH(A138,'Docketed Comments'!H:H,0))&amp;", "&amp;INDEX('Docketed Comments'!B:B,MATCH(A138,'Docketed Comments'!H:H,0)),"")</f>
        <v>Jeremy, Gilmore</v>
      </c>
      <c r="I138" s="65" t="str">
        <f>IFERROR(INDEX('Docketed Comments'!D:D,MATCH(A138,'Docketed Comments'!H:H,0)),"")</f>
        <v>Sun City</v>
      </c>
      <c r="J138" s="65" t="str">
        <f>IFERROR(INDEX('Docketed Comments'!I:I,MATCH(A138,'Docketed Comments'!H:H,0)),"")</f>
        <v>RCPw/R3-47</v>
      </c>
      <c r="K138" s="65" t="str">
        <f t="shared" si="5"/>
        <v>❌ Not on Best Plan</v>
      </c>
      <c r="L138" s="65" t="str">
        <f>IFERROR(INDEX('Docketed Comments'!F:F,MATCH(A138,'Docketed Comments'!H:H,0)),"")</f>
        <v>Opposed</v>
      </c>
      <c r="M138" s="137" t="str">
        <f>IFERROR(HYPERLINK(INDEX('Docketed Comments'!G:G,MATCH(A138,'Docketed Comments'!H:H,0)),"📄 View Docket"),"")</f>
        <v>📄 View Docket</v>
      </c>
      <c r="N138" s="135" t="str">
        <f>IFERROR(INDEX('Docketed Comments'!N:N,MATCH(A138,'Docketed Comments'!H:H,0)),"")</f>
        <v>No</v>
      </c>
      <c r="O138" s="135" t="str">
        <f>IFERROR(INDEX('Docketed Comments'!L:L,MATCH(A138,'Docketed Comments'!H:H,0)),"")</f>
        <v>No MEP TOUE ($420.43)</v>
      </c>
      <c r="P138" s="136">
        <f t="shared" si="4"/>
        <v>420.43</v>
      </c>
      <c r="Q138" s="140" t="s">
        <v>5809</v>
      </c>
      <c r="R138" s="144">
        <v>0</v>
      </c>
    </row>
    <row r="139" spans="1:18" ht="21.95" customHeight="1">
      <c r="A139" s="71" t="s">
        <v>2311</v>
      </c>
      <c r="B139" s="69" t="s">
        <v>4887</v>
      </c>
      <c r="C139" s="70">
        <v>46025</v>
      </c>
      <c r="D139" s="69" t="s">
        <v>4888</v>
      </c>
      <c r="E139" s="69"/>
      <c r="F139" s="65" t="s">
        <v>5727</v>
      </c>
      <c r="G139" s="65"/>
      <c r="H139" s="65" t="str">
        <f>IFERROR(INDEX('Docketed Comments'!C:C,MATCH(A139,'Docketed Comments'!H:H,0))&amp;", "&amp;INDEX('Docketed Comments'!B:B,MATCH(A139,'Docketed Comments'!H:H,0)),"")</f>
        <v>Lisa, Hobson</v>
      </c>
      <c r="I139" s="65" t="str">
        <f>IFERROR(INDEX('Docketed Comments'!D:D,MATCH(A139,'Docketed Comments'!H:H,0)),"")</f>
        <v>Sedona</v>
      </c>
      <c r="J139" s="65" t="str">
        <f>IFERROR(INDEX('Docketed Comments'!I:I,MATCH(A139,'Docketed Comments'!H:H,0)),"")</f>
        <v>R-BASICL</v>
      </c>
      <c r="K139" s="65" t="str">
        <f t="shared" si="5"/>
        <v>❌ Not on Best Plan</v>
      </c>
      <c r="L139" s="65" t="str">
        <f>IFERROR(INDEX('Docketed Comments'!F:F,MATCH(A139,'Docketed Comments'!H:H,0)),"")</f>
        <v>Enough is enough</v>
      </c>
      <c r="M139" s="137" t="str">
        <f>IFERROR(HYPERLINK(INDEX('Docketed Comments'!G:G,MATCH(A139,'Docketed Comments'!H:H,0)),"📄 View Docket"),"")</f>
        <v>📄 View Docket</v>
      </c>
      <c r="N139" s="135" t="str">
        <f>IFERROR(INDEX('Docketed Comments'!N:N,MATCH(A139,'Docketed Comments'!H:H,0)),"")</f>
        <v>No</v>
      </c>
      <c r="O139" s="135" t="str">
        <f>IFERROR(INDEX('Docketed Comments'!L:L,MATCH(A139,'Docketed Comments'!H:H,0)),"")</f>
        <v>No MEP R3-47 ($482.61)</v>
      </c>
      <c r="P139" s="136">
        <f t="shared" si="4"/>
        <v>482.61</v>
      </c>
      <c r="Q139" s="140" t="s">
        <v>5809</v>
      </c>
      <c r="R139" s="144">
        <v>0</v>
      </c>
    </row>
    <row r="140" spans="1:18" ht="21.95" customHeight="1">
      <c r="A140" s="71" t="s">
        <v>2326</v>
      </c>
      <c r="B140" s="69" t="s">
        <v>4887</v>
      </c>
      <c r="C140" s="70">
        <v>46060</v>
      </c>
      <c r="D140" s="69" t="s">
        <v>4888</v>
      </c>
      <c r="E140" s="69"/>
      <c r="F140" s="65" t="s">
        <v>5728</v>
      </c>
      <c r="G140" s="65"/>
      <c r="H140" s="65" t="str">
        <f>IFERROR(INDEX('Docketed Comments'!C:C,MATCH(A140,'Docketed Comments'!H:H,0))&amp;", "&amp;INDEX('Docketed Comments'!B:B,MATCH(A140,'Docketed Comments'!H:H,0)),"")</f>
        <v>Sumit, Kumar</v>
      </c>
      <c r="I140" s="65" t="str">
        <f>IFERROR(INDEX('Docketed Comments'!D:D,MATCH(A140,'Docketed Comments'!H:H,0)),"")</f>
        <v>Phoenix</v>
      </c>
      <c r="J140" s="65" t="str">
        <f>IFERROR(INDEX('Docketed Comments'!I:I,MATCH(A140,'Docketed Comments'!H:H,0)),"")</f>
        <v>Multiple SAs</v>
      </c>
      <c r="K140" s="65" t="str">
        <f t="shared" si="5"/>
        <v>❌ Not on Best Plan</v>
      </c>
      <c r="L140" s="65" t="str">
        <f>IFERROR(INDEX('Docketed Comments'!F:F,MATCH(A140,'Docketed Comments'!H:H,0)),"")</f>
        <v>Form letter</v>
      </c>
      <c r="M140" s="137" t="str">
        <f>IFERROR(HYPERLINK(INDEX('Docketed Comments'!G:G,MATCH(A140,'Docketed Comments'!H:H,0)),"📄 View Docket"),"")</f>
        <v>📄 View Docket</v>
      </c>
      <c r="N140" s="135" t="str">
        <f>IFERROR(INDEX('Docketed Comments'!N:N,MATCH(A140,'Docketed Comments'!H:H,0)),"")</f>
        <v>No</v>
      </c>
      <c r="O140" s="135" t="str">
        <f>IFERROR(INDEX('Docketed Comments'!L:L,MATCH(A140,'Docketed Comments'!H:H,0)),"")</f>
        <v>Not eligible yet (needs 3 months)</v>
      </c>
      <c r="P140" s="136">
        <f t="shared" si="4"/>
        <v>0</v>
      </c>
      <c r="Q140" s="140" t="s">
        <v>5809</v>
      </c>
      <c r="R140" s="144">
        <v>0</v>
      </c>
    </row>
    <row r="141" spans="1:18" ht="21.95" customHeight="1">
      <c r="A141" s="71" t="s">
        <v>2342</v>
      </c>
      <c r="B141" s="69" t="s">
        <v>4887</v>
      </c>
      <c r="C141" s="70">
        <v>46025</v>
      </c>
      <c r="D141" s="69" t="s">
        <v>4888</v>
      </c>
      <c r="E141" s="69"/>
      <c r="F141" s="65" t="s">
        <v>4938</v>
      </c>
      <c r="G141" s="65"/>
      <c r="H141" s="65" t="str">
        <f>IFERROR(INDEX('Docketed Comments'!C:C,MATCH(A141,'Docketed Comments'!H:H,0))&amp;", "&amp;INDEX('Docketed Comments'!B:B,MATCH(A141,'Docketed Comments'!H:H,0)),"")</f>
        <v>Kathryne, Taylor</v>
      </c>
      <c r="I141" s="65" t="str">
        <f>IFERROR(INDEX('Docketed Comments'!D:D,MATCH(A141,'Docketed Comments'!H:H,0)),"")</f>
        <v>Hereford</v>
      </c>
      <c r="J141" s="65" t="str">
        <f>IFERROR(INDEX('Docketed Comments'!I:I,MATCH(A141,'Docketed Comments'!H:H,0)),"")</f>
        <v>RTOUE47</v>
      </c>
      <c r="K141" s="65" t="str">
        <f t="shared" si="5"/>
        <v>❌ Not on Best Plan</v>
      </c>
      <c r="L141" s="65" t="str">
        <f>IFERROR(INDEX('Docketed Comments'!F:F,MATCH(A141,'Docketed Comments'!H:H,0)),"")</f>
        <v>Opposed</v>
      </c>
      <c r="M141" s="137" t="str">
        <f>IFERROR(HYPERLINK(INDEX('Docketed Comments'!G:G,MATCH(A141,'Docketed Comments'!H:H,0)),"📄 View Docket"),"")</f>
        <v>📄 View Docket</v>
      </c>
      <c r="N141" s="135" t="str">
        <f>IFERROR(INDEX('Docketed Comments'!N:N,MATCH(A141,'Docketed Comments'!H:H,0)),"")</f>
        <v>No</v>
      </c>
      <c r="O141" s="135" t="str">
        <f>IFERROR(INDEX('Docketed Comments'!L:L,MATCH(A141,'Docketed Comments'!H:H,0)),"")</f>
        <v>No MEP R3-47 ($161.55)</v>
      </c>
      <c r="P141" s="136">
        <f t="shared" si="4"/>
        <v>161.55000000000001</v>
      </c>
      <c r="Q141" s="140" t="s">
        <v>5809</v>
      </c>
      <c r="R141" s="144">
        <v>0</v>
      </c>
    </row>
    <row r="142" spans="1:18" ht="21.95" customHeight="1">
      <c r="A142" s="71" t="s">
        <v>2389</v>
      </c>
      <c r="B142" s="69" t="s">
        <v>4887</v>
      </c>
      <c r="C142" s="70">
        <v>46025</v>
      </c>
      <c r="D142" s="69"/>
      <c r="E142" s="69"/>
      <c r="F142" s="65" t="s">
        <v>5745</v>
      </c>
      <c r="G142" s="65"/>
      <c r="H142" s="65" t="str">
        <f>IFERROR(INDEX('Docketed Comments'!C:C,MATCH(A142,'Docketed Comments'!H:H,0))&amp;", "&amp;INDEX('Docketed Comments'!B:B,MATCH(A142,'Docketed Comments'!H:H,0)),"")</f>
        <v>Quandra, Morrison</v>
      </c>
      <c r="I142" s="65" t="str">
        <f>IFERROR(INDEX('Docketed Comments'!D:D,MATCH(A142,'Docketed Comments'!H:H,0)),"")</f>
        <v>Chino Valley</v>
      </c>
      <c r="J142" s="65" t="str">
        <f>IFERROR(INDEX('Docketed Comments'!I:I,MATCH(A142,'Docketed Comments'!H:H,0)),"")</f>
        <v>RTOUE47</v>
      </c>
      <c r="K142" s="65" t="str">
        <f t="shared" si="5"/>
        <v>❌ Not on Best Plan</v>
      </c>
      <c r="L142" s="65" t="str">
        <f>IFERROR(INDEX('Docketed Comments'!F:F,MATCH(A142,'Docketed Comments'!H:H,0)),"")</f>
        <v>Opposed</v>
      </c>
      <c r="M142" s="137" t="str">
        <f>IFERROR(HYPERLINK(INDEX('Docketed Comments'!G:G,MATCH(A142,'Docketed Comments'!H:H,0)),"📄 View Docket"),"")</f>
        <v>📄 View Docket</v>
      </c>
      <c r="N142" s="135" t="str">
        <f>IFERROR(INDEX('Docketed Comments'!N:N,MATCH(A142,'Docketed Comments'!H:H,0)),"")</f>
        <v>No</v>
      </c>
      <c r="O142" s="135" t="str">
        <f>IFERROR(INDEX('Docketed Comments'!L:L,MATCH(A142,'Docketed Comments'!H:H,0)),"")</f>
        <v>No MEP R-BASIC ($78.14)</v>
      </c>
      <c r="P142" s="136">
        <f t="shared" si="4"/>
        <v>78.14</v>
      </c>
      <c r="Q142" s="140" t="s">
        <v>5809</v>
      </c>
      <c r="R142" s="144">
        <v>0</v>
      </c>
    </row>
    <row r="143" spans="1:18" ht="21.95" customHeight="1">
      <c r="A143" s="71" t="s">
        <v>2409</v>
      </c>
      <c r="B143" s="69" t="s">
        <v>4887</v>
      </c>
      <c r="C143" s="70">
        <v>46025</v>
      </c>
      <c r="D143" s="69" t="s">
        <v>4888</v>
      </c>
      <c r="E143" s="69"/>
      <c r="F143" s="65" t="s">
        <v>4938</v>
      </c>
      <c r="G143" s="65"/>
      <c r="H143" s="65" t="str">
        <f>IFERROR(INDEX('Docketed Comments'!C:C,MATCH(A143,'Docketed Comments'!H:H,0))&amp;", "&amp;INDEX('Docketed Comments'!B:B,MATCH(A143,'Docketed Comments'!H:H,0)),"")</f>
        <v>Joshua Roy, Parr</v>
      </c>
      <c r="I143" s="65" t="str">
        <f>IFERROR(INDEX('Docketed Comments'!D:D,MATCH(A143,'Docketed Comments'!H:H,0)),"")</f>
        <v>Surprise</v>
      </c>
      <c r="J143" s="65" t="str">
        <f>IFERROR(INDEX('Docketed Comments'!I:I,MATCH(A143,'Docketed Comments'!H:H,0)),"")</f>
        <v>R-BASICL</v>
      </c>
      <c r="K143" s="65" t="str">
        <f t="shared" si="5"/>
        <v>❌ Not on Best Plan</v>
      </c>
      <c r="L143" s="65" t="str">
        <f>IFERROR(INDEX('Docketed Comments'!F:F,MATCH(A143,'Docketed Comments'!H:H,0)),"")</f>
        <v>Opposed</v>
      </c>
      <c r="M143" s="137" t="str">
        <f>IFERROR(HYPERLINK(INDEX('Docketed Comments'!G:G,MATCH(A143,'Docketed Comments'!H:H,0)),"📄 View Docket"),"")</f>
        <v>📄 View Docket</v>
      </c>
      <c r="N143" s="135" t="str">
        <f>IFERROR(INDEX('Docketed Comments'!N:N,MATCH(A143,'Docketed Comments'!H:H,0)),"")</f>
        <v>No</v>
      </c>
      <c r="O143" s="135" t="str">
        <f>IFERROR(INDEX('Docketed Comments'!L:L,MATCH(A143,'Docketed Comments'!H:H,0)),"")</f>
        <v>No MEP R3-47 ($137.94)</v>
      </c>
      <c r="P143" s="136">
        <f t="shared" si="4"/>
        <v>137.94</v>
      </c>
      <c r="Q143" s="140" t="s">
        <v>5809</v>
      </c>
      <c r="R143" s="144">
        <v>0</v>
      </c>
    </row>
    <row r="144" spans="1:18" ht="21.95" customHeight="1">
      <c r="A144" s="71" t="s">
        <v>2435</v>
      </c>
      <c r="B144" s="69" t="s">
        <v>4887</v>
      </c>
      <c r="C144" s="70">
        <v>46025</v>
      </c>
      <c r="D144" s="69" t="s">
        <v>4865</v>
      </c>
      <c r="E144" s="69" t="s">
        <v>4898</v>
      </c>
      <c r="F144" s="65" t="s">
        <v>5752</v>
      </c>
      <c r="G144" s="65"/>
      <c r="H144" s="65" t="str">
        <f>IFERROR(INDEX('Docketed Comments'!C:C,MATCH(A144,'Docketed Comments'!H:H,0))&amp;", "&amp;INDEX('Docketed Comments'!B:B,MATCH(A144,'Docketed Comments'!H:H,0)),"")</f>
        <v>Samantha, Malaki</v>
      </c>
      <c r="I144" s="65" t="str">
        <f>IFERROR(INDEX('Docketed Comments'!D:D,MATCH(A144,'Docketed Comments'!H:H,0)),"")</f>
        <v>Glendale</v>
      </c>
      <c r="J144" s="65" t="str">
        <f>IFERROR(INDEX('Docketed Comments'!I:I,MATCH(A144,'Docketed Comments'!H:H,0)),"")</f>
        <v>RTOUE47</v>
      </c>
      <c r="K144" s="65" t="str">
        <f t="shared" si="5"/>
        <v>❌ Not on Best Plan</v>
      </c>
      <c r="L144" s="65" t="str">
        <f>IFERROR(INDEX('Docketed Comments'!F:F,MATCH(A144,'Docketed Comments'!H:H,0)),"")</f>
        <v>Form letter</v>
      </c>
      <c r="M144" s="137" t="str">
        <f>IFERROR(HYPERLINK(INDEX('Docketed Comments'!G:G,MATCH(A144,'Docketed Comments'!H:H,0)),"📄 View Docket"),"")</f>
        <v>📄 View Docket</v>
      </c>
      <c r="N144" s="135" t="str">
        <f>IFERROR(INDEX('Docketed Comments'!N:N,MATCH(A144,'Docketed Comments'!H:H,0)),"")</f>
        <v>No</v>
      </c>
      <c r="O144" s="135" t="str">
        <f>IFERROR(INDEX('Docketed Comments'!L:L,MATCH(A144,'Docketed Comments'!H:H,0)),"")</f>
        <v>No MEP R3-47 ($84.85)</v>
      </c>
      <c r="P144" s="136">
        <f t="shared" si="4"/>
        <v>84.85</v>
      </c>
      <c r="Q144" s="140" t="s">
        <v>5809</v>
      </c>
      <c r="R144" s="144">
        <v>0</v>
      </c>
    </row>
    <row r="145" spans="1:18" ht="21.95" customHeight="1">
      <c r="A145" s="71" t="s">
        <v>2444</v>
      </c>
      <c r="B145" s="69" t="s">
        <v>4887</v>
      </c>
      <c r="C145" s="70">
        <v>45997</v>
      </c>
      <c r="D145" s="69"/>
      <c r="E145" s="69"/>
      <c r="F145" s="65" t="s">
        <v>5753</v>
      </c>
      <c r="G145" s="65"/>
      <c r="H145" s="65" t="str">
        <f>IFERROR(INDEX('Docketed Comments'!C:C,MATCH(A145,'Docketed Comments'!H:H,0))&amp;", "&amp;INDEX('Docketed Comments'!B:B,MATCH(A145,'Docketed Comments'!H:H,0)),"")</f>
        <v>Tanika, Roy</v>
      </c>
      <c r="I145" s="65" t="str">
        <f>IFERROR(INDEX('Docketed Comments'!D:D,MATCH(A145,'Docketed Comments'!H:H,0)),"")</f>
        <v>Phoenix</v>
      </c>
      <c r="J145" s="65" t="str">
        <f>IFERROR(INDEX('Docketed Comments'!I:I,MATCH(A145,'Docketed Comments'!H:H,0)),"")</f>
        <v>RTOUE47</v>
      </c>
      <c r="K145" s="65" t="str">
        <f t="shared" si="5"/>
        <v>❌ Not on Best Plan</v>
      </c>
      <c r="L145" s="65" t="str">
        <f>IFERROR(INDEX('Docketed Comments'!F:F,MATCH(A145,'Docketed Comments'!H:H,0)),"")</f>
        <v>Opposed</v>
      </c>
      <c r="M145" s="137" t="str">
        <f>IFERROR(HYPERLINK(INDEX('Docketed Comments'!G:G,MATCH(A145,'Docketed Comments'!H:H,0)),"📄 View Docket"),"")</f>
        <v>📄 View Docket</v>
      </c>
      <c r="N145" s="135" t="str">
        <f>IFERROR(INDEX('Docketed Comments'!N:N,MATCH(A145,'Docketed Comments'!H:H,0)),"")</f>
        <v>No</v>
      </c>
      <c r="O145" s="135" t="str">
        <f>IFERROR(INDEX('Docketed Comments'!L:L,MATCH(A145,'Docketed Comments'!H:H,0)),"")</f>
        <v>No MEP R-XS ($24.15)</v>
      </c>
      <c r="P145" s="136">
        <f t="shared" si="4"/>
        <v>24.15</v>
      </c>
      <c r="Q145" s="140" t="s">
        <v>5809</v>
      </c>
      <c r="R145" s="144">
        <v>0</v>
      </c>
    </row>
    <row r="146" spans="1:18" ht="21.95" customHeight="1">
      <c r="A146" s="71" t="s">
        <v>2461</v>
      </c>
      <c r="B146" s="69"/>
      <c r="C146" s="70"/>
      <c r="D146" s="69"/>
      <c r="E146" s="69"/>
      <c r="F146" s="65"/>
      <c r="G146" s="65" t="s">
        <v>5812</v>
      </c>
      <c r="H146" s="65" t="str">
        <f>IFERROR(INDEX('Docketed Comments'!C:C,MATCH(A146,'Docketed Comments'!H:H,0))&amp;", "&amp;INDEX('Docketed Comments'!B:B,MATCH(A146,'Docketed Comments'!H:H,0)),"")</f>
        <v>Vicki, Simone</v>
      </c>
      <c r="I146" s="65" t="str">
        <f>IFERROR(INDEX('Docketed Comments'!D:D,MATCH(A146,'Docketed Comments'!H:H,0)),"")</f>
        <v>Unknown</v>
      </c>
      <c r="J146" s="65" t="str">
        <f>IFERROR(INDEX('Docketed Comments'!I:I,MATCH(A146,'Docketed Comments'!H:H,0)),"")</f>
        <v>R-BASIC</v>
      </c>
      <c r="K146" s="65" t="str">
        <f t="shared" si="5"/>
        <v>❌ Not on Best Plan</v>
      </c>
      <c r="L146" s="65" t="str">
        <f>IFERROR(INDEX('Docketed Comments'!F:F,MATCH(A146,'Docketed Comments'!H:H,0)),"")</f>
        <v>Do the right thing, deny the rate increase</v>
      </c>
      <c r="M146" s="137" t="str">
        <f>IFERROR(HYPERLINK(INDEX('Docketed Comments'!G:G,MATCH(A146,'Docketed Comments'!H:H,0)),"📄 View Docket"),"")</f>
        <v>📄 View Docket</v>
      </c>
      <c r="N146" s="135" t="str">
        <f>IFERROR(INDEX('Docketed Comments'!N:N,MATCH(A146,'Docketed Comments'!H:H,0)),"")</f>
        <v>No</v>
      </c>
      <c r="O146" s="135" t="str">
        <f>IFERROR(INDEX('Docketed Comments'!L:L,MATCH(A146,'Docketed Comments'!H:H,0)),"")</f>
        <v>No MEP R3-47(35.30)</v>
      </c>
      <c r="P146" s="136">
        <f t="shared" si="4"/>
        <v>35.299999999999997</v>
      </c>
      <c r="Q146" s="140"/>
      <c r="R146" s="144">
        <v>1</v>
      </c>
    </row>
    <row r="147" spans="1:18" ht="21.95" customHeight="1">
      <c r="A147" s="71" t="s">
        <v>2470</v>
      </c>
      <c r="B147" s="69" t="s">
        <v>4887</v>
      </c>
      <c r="C147" s="70">
        <v>46025</v>
      </c>
      <c r="D147" s="69" t="s">
        <v>4888</v>
      </c>
      <c r="E147" s="69"/>
      <c r="F147" s="65" t="s">
        <v>4938</v>
      </c>
      <c r="G147" s="65"/>
      <c r="H147" s="65" t="str">
        <f>IFERROR(INDEX('Docketed Comments'!C:C,MATCH(A147,'Docketed Comments'!H:H,0))&amp;", "&amp;INDEX('Docketed Comments'!B:B,MATCH(A147,'Docketed Comments'!H:H,0)),"")</f>
        <v>Payton, Deer</v>
      </c>
      <c r="I147" s="65" t="str">
        <f>IFERROR(INDEX('Docketed Comments'!D:D,MATCH(A147,'Docketed Comments'!H:H,0)),"")</f>
        <v>Phoenix</v>
      </c>
      <c r="J147" s="65" t="str">
        <f>IFERROR(INDEX('Docketed Comments'!I:I,MATCH(A147,'Docketed Comments'!H:H,0)),"")</f>
        <v>RTOUE47</v>
      </c>
      <c r="K147" s="65" t="str">
        <f t="shared" si="5"/>
        <v>❌ Not on Best Plan</v>
      </c>
      <c r="L147" s="65" t="str">
        <f>IFERROR(INDEX('Docketed Comments'!F:F,MATCH(A147,'Docketed Comments'!H:H,0)),"")</f>
        <v>Opposed</v>
      </c>
      <c r="M147" s="137" t="str">
        <f>IFERROR(HYPERLINK(INDEX('Docketed Comments'!G:G,MATCH(A147,'Docketed Comments'!H:H,0)),"📄 View Docket"),"")</f>
        <v>📄 View Docket</v>
      </c>
      <c r="N147" s="135" t="str">
        <f>IFERROR(INDEX('Docketed Comments'!N:N,MATCH(A147,'Docketed Comments'!H:H,0)),"")</f>
        <v>No</v>
      </c>
      <c r="O147" s="135" t="str">
        <f>IFERROR(INDEX('Docketed Comments'!L:L,MATCH(A147,'Docketed Comments'!H:H,0)),"")</f>
        <v>No MEP R-XS ($119.86)</v>
      </c>
      <c r="P147" s="136">
        <f t="shared" si="4"/>
        <v>119.86</v>
      </c>
      <c r="Q147" s="140" t="s">
        <v>5809</v>
      </c>
      <c r="R147" s="144">
        <v>0</v>
      </c>
    </row>
    <row r="148" spans="1:18" ht="21.95" customHeight="1">
      <c r="A148" s="71" t="s">
        <v>2485</v>
      </c>
      <c r="B148" s="69" t="s">
        <v>4887</v>
      </c>
      <c r="C148" s="70">
        <v>45997</v>
      </c>
      <c r="D148" s="69" t="s">
        <v>4888</v>
      </c>
      <c r="E148" s="69"/>
      <c r="F148" s="65" t="s">
        <v>5739</v>
      </c>
      <c r="G148" s="65"/>
      <c r="H148" s="65" t="str">
        <f>IFERROR(INDEX('Docketed Comments'!C:C,MATCH(A148,'Docketed Comments'!H:H,0))&amp;", "&amp;INDEX('Docketed Comments'!B:B,MATCH(A148,'Docketed Comments'!H:H,0)),"")</f>
        <v>Benjamin, Horne</v>
      </c>
      <c r="I148" s="65" t="str">
        <f>IFERROR(INDEX('Docketed Comments'!D:D,MATCH(A148,'Docketed Comments'!H:H,0)),"")</f>
        <v>Peoria</v>
      </c>
      <c r="J148" s="65" t="str">
        <f>IFERROR(INDEX('Docketed Comments'!I:I,MATCH(A148,'Docketed Comments'!H:H,0)),"")</f>
        <v>RCPw/RTOUE47</v>
      </c>
      <c r="K148" s="65" t="str">
        <f t="shared" si="5"/>
        <v>❌ Not on Best Plan</v>
      </c>
      <c r="L148" s="65" t="str">
        <f>IFERROR(INDEX('Docketed Comments'!F:F,MATCH(A148,'Docketed Comments'!H:H,0)),"")</f>
        <v>Form letter</v>
      </c>
      <c r="M148" s="137" t="str">
        <f>IFERROR(HYPERLINK(INDEX('Docketed Comments'!G:G,MATCH(A148,'Docketed Comments'!H:H,0)),"📄 View Docket"),"")</f>
        <v>📄 View Docket</v>
      </c>
      <c r="N148" s="135" t="str">
        <f>IFERROR(INDEX('Docketed Comments'!N:N,MATCH(A148,'Docketed Comments'!H:H,0)),"")</f>
        <v>No</v>
      </c>
      <c r="O148" s="135" t="str">
        <f>IFERROR(INDEX('Docketed Comments'!L:L,MATCH(A148,'Docketed Comments'!H:H,0)),"")</f>
        <v>No MEP R3-47 ($15.79)</v>
      </c>
      <c r="P148" s="136">
        <f t="shared" si="4"/>
        <v>15.79</v>
      </c>
      <c r="Q148" s="140" t="s">
        <v>5809</v>
      </c>
      <c r="R148" s="144">
        <v>0</v>
      </c>
    </row>
    <row r="149" spans="1:18" ht="21.95" customHeight="1">
      <c r="A149" s="71" t="s">
        <v>2498</v>
      </c>
      <c r="B149" s="69" t="s">
        <v>4887</v>
      </c>
      <c r="C149" s="70">
        <v>46025</v>
      </c>
      <c r="D149" s="69" t="s">
        <v>4888</v>
      </c>
      <c r="E149" s="69"/>
      <c r="F149" s="65" t="s">
        <v>4938</v>
      </c>
      <c r="G149" s="65"/>
      <c r="H149" s="65" t="str">
        <f>IFERROR(INDEX('Docketed Comments'!C:C,MATCH(A149,'Docketed Comments'!H:H,0))&amp;", "&amp;INDEX('Docketed Comments'!B:B,MATCH(A149,'Docketed Comments'!H:H,0)),"")</f>
        <v>Stephanie, Saltzman</v>
      </c>
      <c r="I149" s="65" t="str">
        <f>IFERROR(INDEX('Docketed Comments'!D:D,MATCH(A149,'Docketed Comments'!H:H,0)),"")</f>
        <v>Phoenix</v>
      </c>
      <c r="J149" s="65" t="str">
        <f>IFERROR(INDEX('Docketed Comments'!I:I,MATCH(A149,'Docketed Comments'!H:H,0)),"")</f>
        <v>RTOUE47</v>
      </c>
      <c r="K149" s="65" t="str">
        <f t="shared" si="5"/>
        <v>❌ Not on Best Plan</v>
      </c>
      <c r="L149" s="65" t="str">
        <f>IFERROR(INDEX('Docketed Comments'!F:F,MATCH(A149,'Docketed Comments'!H:H,0)),"")</f>
        <v xml:space="preserve">Fixed income </v>
      </c>
      <c r="M149" s="137" t="str">
        <f>IFERROR(HYPERLINK(INDEX('Docketed Comments'!G:G,MATCH(A149,'Docketed Comments'!H:H,0)),"📄 View Docket"),"")</f>
        <v>📄 View Docket</v>
      </c>
      <c r="N149" s="135" t="str">
        <f>IFERROR(INDEX('Docketed Comments'!N:N,MATCH(A149,'Docketed Comments'!H:H,0)),"")</f>
        <v>No</v>
      </c>
      <c r="O149" s="135" t="str">
        <f>IFERROR(INDEX('Docketed Comments'!L:L,MATCH(A149,'Docketed Comments'!H:H,0)),"")</f>
        <v>No MEP R-BASIC ($77.70)</v>
      </c>
      <c r="P149" s="136">
        <f t="shared" si="4"/>
        <v>77.7</v>
      </c>
      <c r="Q149" s="140" t="s">
        <v>5809</v>
      </c>
      <c r="R149" s="144">
        <v>0</v>
      </c>
    </row>
    <row r="150" spans="1:18" ht="21.95" customHeight="1">
      <c r="A150" s="71" t="s">
        <v>2502</v>
      </c>
      <c r="B150" s="69" t="s">
        <v>4887</v>
      </c>
      <c r="C150" s="70">
        <v>46025</v>
      </c>
      <c r="D150" s="69" t="s">
        <v>4888</v>
      </c>
      <c r="E150" s="69"/>
      <c r="F150" s="65"/>
      <c r="G150" s="65"/>
      <c r="H150" s="65" t="str">
        <f>IFERROR(INDEX('Docketed Comments'!C:C,MATCH(A150,'Docketed Comments'!H:H,0))&amp;", "&amp;INDEX('Docketed Comments'!B:B,MATCH(A150,'Docketed Comments'!H:H,0)),"")</f>
        <v>Christen, Bejar</v>
      </c>
      <c r="I150" s="65" t="str">
        <f>IFERROR(INDEX('Docketed Comments'!D:D,MATCH(A150,'Docketed Comments'!H:H,0)),"")</f>
        <v>Avondale</v>
      </c>
      <c r="J150" s="65" t="str">
        <f>IFERROR(INDEX('Docketed Comments'!I:I,MATCH(A150,'Docketed Comments'!H:H,0)),"")</f>
        <v>RTOUE47</v>
      </c>
      <c r="K150" s="65" t="str">
        <f t="shared" si="5"/>
        <v>❌ Not on Best Plan</v>
      </c>
      <c r="L150" s="65" t="str">
        <f>IFERROR(INDEX('Docketed Comments'!F:F,MATCH(A150,'Docketed Comments'!H:H,0)),"")</f>
        <v>Form letter</v>
      </c>
      <c r="M150" s="137" t="str">
        <f>IFERROR(HYPERLINK(INDEX('Docketed Comments'!G:G,MATCH(A150,'Docketed Comments'!H:H,0)),"📄 View Docket"),"")</f>
        <v>📄 View Docket</v>
      </c>
      <c r="N150" s="135" t="str">
        <f>IFERROR(INDEX('Docketed Comments'!N:N,MATCH(A150,'Docketed Comments'!H:H,0)),"")</f>
        <v>No</v>
      </c>
      <c r="O150" s="135" t="str">
        <f>IFERROR(INDEX('Docketed Comments'!L:L,MATCH(A150,'Docketed Comments'!H:H,0)),"")</f>
        <v>No MEP R3-47 ($120.96)</v>
      </c>
      <c r="P150" s="136">
        <f t="shared" si="4"/>
        <v>120.96</v>
      </c>
      <c r="Q150" s="140" t="s">
        <v>5809</v>
      </c>
      <c r="R150" s="144">
        <v>0</v>
      </c>
    </row>
    <row r="151" spans="1:18" ht="21.95" customHeight="1">
      <c r="A151" s="71" t="s">
        <v>2519</v>
      </c>
      <c r="B151" s="69" t="s">
        <v>4887</v>
      </c>
      <c r="C151" s="70">
        <v>46025</v>
      </c>
      <c r="D151" s="69" t="s">
        <v>4888</v>
      </c>
      <c r="E151" s="69"/>
      <c r="F151" s="65" t="s">
        <v>4938</v>
      </c>
      <c r="G151" s="65"/>
      <c r="H151" s="65" t="str">
        <f>IFERROR(INDEX('Docketed Comments'!C:C,MATCH(A151,'Docketed Comments'!H:H,0))&amp;", "&amp;INDEX('Docketed Comments'!B:B,MATCH(A151,'Docketed Comments'!H:H,0)),"")</f>
        <v xml:space="preserve">Patricia, O'Neil </v>
      </c>
      <c r="I151" s="65" t="str">
        <f>IFERROR(INDEX('Docketed Comments'!D:D,MATCH(A151,'Docketed Comments'!H:H,0)),"")</f>
        <v>Surprise</v>
      </c>
      <c r="J151" s="65" t="str">
        <f>IFERROR(INDEX('Docketed Comments'!I:I,MATCH(A151,'Docketed Comments'!H:H,0)),"")</f>
        <v>RCPw/RTOUE47</v>
      </c>
      <c r="K151" s="65" t="str">
        <f t="shared" si="5"/>
        <v>❌ Not on Best Plan</v>
      </c>
      <c r="L151" s="65" t="str">
        <f>IFERROR(INDEX('Docketed Comments'!F:F,MATCH(A151,'Docketed Comments'!H:H,0)),"")</f>
        <v>Monopoly</v>
      </c>
      <c r="M151" s="137" t="str">
        <f>IFERROR(HYPERLINK(INDEX('Docketed Comments'!G:G,MATCH(A151,'Docketed Comments'!H:H,0)),"📄 View Docket"),"")</f>
        <v>📄 View Docket</v>
      </c>
      <c r="N151" s="135" t="str">
        <f>IFERROR(INDEX('Docketed Comments'!N:N,MATCH(A151,'Docketed Comments'!H:H,0)),"")</f>
        <v>No</v>
      </c>
      <c r="O151" s="135" t="str">
        <f>IFERROR(INDEX('Docketed Comments'!L:L,MATCH(A151,'Docketed Comments'!H:H,0)),"")</f>
        <v>No MEP R3-47 ($19.36)</v>
      </c>
      <c r="P151" s="136">
        <f t="shared" si="4"/>
        <v>19.36</v>
      </c>
      <c r="Q151" s="140" t="s">
        <v>5809</v>
      </c>
      <c r="R151" s="144">
        <v>0</v>
      </c>
    </row>
    <row r="152" spans="1:18" ht="21.95" customHeight="1">
      <c r="A152" s="71" t="s">
        <v>2525</v>
      </c>
      <c r="B152" s="69" t="s">
        <v>4887</v>
      </c>
      <c r="C152" s="70">
        <v>46025</v>
      </c>
      <c r="D152" s="69" t="s">
        <v>4888</v>
      </c>
      <c r="E152" s="69"/>
      <c r="F152" s="65" t="s">
        <v>4938</v>
      </c>
      <c r="G152" s="65"/>
      <c r="H152" s="65" t="str">
        <f>IFERROR(INDEX('Docketed Comments'!C:C,MATCH(A152,'Docketed Comments'!H:H,0))&amp;", "&amp;INDEX('Docketed Comments'!B:B,MATCH(A152,'Docketed Comments'!H:H,0)),"")</f>
        <v>Rachel, Fylan</v>
      </c>
      <c r="I152" s="65" t="str">
        <f>IFERROR(INDEX('Docketed Comments'!D:D,MATCH(A152,'Docketed Comments'!H:H,0)),"")</f>
        <v>Phoenix</v>
      </c>
      <c r="J152" s="65" t="str">
        <f>IFERROR(INDEX('Docketed Comments'!I:I,MATCH(A152,'Docketed Comments'!H:H,0)),"")</f>
        <v>R-BASIC</v>
      </c>
      <c r="K152" s="65" t="str">
        <f t="shared" si="5"/>
        <v>❌ Not on Best Plan</v>
      </c>
      <c r="L152" s="65" t="str">
        <f>IFERROR(INDEX('Docketed Comments'!F:F,MATCH(A152,'Docketed Comments'!H:H,0)),"")</f>
        <v>Opposed</v>
      </c>
      <c r="M152" s="137" t="str">
        <f>IFERROR(HYPERLINK(INDEX('Docketed Comments'!G:G,MATCH(A152,'Docketed Comments'!H:H,0)),"📄 View Docket"),"")</f>
        <v>📄 View Docket</v>
      </c>
      <c r="N152" s="135" t="str">
        <f>IFERROR(INDEX('Docketed Comments'!N:N,MATCH(A152,'Docketed Comments'!H:H,0)),"")</f>
        <v>No</v>
      </c>
      <c r="O152" s="135" t="str">
        <f>IFERROR(INDEX('Docketed Comments'!L:L,MATCH(A152,'Docketed Comments'!H:H,0)),"")</f>
        <v>No MEP R3-47 ($355.98)</v>
      </c>
      <c r="P152" s="136">
        <f t="shared" si="4"/>
        <v>355.98</v>
      </c>
      <c r="Q152" s="140" t="s">
        <v>5809</v>
      </c>
      <c r="R152" s="144">
        <v>0</v>
      </c>
    </row>
    <row r="153" spans="1:18" ht="21.95" customHeight="1">
      <c r="A153" s="71" t="s">
        <v>2529</v>
      </c>
      <c r="B153" s="69" t="s">
        <v>4887</v>
      </c>
      <c r="C153" s="70">
        <v>46025</v>
      </c>
      <c r="D153" s="69" t="s">
        <v>4888</v>
      </c>
      <c r="E153" s="69"/>
      <c r="F153" s="65" t="s">
        <v>4938</v>
      </c>
      <c r="G153" s="65"/>
      <c r="H153" s="65" t="str">
        <f>IFERROR(INDEX('Docketed Comments'!C:C,MATCH(A153,'Docketed Comments'!H:H,0))&amp;", "&amp;INDEX('Docketed Comments'!B:B,MATCH(A153,'Docketed Comments'!H:H,0)),"")</f>
        <v>Sharon, Martin</v>
      </c>
      <c r="I153" s="65" t="str">
        <f>IFERROR(INDEX('Docketed Comments'!D:D,MATCH(A153,'Docketed Comments'!H:H,0)),"")</f>
        <v>Sun City West</v>
      </c>
      <c r="J153" s="65" t="str">
        <f>IFERROR(INDEX('Docketed Comments'!I:I,MATCH(A153,'Docketed Comments'!H:H,0)),"")</f>
        <v>R-BASICL</v>
      </c>
      <c r="K153" s="65" t="str">
        <f t="shared" si="5"/>
        <v>❌ Not on Best Plan</v>
      </c>
      <c r="L153" s="65" t="str">
        <f>IFERROR(INDEX('Docketed Comments'!F:F,MATCH(A153,'Docketed Comments'!H:H,0)),"")</f>
        <v>Opposed</v>
      </c>
      <c r="M153" s="137" t="str">
        <f>IFERROR(HYPERLINK(INDEX('Docketed Comments'!G:G,MATCH(A153,'Docketed Comments'!H:H,0)),"📄 View Docket"),"")</f>
        <v>📄 View Docket</v>
      </c>
      <c r="N153" s="135" t="str">
        <f>IFERROR(INDEX('Docketed Comments'!N:N,MATCH(A153,'Docketed Comments'!H:H,0)),"")</f>
        <v>No</v>
      </c>
      <c r="O153" s="135" t="str">
        <f>IFERROR(INDEX('Docketed Comments'!L:L,MATCH(A153,'Docketed Comments'!H:H,0)),"")</f>
        <v>No MEP R3-47 ($159.33)</v>
      </c>
      <c r="P153" s="136">
        <f t="shared" si="4"/>
        <v>159.33000000000001</v>
      </c>
      <c r="Q153" s="140" t="s">
        <v>5809</v>
      </c>
      <c r="R153" s="144">
        <v>0</v>
      </c>
    </row>
    <row r="154" spans="1:18" ht="21.95" customHeight="1">
      <c r="A154" s="71" t="s">
        <v>2533</v>
      </c>
      <c r="B154" s="69" t="s">
        <v>4887</v>
      </c>
      <c r="C154" s="70">
        <v>46025</v>
      </c>
      <c r="D154" s="69" t="s">
        <v>4888</v>
      </c>
      <c r="E154" s="69"/>
      <c r="F154" s="65" t="s">
        <v>5742</v>
      </c>
      <c r="G154" s="65"/>
      <c r="H154" s="65" t="str">
        <f>IFERROR(INDEX('Docketed Comments'!C:C,MATCH(A154,'Docketed Comments'!H:H,0))&amp;", "&amp;INDEX('Docketed Comments'!B:B,MATCH(A154,'Docketed Comments'!H:H,0)),"")</f>
        <v>Susan, Mobley</v>
      </c>
      <c r="I154" s="65" t="str">
        <f>IFERROR(INDEX('Docketed Comments'!D:D,MATCH(A154,'Docketed Comments'!H:H,0)),"")</f>
        <v>Scottsdale</v>
      </c>
      <c r="J154" s="65" t="str">
        <f>IFERROR(INDEX('Docketed Comments'!I:I,MATCH(A154,'Docketed Comments'!H:H,0)),"")</f>
        <v>R-BASICL</v>
      </c>
      <c r="K154" s="65" t="str">
        <f t="shared" si="5"/>
        <v>❌ Not on Best Plan</v>
      </c>
      <c r="L154" s="65" t="str">
        <f>IFERROR(INDEX('Docketed Comments'!F:F,MATCH(A154,'Docketed Comments'!H:H,0)),"")</f>
        <v>Form letter</v>
      </c>
      <c r="M154" s="137" t="str">
        <f>IFERROR(HYPERLINK(INDEX('Docketed Comments'!G:G,MATCH(A154,'Docketed Comments'!H:H,0)),"📄 View Docket"),"")</f>
        <v>📄 View Docket</v>
      </c>
      <c r="N154" s="135" t="str">
        <f>IFERROR(INDEX('Docketed Comments'!N:N,MATCH(A154,'Docketed Comments'!H:H,0)),"")</f>
        <v>No</v>
      </c>
      <c r="O154" s="135" t="str">
        <f>IFERROR(INDEX('Docketed Comments'!L:L,MATCH(A154,'Docketed Comments'!H:H,0)),"")</f>
        <v>No MEP R3-47 ($498.46)</v>
      </c>
      <c r="P154" s="136">
        <f t="shared" si="4"/>
        <v>498.46</v>
      </c>
      <c r="Q154" s="140" t="s">
        <v>5809</v>
      </c>
      <c r="R154" s="144">
        <v>0</v>
      </c>
    </row>
    <row r="155" spans="1:18" ht="21.95" customHeight="1">
      <c r="A155" s="71" t="s">
        <v>2543</v>
      </c>
      <c r="B155" s="69" t="s">
        <v>4887</v>
      </c>
      <c r="C155" s="70">
        <v>46025</v>
      </c>
      <c r="D155" s="69"/>
      <c r="E155" s="69" t="s">
        <v>4898</v>
      </c>
      <c r="F155" s="65" t="s">
        <v>5755</v>
      </c>
      <c r="G155" s="65"/>
      <c r="H155" s="65" t="str">
        <f>IFERROR(INDEX('Docketed Comments'!C:C,MATCH(A155,'Docketed Comments'!H:H,0))&amp;", "&amp;INDEX('Docketed Comments'!B:B,MATCH(A155,'Docketed Comments'!H:H,0)),"")</f>
        <v>Nancy, Nelson</v>
      </c>
      <c r="I155" s="65" t="str">
        <f>IFERROR(INDEX('Docketed Comments'!D:D,MATCH(A155,'Docketed Comments'!H:H,0)),"")</f>
        <v>Phoenix</v>
      </c>
      <c r="J155" s="65" t="str">
        <f>IFERROR(INDEX('Docketed Comments'!I:I,MATCH(A155,'Docketed Comments'!H:H,0)),"")</f>
        <v>R-BASICL</v>
      </c>
      <c r="K155" s="65" t="str">
        <f t="shared" si="5"/>
        <v>❌ Not on Best Plan</v>
      </c>
      <c r="L155" s="65" t="str">
        <f>IFERROR(INDEX('Docketed Comments'!F:F,MATCH(A155,'Docketed Comments'!H:H,0)),"")</f>
        <v>Unreasonable</v>
      </c>
      <c r="M155" s="137" t="str">
        <f>IFERROR(HYPERLINK(INDEX('Docketed Comments'!G:G,MATCH(A155,'Docketed Comments'!H:H,0)),"📄 View Docket"),"")</f>
        <v>📄 View Docket</v>
      </c>
      <c r="N155" s="135" t="str">
        <f>IFERROR(INDEX('Docketed Comments'!N:N,MATCH(A155,'Docketed Comments'!H:H,0)),"")</f>
        <v>No</v>
      </c>
      <c r="O155" s="135" t="str">
        <f>IFERROR(INDEX('Docketed Comments'!L:L,MATCH(A155,'Docketed Comments'!H:H,0)),"")</f>
        <v>No MEP R3-47 ($188.91))</v>
      </c>
      <c r="P155" s="136">
        <f t="shared" si="4"/>
        <v>188.91</v>
      </c>
      <c r="Q155" s="140" t="s">
        <v>5809</v>
      </c>
      <c r="R155" s="144">
        <v>0</v>
      </c>
    </row>
    <row r="156" spans="1:18" ht="21.95" customHeight="1">
      <c r="A156" s="71" t="s">
        <v>2560</v>
      </c>
      <c r="B156" s="69" t="s">
        <v>4887</v>
      </c>
      <c r="C156" s="70">
        <v>46025</v>
      </c>
      <c r="D156" s="69" t="s">
        <v>4888</v>
      </c>
      <c r="E156" s="69"/>
      <c r="F156" s="65" t="s">
        <v>5756</v>
      </c>
      <c r="G156" s="65"/>
      <c r="H156" s="65" t="str">
        <f>IFERROR(INDEX('Docketed Comments'!C:C,MATCH(A156,'Docketed Comments'!H:H,0))&amp;", "&amp;INDEX('Docketed Comments'!B:B,MATCH(A156,'Docketed Comments'!H:H,0)),"")</f>
        <v>Mathew, Weigand</v>
      </c>
      <c r="I156" s="65" t="str">
        <f>IFERROR(INDEX('Docketed Comments'!D:D,MATCH(A156,'Docketed Comments'!H:H,0)),"")</f>
        <v>Chandler</v>
      </c>
      <c r="J156" s="65" t="str">
        <f>IFERROR(INDEX('Docketed Comments'!I:I,MATCH(A156,'Docketed Comments'!H:H,0)),"")</f>
        <v>R-Basic</v>
      </c>
      <c r="K156" s="65" t="str">
        <f t="shared" si="5"/>
        <v>❌ Not on Best Plan</v>
      </c>
      <c r="L156" s="65" t="str">
        <f>IFERROR(INDEX('Docketed Comments'!F:F,MATCH(A156,'Docketed Comments'!H:H,0)),"")</f>
        <v>Form letter</v>
      </c>
      <c r="M156" s="137" t="str">
        <f>IFERROR(HYPERLINK(INDEX('Docketed Comments'!G:G,MATCH(A156,'Docketed Comments'!H:H,0)),"📄 View Docket"),"")</f>
        <v>📄 View Docket</v>
      </c>
      <c r="N156" s="135" t="str">
        <f>IFERROR(INDEX('Docketed Comments'!N:N,MATCH(A156,'Docketed Comments'!H:H,0)),"")</f>
        <v>No</v>
      </c>
      <c r="O156" s="135" t="str">
        <f>IFERROR(INDEX('Docketed Comments'!L:L,MATCH(A156,'Docketed Comments'!H:H,0)),"")</f>
        <v>No MEP TOUE ($20.50)</v>
      </c>
      <c r="P156" s="136">
        <f t="shared" si="4"/>
        <v>20.5</v>
      </c>
      <c r="Q156" s="140" t="s">
        <v>5809</v>
      </c>
      <c r="R156" s="144">
        <v>0</v>
      </c>
    </row>
    <row r="157" spans="1:18" ht="21.95" customHeight="1">
      <c r="A157" s="71" t="s">
        <v>2577</v>
      </c>
      <c r="B157" s="69" t="s">
        <v>4887</v>
      </c>
      <c r="C157" s="70">
        <v>45997</v>
      </c>
      <c r="D157" s="69" t="s">
        <v>4888</v>
      </c>
      <c r="E157" s="69"/>
      <c r="F157" s="65" t="s">
        <v>5739</v>
      </c>
      <c r="G157" s="65"/>
      <c r="H157" s="65" t="str">
        <f>IFERROR(INDEX('Docketed Comments'!C:C,MATCH(A157,'Docketed Comments'!H:H,0))&amp;", "&amp;INDEX('Docketed Comments'!B:B,MATCH(A157,'Docketed Comments'!H:H,0)),"")</f>
        <v>Susan, Mohajerin</v>
      </c>
      <c r="I157" s="65" t="str">
        <f>IFERROR(INDEX('Docketed Comments'!D:D,MATCH(A157,'Docketed Comments'!H:H,0)),"")</f>
        <v>Scottsdale</v>
      </c>
      <c r="J157" s="65" t="str">
        <f>IFERROR(INDEX('Docketed Comments'!I:I,MATCH(A157,'Docketed Comments'!H:H,0)),"")</f>
        <v>RTOUE47</v>
      </c>
      <c r="K157" s="65" t="str">
        <f t="shared" si="5"/>
        <v>❌ Not on Best Plan</v>
      </c>
      <c r="L157" s="65" t="str">
        <f>IFERROR(INDEX('Docketed Comments'!F:F,MATCH(A157,'Docketed Comments'!H:H,0)),"")</f>
        <v>Enough is enough, already paying $160 for a 700 sqdt apartment</v>
      </c>
      <c r="M157" s="137" t="str">
        <f>IFERROR(HYPERLINK(INDEX('Docketed Comments'!G:G,MATCH(A157,'Docketed Comments'!H:H,0)),"📄 View Docket"),"")</f>
        <v>📄 View Docket</v>
      </c>
      <c r="N157" s="135" t="str">
        <f>IFERROR(INDEX('Docketed Comments'!N:N,MATCH(A157,'Docketed Comments'!H:H,0)),"")</f>
        <v>No</v>
      </c>
      <c r="O157" s="135" t="str">
        <f>IFERROR(INDEX('Docketed Comments'!L:L,MATCH(A157,'Docketed Comments'!H:H,0)),"")</f>
        <v>No MEP R-XS ($98.76)</v>
      </c>
      <c r="P157" s="136">
        <f t="shared" si="4"/>
        <v>98.76</v>
      </c>
      <c r="Q157" s="140" t="s">
        <v>5809</v>
      </c>
      <c r="R157" s="144">
        <v>0</v>
      </c>
    </row>
    <row r="158" spans="1:18" ht="21.95" customHeight="1">
      <c r="A158" s="71" t="s">
        <v>5033</v>
      </c>
      <c r="B158" s="69" t="s">
        <v>4887</v>
      </c>
      <c r="C158" s="70">
        <v>46053</v>
      </c>
      <c r="D158" s="69" t="s">
        <v>4865</v>
      </c>
      <c r="E158" s="69" t="s">
        <v>4894</v>
      </c>
      <c r="F158" s="65" t="s">
        <v>5757</v>
      </c>
      <c r="G158" s="65"/>
      <c r="H158" s="65" t="str">
        <f>IFERROR(INDEX('Docketed Comments'!C:C,MATCH(A158,'Docketed Comments'!H:H,0))&amp;", "&amp;INDEX('Docketed Comments'!B:B,MATCH(A158,'Docketed Comments'!H:H,0)),"")</f>
        <v>Danielle, Donato</v>
      </c>
      <c r="I158" s="65" t="str">
        <f>IFERROR(INDEX('Docketed Comments'!D:D,MATCH(A158,'Docketed Comments'!H:H,0)),"")</f>
        <v>Phoenix</v>
      </c>
      <c r="J158" s="65" t="str">
        <f>IFERROR(INDEX('Docketed Comments'!I:I,MATCH(A158,'Docketed Comments'!H:H,0)),"")</f>
        <v>RTOUE47</v>
      </c>
      <c r="K158" s="65" t="str">
        <f t="shared" si="5"/>
        <v>❌ Not on Best Plan</v>
      </c>
      <c r="L158" s="65" t="str">
        <f>IFERROR(INDEX('Docketed Comments'!F:F,MATCH(A158,'Docketed Comments'!H:H,0)),"")</f>
        <v xml:space="preserve">This is a significant burden, especially at a time when cost of living continues to rise </v>
      </c>
      <c r="M158" s="137" t="str">
        <f>IFERROR(HYPERLINK(INDEX('Docketed Comments'!G:G,MATCH(A158,'Docketed Comments'!H:H,0)),"📄 View Docket"),"")</f>
        <v>📄 View Docket</v>
      </c>
      <c r="N158" s="135" t="str">
        <f>IFERROR(INDEX('Docketed Comments'!N:N,MATCH(A158,'Docketed Comments'!H:H,0)),"")</f>
        <v>No</v>
      </c>
      <c r="O158" s="135" t="str">
        <f>IFERROR(INDEX('Docketed Comments'!L:L,MATCH(A158,'Docketed Comments'!H:H,0)),"")</f>
        <v>No MEP R3-47(336.10)</v>
      </c>
      <c r="P158" s="136">
        <f t="shared" si="4"/>
        <v>336.1</v>
      </c>
      <c r="Q158" s="140" t="s">
        <v>5809</v>
      </c>
      <c r="R158" s="144">
        <v>0</v>
      </c>
    </row>
    <row r="159" spans="1:18" ht="21.95" customHeight="1">
      <c r="A159" s="71" t="s">
        <v>5034</v>
      </c>
      <c r="B159" s="69" t="s">
        <v>4887</v>
      </c>
      <c r="C159" s="70">
        <v>46053</v>
      </c>
      <c r="D159" s="69" t="s">
        <v>4888</v>
      </c>
      <c r="E159" s="69"/>
      <c r="F159" s="65" t="s">
        <v>5701</v>
      </c>
      <c r="G159" s="65"/>
      <c r="H159" s="65" t="str">
        <f>IFERROR(INDEX('Docketed Comments'!C:C,MATCH(A159,'Docketed Comments'!H:H,0))&amp;", "&amp;INDEX('Docketed Comments'!B:B,MATCH(A159,'Docketed Comments'!H:H,0)),"")</f>
        <v>Rob, Keates</v>
      </c>
      <c r="I159" s="65" t="str">
        <f>IFERROR(INDEX('Docketed Comments'!D:D,MATCH(A159,'Docketed Comments'!H:H,0)),"")</f>
        <v>Chandler</v>
      </c>
      <c r="J159" s="65" t="str">
        <f>IFERROR(INDEX('Docketed Comments'!I:I,MATCH(A159,'Docketed Comments'!H:H,0)),"")</f>
        <v>RTOUE47</v>
      </c>
      <c r="K159" s="65" t="str">
        <f t="shared" si="5"/>
        <v>❌ Not on Best Plan</v>
      </c>
      <c r="L159" s="65" t="str">
        <f>IFERROR(INDEX('Docketed Comments'!F:F,MATCH(A159,'Docketed Comments'!H:H,0)),"")</f>
        <v>Opposed-Price gouging</v>
      </c>
      <c r="M159" s="137" t="str">
        <f>IFERROR(HYPERLINK(INDEX('Docketed Comments'!G:G,MATCH(A159,'Docketed Comments'!H:H,0)),"📄 View Docket"),"")</f>
        <v>📄 View Docket</v>
      </c>
      <c r="N159" s="135" t="str">
        <f>IFERROR(INDEX('Docketed Comments'!N:N,MATCH(A159,'Docketed Comments'!H:H,0)),"")</f>
        <v>No</v>
      </c>
      <c r="O159" s="135" t="str">
        <f>IFERROR(INDEX('Docketed Comments'!L:L,MATCH(A159,'Docketed Comments'!H:H,0)),"")</f>
        <v>No MEP R-BASIC(126.09)</v>
      </c>
      <c r="P159" s="136">
        <f t="shared" si="4"/>
        <v>126.09</v>
      </c>
      <c r="Q159" s="140" t="s">
        <v>5809</v>
      </c>
      <c r="R159" s="144">
        <v>0</v>
      </c>
    </row>
    <row r="160" spans="1:18" ht="21.95" customHeight="1">
      <c r="A160" s="71" t="s">
        <v>5035</v>
      </c>
      <c r="B160" s="69" t="s">
        <v>4887</v>
      </c>
      <c r="C160" s="70">
        <v>46046</v>
      </c>
      <c r="D160" s="69" t="s">
        <v>4865</v>
      </c>
      <c r="E160" s="69" t="s">
        <v>4898</v>
      </c>
      <c r="F160" s="65" t="s">
        <v>5759</v>
      </c>
      <c r="G160" s="65"/>
      <c r="H160" s="65" t="str">
        <f>IFERROR(INDEX('Docketed Comments'!C:C,MATCH(A160,'Docketed Comments'!H:H,0))&amp;", "&amp;INDEX('Docketed Comments'!B:B,MATCH(A160,'Docketed Comments'!H:H,0)),"")</f>
        <v>Corinna, Lopardo</v>
      </c>
      <c r="I160" s="65" t="str">
        <f>IFERROR(INDEX('Docketed Comments'!D:D,MATCH(A160,'Docketed Comments'!H:H,0)),"")</f>
        <v>Litchfield Park</v>
      </c>
      <c r="J160" s="65" t="str">
        <f>IFERROR(INDEX('Docketed Comments'!I:I,MATCH(A160,'Docketed Comments'!H:H,0)),"")</f>
        <v>RTOUE47</v>
      </c>
      <c r="K160" s="65" t="str">
        <f t="shared" si="5"/>
        <v>❌ Not on Best Plan</v>
      </c>
      <c r="L160" s="65" t="str">
        <f>IFERROR(INDEX('Docketed Comments'!F:F,MATCH(A160,'Docketed Comments'!H:H,0)),"")</f>
        <v>Form letter</v>
      </c>
      <c r="M160" s="137" t="str">
        <f>IFERROR(HYPERLINK(INDEX('Docketed Comments'!G:G,MATCH(A160,'Docketed Comments'!H:H,0)),"📄 View Docket"),"")</f>
        <v>📄 View Docket</v>
      </c>
      <c r="N160" s="135" t="str">
        <f>IFERROR(INDEX('Docketed Comments'!N:N,MATCH(A160,'Docketed Comments'!H:H,0)),"")</f>
        <v>No</v>
      </c>
      <c r="O160" s="135" t="str">
        <f>IFERROR(INDEX('Docketed Comments'!L:L,MATCH(A160,'Docketed Comments'!H:H,0)),"")</f>
        <v>No MEP R3-47 ($13.58)</v>
      </c>
      <c r="P160" s="136">
        <f t="shared" si="4"/>
        <v>13.58</v>
      </c>
      <c r="Q160" s="140" t="s">
        <v>5809</v>
      </c>
      <c r="R160" s="144">
        <v>0</v>
      </c>
    </row>
    <row r="161" spans="1:18" ht="21.95" customHeight="1">
      <c r="A161" s="71" t="s">
        <v>5036</v>
      </c>
      <c r="B161" s="69" t="s">
        <v>4887</v>
      </c>
      <c r="C161" s="70">
        <v>46053</v>
      </c>
      <c r="D161" s="69" t="s">
        <v>4888</v>
      </c>
      <c r="E161" s="69"/>
      <c r="F161" s="65" t="s">
        <v>5701</v>
      </c>
      <c r="G161" s="65"/>
      <c r="H161" s="65" t="str">
        <f>IFERROR(INDEX('Docketed Comments'!C:C,MATCH(A161,'Docketed Comments'!H:H,0))&amp;", "&amp;INDEX('Docketed Comments'!B:B,MATCH(A161,'Docketed Comments'!H:H,0)),"")</f>
        <v>Walter, Marinero</v>
      </c>
      <c r="I161" s="65" t="str">
        <f>IFERROR(INDEX('Docketed Comments'!D:D,MATCH(A161,'Docketed Comments'!H:H,0)),"")</f>
        <v>Buckeye</v>
      </c>
      <c r="J161" s="65" t="str">
        <f>IFERROR(INDEX('Docketed Comments'!I:I,MATCH(A161,'Docketed Comments'!H:H,0)),"")</f>
        <v>RTOUE47</v>
      </c>
      <c r="K161" s="65" t="str">
        <f t="shared" si="5"/>
        <v>❌ Not on Best Plan</v>
      </c>
      <c r="L161" s="65" t="str">
        <f>IFERROR(INDEX('Docketed Comments'!F:F,MATCH(A161,'Docketed Comments'!H:H,0)),"")</f>
        <v xml:space="preserve">Strongly Opposed- Undue and unsustainable financial burden </v>
      </c>
      <c r="M161" s="137" t="str">
        <f>IFERROR(HYPERLINK(INDEX('Docketed Comments'!G:G,MATCH(A161,'Docketed Comments'!H:H,0)),"📄 View Docket"),"")</f>
        <v>📄 View Docket</v>
      </c>
      <c r="N161" s="135" t="str">
        <f>IFERROR(INDEX('Docketed Comments'!N:N,MATCH(A161,'Docketed Comments'!H:H,0)),"")</f>
        <v>No</v>
      </c>
      <c r="O161" s="135" t="str">
        <f>IFERROR(INDEX('Docketed Comments'!L:L,MATCH(A161,'Docketed Comments'!H:H,0)),"")</f>
        <v>No MEP R3-47(1039.42)</v>
      </c>
      <c r="P161" s="136">
        <f t="shared" si="4"/>
        <v>1039.42</v>
      </c>
      <c r="Q161" s="140" t="s">
        <v>5809</v>
      </c>
      <c r="R161" s="144">
        <v>0</v>
      </c>
    </row>
    <row r="162" spans="1:18" ht="21.95" customHeight="1">
      <c r="A162" s="71" t="s">
        <v>2681</v>
      </c>
      <c r="B162" s="69" t="s">
        <v>4887</v>
      </c>
      <c r="C162" s="70">
        <v>45997</v>
      </c>
      <c r="D162" s="69" t="s">
        <v>4888</v>
      </c>
      <c r="E162" s="69"/>
      <c r="F162" s="65" t="s">
        <v>5743</v>
      </c>
      <c r="G162" s="65"/>
      <c r="H162" s="65" t="str">
        <f>IFERROR(INDEX('Docketed Comments'!C:C,MATCH(A162,'Docketed Comments'!H:H,0))&amp;", "&amp;INDEX('Docketed Comments'!B:B,MATCH(A162,'Docketed Comments'!H:H,0)),"")</f>
        <v>Mary, Suckow</v>
      </c>
      <c r="I162" s="65" t="str">
        <f>IFERROR(INDEX('Docketed Comments'!D:D,MATCH(A162,'Docketed Comments'!H:H,0)),"")</f>
        <v>Glendale</v>
      </c>
      <c r="J162" s="65" t="str">
        <f>IFERROR(INDEX('Docketed Comments'!I:I,MATCH(A162,'Docketed Comments'!H:H,0)),"")</f>
        <v>RCPw/RTOUE47</v>
      </c>
      <c r="K162" s="65" t="str">
        <f t="shared" si="5"/>
        <v>❌ Not on Best Plan</v>
      </c>
      <c r="L162" s="65" t="str">
        <f>IFERROR(INDEX('Docketed Comments'!F:F,MATCH(A162,'Docketed Comments'!H:H,0)),"")</f>
        <v>Opposed-Rates already incredibly high</v>
      </c>
      <c r="M162" s="137" t="str">
        <f>IFERROR(HYPERLINK(INDEX('Docketed Comments'!G:G,MATCH(A162,'Docketed Comments'!H:H,0)),"📄 View Docket"),"")</f>
        <v>📄 View Docket</v>
      </c>
      <c r="N162" s="135" t="str">
        <f>IFERROR(INDEX('Docketed Comments'!N:N,MATCH(A162,'Docketed Comments'!H:H,0)),"")</f>
        <v>No</v>
      </c>
      <c r="O162" s="135" t="str">
        <f>IFERROR(INDEX('Docketed Comments'!L:L,MATCH(A162,'Docketed Comments'!H:H,0)),"")</f>
        <v>No MEP R3-47 (101.27)</v>
      </c>
      <c r="P162" s="136">
        <f t="shared" si="4"/>
        <v>101.27</v>
      </c>
      <c r="Q162" s="140" t="s">
        <v>5809</v>
      </c>
      <c r="R162" s="144">
        <v>0</v>
      </c>
    </row>
    <row r="163" spans="1:18" ht="21.95" customHeight="1">
      <c r="A163" s="71" t="s">
        <v>2726</v>
      </c>
      <c r="B163" s="69" t="s">
        <v>4887</v>
      </c>
      <c r="C163" s="70">
        <v>45997</v>
      </c>
      <c r="D163" s="69" t="s">
        <v>4888</v>
      </c>
      <c r="E163" s="69"/>
      <c r="F163" s="65" t="s">
        <v>5762</v>
      </c>
      <c r="G163" s="65"/>
      <c r="H163" s="65" t="str">
        <f>IFERROR(INDEX('Docketed Comments'!C:C,MATCH(A163,'Docketed Comments'!H:H,0))&amp;", "&amp;INDEX('Docketed Comments'!B:B,MATCH(A163,'Docketed Comments'!H:H,0)),"")</f>
        <v>Robert, Sexton</v>
      </c>
      <c r="I163" s="65" t="str">
        <f>IFERROR(INDEX('Docketed Comments'!D:D,MATCH(A163,'Docketed Comments'!H:H,0)),"")</f>
        <v>Goodyear</v>
      </c>
      <c r="J163" s="65" t="str">
        <f>IFERROR(INDEX('Docketed Comments'!I:I,MATCH(A163,'Docketed Comments'!H:H,0)),"")</f>
        <v>R-BASIC</v>
      </c>
      <c r="K163" s="65" t="str">
        <f t="shared" si="5"/>
        <v>❌ Not on Best Plan</v>
      </c>
      <c r="L163" s="65" t="str">
        <f>IFERROR(INDEX('Docketed Comments'!F:F,MATCH(A163,'Docketed Comments'!H:H,0)),"")</f>
        <v>Strongly Oppose</v>
      </c>
      <c r="M163" s="137" t="str">
        <f>IFERROR(HYPERLINK(INDEX('Docketed Comments'!G:G,MATCH(A163,'Docketed Comments'!H:H,0)),"📄 View Docket"),"")</f>
        <v>📄 View Docket</v>
      </c>
      <c r="N163" s="135" t="str">
        <f>IFERROR(INDEX('Docketed Comments'!N:N,MATCH(A163,'Docketed Comments'!H:H,0)),"")</f>
        <v>No</v>
      </c>
      <c r="O163" s="135" t="str">
        <f>IFERROR(INDEX('Docketed Comments'!L:L,MATCH(A163,'Docketed Comments'!H:H,0)),"")</f>
        <v>No MEP R-XS ($126.36)</v>
      </c>
      <c r="P163" s="136">
        <f t="shared" si="4"/>
        <v>126.36</v>
      </c>
      <c r="Q163" s="140" t="s">
        <v>5809</v>
      </c>
      <c r="R163" s="144">
        <v>0</v>
      </c>
    </row>
    <row r="164" spans="1:18" ht="21.95" customHeight="1">
      <c r="A164" s="71" t="s">
        <v>2763</v>
      </c>
      <c r="B164" s="69" t="s">
        <v>4887</v>
      </c>
      <c r="C164" s="70">
        <v>46053</v>
      </c>
      <c r="D164" s="69" t="s">
        <v>4888</v>
      </c>
      <c r="E164" s="69"/>
      <c r="F164" s="65" t="s">
        <v>5701</v>
      </c>
      <c r="G164" s="65"/>
      <c r="H164" s="65" t="str">
        <f>IFERROR(INDEX('Docketed Comments'!C:C,MATCH(A164,'Docketed Comments'!H:H,0))&amp;", "&amp;INDEX('Docketed Comments'!B:B,MATCH(A164,'Docketed Comments'!H:H,0)),"")</f>
        <v>Jonathan, Haggard</v>
      </c>
      <c r="I164" s="65" t="str">
        <f>IFERROR(INDEX('Docketed Comments'!D:D,MATCH(A164,'Docketed Comments'!H:H,0)),"")</f>
        <v>Tempe</v>
      </c>
      <c r="J164" s="65" t="str">
        <f>IFERROR(INDEX('Docketed Comments'!I:I,MATCH(A164,'Docketed Comments'!H:H,0)),"")</f>
        <v>R3-47</v>
      </c>
      <c r="K164" s="65" t="str">
        <f t="shared" si="5"/>
        <v>❌ Not on Best Plan</v>
      </c>
      <c r="L164" s="65" t="str">
        <f>IFERROR(INDEX('Docketed Comments'!F:F,MATCH(A164,'Docketed Comments'!H:H,0)),"")</f>
        <v>Opposed- no reason for a rate hike</v>
      </c>
      <c r="M164" s="137" t="str">
        <f>IFERROR(HYPERLINK(INDEX('Docketed Comments'!G:G,MATCH(A164,'Docketed Comments'!H:H,0)),"📄 View Docket"),"")</f>
        <v>📄 View Docket</v>
      </c>
      <c r="N164" s="135" t="str">
        <f>IFERROR(INDEX('Docketed Comments'!N:N,MATCH(A164,'Docketed Comments'!H:H,0)),"")</f>
        <v>No</v>
      </c>
      <c r="O164" s="135" t="str">
        <f>IFERROR(INDEX('Docketed Comments'!L:L,MATCH(A164,'Docketed Comments'!H:H,0)),"")</f>
        <v>Not eligible yet (needs 3 months)</v>
      </c>
      <c r="P164" s="136">
        <f t="shared" si="4"/>
        <v>0</v>
      </c>
      <c r="Q164" s="140" t="s">
        <v>5809</v>
      </c>
      <c r="R164" s="144">
        <v>0</v>
      </c>
    </row>
    <row r="165" spans="1:18" ht="21.95" customHeight="1">
      <c r="A165" s="71" t="s">
        <v>2773</v>
      </c>
      <c r="B165" s="69" t="s">
        <v>4887</v>
      </c>
      <c r="C165" s="70">
        <v>46053</v>
      </c>
      <c r="D165" s="69" t="s">
        <v>4865</v>
      </c>
      <c r="E165" s="69" t="s">
        <v>4898</v>
      </c>
      <c r="F165" s="65"/>
      <c r="G165" s="65"/>
      <c r="H165" s="65" t="str">
        <f>IFERROR(INDEX('Docketed Comments'!C:C,MATCH(A165,'Docketed Comments'!H:H,0))&amp;", "&amp;INDEX('Docketed Comments'!B:B,MATCH(A165,'Docketed Comments'!H:H,0)),"")</f>
        <v>Richard, LeVangie</v>
      </c>
      <c r="I165" s="65" t="str">
        <f>IFERROR(INDEX('Docketed Comments'!D:D,MATCH(A165,'Docketed Comments'!H:H,0)),"")</f>
        <v>Phoenix</v>
      </c>
      <c r="J165" s="65" t="str">
        <f>IFERROR(INDEX('Docketed Comments'!I:I,MATCH(A165,'Docketed Comments'!H:H,0)),"")</f>
        <v>R3-47</v>
      </c>
      <c r="K165" s="65" t="str">
        <f t="shared" si="5"/>
        <v>❌ Not on Best Plan</v>
      </c>
      <c r="L165" s="65" t="str">
        <f>IFERROR(INDEX('Docketed Comments'!F:F,MATCH(A165,'Docketed Comments'!H:H,0)),"")</f>
        <v>Opposed-I'm moving to SRP territory</v>
      </c>
      <c r="M165" s="137" t="str">
        <f>IFERROR(HYPERLINK(INDEX('Docketed Comments'!G:G,MATCH(A165,'Docketed Comments'!H:H,0)),"📄 View Docket"),"")</f>
        <v>📄 View Docket</v>
      </c>
      <c r="N165" s="135" t="str">
        <f>IFERROR(INDEX('Docketed Comments'!N:N,MATCH(A165,'Docketed Comments'!H:H,0)),"")</f>
        <v>No</v>
      </c>
      <c r="O165" s="135" t="str">
        <f>IFERROR(INDEX('Docketed Comments'!L:L,MATCH(A165,'Docketed Comments'!H:H,0)),"")</f>
        <v>Not eligible yet (needs 3 months)</v>
      </c>
      <c r="P165" s="136">
        <f t="shared" si="4"/>
        <v>0</v>
      </c>
      <c r="Q165" s="140" t="s">
        <v>5809</v>
      </c>
      <c r="R165" s="144">
        <v>0</v>
      </c>
    </row>
    <row r="166" spans="1:18" ht="21.95" customHeight="1">
      <c r="A166" s="71" t="s">
        <v>5037</v>
      </c>
      <c r="B166" s="69" t="s">
        <v>4887</v>
      </c>
      <c r="C166" s="70">
        <v>46039</v>
      </c>
      <c r="D166" s="69" t="s">
        <v>4865</v>
      </c>
      <c r="E166" s="69"/>
      <c r="F166" s="65" t="s">
        <v>5766</v>
      </c>
      <c r="G166" s="65"/>
      <c r="H166" s="65" t="str">
        <f>IFERROR(INDEX('Docketed Comments'!C:C,MATCH(A166,'Docketed Comments'!H:H,0))&amp;", "&amp;INDEX('Docketed Comments'!B:B,MATCH(A166,'Docketed Comments'!H:H,0)),"")</f>
        <v>Madilyn, Rhodes</v>
      </c>
      <c r="I166" s="65" t="str">
        <f>IFERROR(INDEX('Docketed Comments'!D:D,MATCH(A166,'Docketed Comments'!H:H,0)),"")</f>
        <v>Phoenix</v>
      </c>
      <c r="J166" s="65" t="str">
        <f>IFERROR(INDEX('Docketed Comments'!I:I,MATCH(A166,'Docketed Comments'!H:H,0)),"")</f>
        <v>R3-47</v>
      </c>
      <c r="K166" s="65" t="str">
        <f t="shared" si="5"/>
        <v>❌ Not on Best Plan</v>
      </c>
      <c r="L166" s="65" t="str">
        <f>IFERROR(INDEX('Docketed Comments'!F:F,MATCH(A166,'Docketed Comments'!H:H,0)),"")</f>
        <v>Opposed-prioritizes share holders over customers</v>
      </c>
      <c r="M166" s="137" t="str">
        <f>IFERROR(HYPERLINK(INDEX('Docketed Comments'!G:G,MATCH(A166,'Docketed Comments'!H:H,0)),"📄 View Docket"),"")</f>
        <v>📄 View Docket</v>
      </c>
      <c r="N166" s="135" t="str">
        <f>IFERROR(INDEX('Docketed Comments'!N:N,MATCH(A166,'Docketed Comments'!H:H,0)),"")</f>
        <v>No</v>
      </c>
      <c r="O166" s="135" t="str">
        <f>IFERROR(INDEX('Docketed Comments'!L:L,MATCH(A166,'Docketed Comments'!H:H,0)),"")</f>
        <v>No MEP R-BASIC ($254.29)</v>
      </c>
      <c r="P166" s="136">
        <f t="shared" si="4"/>
        <v>254.29</v>
      </c>
      <c r="Q166" s="140" t="s">
        <v>5809</v>
      </c>
      <c r="R166" s="144">
        <v>0</v>
      </c>
    </row>
    <row r="167" spans="1:18" ht="21.95" customHeight="1">
      <c r="A167" s="71" t="s">
        <v>2798</v>
      </c>
      <c r="B167" s="69" t="s">
        <v>4887</v>
      </c>
      <c r="C167" s="70">
        <v>46039</v>
      </c>
      <c r="D167" s="69" t="s">
        <v>4865</v>
      </c>
      <c r="E167" s="69" t="s">
        <v>4898</v>
      </c>
      <c r="F167" s="65" t="s">
        <v>5767</v>
      </c>
      <c r="G167" s="65"/>
      <c r="H167" s="65" t="str">
        <f>IFERROR(INDEX('Docketed Comments'!C:C,MATCH(A167,'Docketed Comments'!H:H,0))&amp;", "&amp;INDEX('Docketed Comments'!B:B,MATCH(A167,'Docketed Comments'!H:H,0)),"")</f>
        <v>Samantha, Hill</v>
      </c>
      <c r="I167" s="65" t="str">
        <f>IFERROR(INDEX('Docketed Comments'!D:D,MATCH(A167,'Docketed Comments'!H:H,0)),"")</f>
        <v>Peoria</v>
      </c>
      <c r="J167" s="65" t="str">
        <f>IFERROR(INDEX('Docketed Comments'!I:I,MATCH(A167,'Docketed Comments'!H:H,0)),"")</f>
        <v>RTOUE47</v>
      </c>
      <c r="K167" s="65" t="str">
        <f t="shared" si="5"/>
        <v>❌ Not on Best Plan</v>
      </c>
      <c r="L167" s="65" t="str">
        <f>IFERROR(INDEX('Docketed Comments'!F:F,MATCH(A167,'Docketed Comments'!H:H,0)),"")</f>
        <v>APS needs to be kept inn check and ave rates controlled</v>
      </c>
      <c r="M167" s="137" t="str">
        <f>IFERROR(HYPERLINK(INDEX('Docketed Comments'!G:G,MATCH(A167,'Docketed Comments'!H:H,0)),"📄 View Docket"),"")</f>
        <v>📄 View Docket</v>
      </c>
      <c r="N167" s="135" t="str">
        <f>IFERROR(INDEX('Docketed Comments'!N:N,MATCH(A167,'Docketed Comments'!H:H,0)),"")</f>
        <v>No</v>
      </c>
      <c r="O167" s="135" t="str">
        <f>IFERROR(INDEX('Docketed Comments'!L:L,MATCH(A167,'Docketed Comments'!H:H,0)),"")</f>
        <v>No MEP R3-47 ($65.89)</v>
      </c>
      <c r="P167" s="136">
        <f t="shared" si="4"/>
        <v>65.89</v>
      </c>
      <c r="Q167" s="140" t="s">
        <v>5809</v>
      </c>
      <c r="R167" s="144">
        <v>0</v>
      </c>
    </row>
    <row r="168" spans="1:18" ht="21.95" customHeight="1">
      <c r="A168" s="71" t="s">
        <v>2801</v>
      </c>
      <c r="B168" s="69" t="s">
        <v>4887</v>
      </c>
      <c r="C168" s="70">
        <v>46039</v>
      </c>
      <c r="D168" s="69" t="s">
        <v>4865</v>
      </c>
      <c r="E168" s="69" t="s">
        <v>4897</v>
      </c>
      <c r="F168" s="65" t="s">
        <v>5768</v>
      </c>
      <c r="G168" s="65"/>
      <c r="H168" s="65" t="str">
        <f>IFERROR(INDEX('Docketed Comments'!C:C,MATCH(A168,'Docketed Comments'!H:H,0))&amp;", "&amp;INDEX('Docketed Comments'!B:B,MATCH(A168,'Docketed Comments'!H:H,0)),"")</f>
        <v>Dawn, Hoffner</v>
      </c>
      <c r="I168" s="65" t="str">
        <f>IFERROR(INDEX('Docketed Comments'!D:D,MATCH(A168,'Docketed Comments'!H:H,0)),"")</f>
        <v>Scottsdale</v>
      </c>
      <c r="J168" s="65" t="str">
        <f>IFERROR(INDEX('Docketed Comments'!I:I,MATCH(A168,'Docketed Comments'!H:H,0)),"")</f>
        <v>RTOUE47</v>
      </c>
      <c r="K168" s="65" t="str">
        <f t="shared" si="5"/>
        <v>❌ Not on Best Plan</v>
      </c>
      <c r="L168" s="65" t="str">
        <f>IFERROR(INDEX('Docketed Comments'!F:F,MATCH(A168,'Docketed Comments'!H:H,0)),"")</f>
        <v>Form letter</v>
      </c>
      <c r="M168" s="137" t="str">
        <f>IFERROR(HYPERLINK(INDEX('Docketed Comments'!G:G,MATCH(A168,'Docketed Comments'!H:H,0)),"📄 View Docket"),"")</f>
        <v>📄 View Docket</v>
      </c>
      <c r="N168" s="135" t="str">
        <f>IFERROR(INDEX('Docketed Comments'!N:N,MATCH(A168,'Docketed Comments'!H:H,0)),"")</f>
        <v>No</v>
      </c>
      <c r="O168" s="135" t="str">
        <f>IFERROR(INDEX('Docketed Comments'!L:L,MATCH(A168,'Docketed Comments'!H:H,0)),"")</f>
        <v>No MEP R3-47 ($91.07)</v>
      </c>
      <c r="P168" s="136">
        <f t="shared" si="4"/>
        <v>91.07</v>
      </c>
      <c r="Q168" s="140" t="s">
        <v>5809</v>
      </c>
      <c r="R168" s="144">
        <v>0</v>
      </c>
    </row>
    <row r="169" spans="1:18" ht="21.95" customHeight="1">
      <c r="A169" s="71" t="s">
        <v>5038</v>
      </c>
      <c r="B169" s="69" t="s">
        <v>4887</v>
      </c>
      <c r="C169" s="70">
        <v>46053</v>
      </c>
      <c r="D169" s="69" t="s">
        <v>4888</v>
      </c>
      <c r="E169" s="69"/>
      <c r="F169" s="65" t="s">
        <v>5701</v>
      </c>
      <c r="G169" s="65"/>
      <c r="H169" s="65" t="str">
        <f>IFERROR(INDEX('Docketed Comments'!C:C,MATCH(A169,'Docketed Comments'!H:H,0))&amp;", "&amp;INDEX('Docketed Comments'!B:B,MATCH(A169,'Docketed Comments'!H:H,0)),"")</f>
        <v>Marisol, De Santiago</v>
      </c>
      <c r="I169" s="65" t="str">
        <f>IFERROR(INDEX('Docketed Comments'!D:D,MATCH(A169,'Docketed Comments'!H:H,0)),"")</f>
        <v>Buckeye</v>
      </c>
      <c r="J169" s="65" t="str">
        <f>IFERROR(INDEX('Docketed Comments'!I:I,MATCH(A169,'Docketed Comments'!H:H,0)),"")</f>
        <v>RTOUE47</v>
      </c>
      <c r="K169" s="65" t="str">
        <f t="shared" si="5"/>
        <v>❌ Not on Best Plan</v>
      </c>
      <c r="L169" s="65" t="str">
        <f>IFERROR(INDEX('Docketed Comments'!F:F,MATCH(A169,'Docketed Comments'!H:H,0)),"")</f>
        <v>I object</v>
      </c>
      <c r="M169" s="137" t="str">
        <f>IFERROR(HYPERLINK(INDEX('Docketed Comments'!G:G,MATCH(A169,'Docketed Comments'!H:H,0)),"📄 View Docket"),"")</f>
        <v>📄 View Docket</v>
      </c>
      <c r="N169" s="135" t="str">
        <f>IFERROR(INDEX('Docketed Comments'!N:N,MATCH(A169,'Docketed Comments'!H:H,0)),"")</f>
        <v>No</v>
      </c>
      <c r="O169" s="135" t="str">
        <f>IFERROR(INDEX('Docketed Comments'!L:L,MATCH(A169,'Docketed Comments'!H:H,0)),"")</f>
        <v>No MEP R3-47(104.05)</v>
      </c>
      <c r="P169" s="136">
        <f t="shared" si="4"/>
        <v>104.05</v>
      </c>
      <c r="Q169" s="140" t="s">
        <v>5809</v>
      </c>
      <c r="R169" s="144">
        <v>0</v>
      </c>
    </row>
    <row r="170" spans="1:18" ht="21.95" customHeight="1">
      <c r="A170" s="71" t="s">
        <v>5039</v>
      </c>
      <c r="B170" s="69" t="s">
        <v>4887</v>
      </c>
      <c r="C170" s="70">
        <v>46053</v>
      </c>
      <c r="D170" s="69" t="s">
        <v>4888</v>
      </c>
      <c r="E170" s="69"/>
      <c r="F170" s="65" t="s">
        <v>5701</v>
      </c>
      <c r="G170" s="65"/>
      <c r="H170" s="65" t="str">
        <f>IFERROR(INDEX('Docketed Comments'!C:C,MATCH(A170,'Docketed Comments'!H:H,0))&amp;", "&amp;INDEX('Docketed Comments'!B:B,MATCH(A170,'Docketed Comments'!H:H,0)),"")</f>
        <v>Karen, Dietrich</v>
      </c>
      <c r="I170" s="65" t="str">
        <f>IFERROR(INDEX('Docketed Comments'!D:D,MATCH(A170,'Docketed Comments'!H:H,0)),"")</f>
        <v>Dewey</v>
      </c>
      <c r="J170" s="65" t="str">
        <f>IFERROR(INDEX('Docketed Comments'!I:I,MATCH(A170,'Docketed Comments'!H:H,0)),"")</f>
        <v>R-XS</v>
      </c>
      <c r="K170" s="65" t="str">
        <f t="shared" si="5"/>
        <v>❌ Not on Best Plan</v>
      </c>
      <c r="L170" s="65" t="str">
        <f>IFERROR(INDEX('Docketed Comments'!F:F,MATCH(A170,'Docketed Comments'!H:H,0)),"")</f>
        <v>Enough is enough with increases</v>
      </c>
      <c r="M170" s="137" t="str">
        <f>IFERROR(HYPERLINK(INDEX('Docketed Comments'!G:G,MATCH(A170,'Docketed Comments'!H:H,0)),"📄 View Docket"),"")</f>
        <v>📄 View Docket</v>
      </c>
      <c r="N170" s="135" t="str">
        <f>IFERROR(INDEX('Docketed Comments'!N:N,MATCH(A170,'Docketed Comments'!H:H,0)),"")</f>
        <v>No</v>
      </c>
      <c r="O170" s="135" t="str">
        <f>IFERROR(INDEX('Docketed Comments'!L:L,MATCH(A170,'Docketed Comments'!H:H,0)),"")</f>
        <v>Not eligible</v>
      </c>
      <c r="P170" s="136">
        <f t="shared" si="4"/>
        <v>0</v>
      </c>
      <c r="Q170" s="140" t="s">
        <v>5809</v>
      </c>
      <c r="R170" s="144">
        <v>0</v>
      </c>
    </row>
    <row r="171" spans="1:18" ht="21.95" customHeight="1">
      <c r="A171" s="71" t="s">
        <v>5040</v>
      </c>
      <c r="B171" s="69" t="s">
        <v>4887</v>
      </c>
      <c r="C171" s="70">
        <v>46053</v>
      </c>
      <c r="D171" s="69" t="s">
        <v>4888</v>
      </c>
      <c r="E171" s="69"/>
      <c r="F171" s="65" t="s">
        <v>5701</v>
      </c>
      <c r="G171" s="65"/>
      <c r="H171" s="65" t="str">
        <f>IFERROR(INDEX('Docketed Comments'!C:C,MATCH(A171,'Docketed Comments'!H:H,0))&amp;", "&amp;INDEX('Docketed Comments'!B:B,MATCH(A171,'Docketed Comments'!H:H,0)),"")</f>
        <v>Linnette, Morales</v>
      </c>
      <c r="I171" s="65" t="str">
        <f>IFERROR(INDEX('Docketed Comments'!D:D,MATCH(A171,'Docketed Comments'!H:H,0)),"")</f>
        <v>Peoria</v>
      </c>
      <c r="J171" s="65" t="str">
        <f>IFERROR(INDEX('Docketed Comments'!I:I,MATCH(A171,'Docketed Comments'!H:H,0)),"")</f>
        <v>RTOUE47</v>
      </c>
      <c r="K171" s="65" t="str">
        <f t="shared" si="5"/>
        <v>❌ Not on Best Plan</v>
      </c>
      <c r="L171" s="65" t="str">
        <f>IFERROR(INDEX('Docketed Comments'!F:F,MATCH(A171,'Docketed Comments'!H:H,0)),"")</f>
        <v>Form letter</v>
      </c>
      <c r="M171" s="137" t="str">
        <f>IFERROR(HYPERLINK(INDEX('Docketed Comments'!G:G,MATCH(A171,'Docketed Comments'!H:H,0)),"📄 View Docket"),"")</f>
        <v>📄 View Docket</v>
      </c>
      <c r="N171" s="135" t="str">
        <f>IFERROR(INDEX('Docketed Comments'!N:N,MATCH(A171,'Docketed Comments'!H:H,0)),"")</f>
        <v>No</v>
      </c>
      <c r="O171" s="135" t="str">
        <f>IFERROR(INDEX('Docketed Comments'!L:L,MATCH(A171,'Docketed Comments'!H:H,0)),"")</f>
        <v>No MEP R-XS(143.13)</v>
      </c>
      <c r="P171" s="136">
        <f t="shared" si="4"/>
        <v>143.13</v>
      </c>
      <c r="Q171" s="140" t="s">
        <v>5809</v>
      </c>
      <c r="R171" s="144">
        <v>0</v>
      </c>
    </row>
    <row r="172" spans="1:18" ht="21.95" customHeight="1">
      <c r="A172" s="71" t="s">
        <v>5041</v>
      </c>
      <c r="B172" s="69" t="s">
        <v>4887</v>
      </c>
      <c r="C172" s="70">
        <v>46053</v>
      </c>
      <c r="D172" s="69" t="s">
        <v>4865</v>
      </c>
      <c r="E172" s="69" t="s">
        <v>4898</v>
      </c>
      <c r="F172" s="65"/>
      <c r="G172" s="65"/>
      <c r="H172" s="65" t="str">
        <f>IFERROR(INDEX('Docketed Comments'!C:C,MATCH(A172,'Docketed Comments'!H:H,0))&amp;", "&amp;INDEX('Docketed Comments'!B:B,MATCH(A172,'Docketed Comments'!H:H,0)),"")</f>
        <v>Linda, Kapolas</v>
      </c>
      <c r="I172" s="65" t="str">
        <f>IFERROR(INDEX('Docketed Comments'!D:D,MATCH(A172,'Docketed Comments'!H:H,0)),"")</f>
        <v>Goodyear</v>
      </c>
      <c r="J172" s="65" t="str">
        <f>IFERROR(INDEX('Docketed Comments'!I:I,MATCH(A172,'Docketed Comments'!H:H,0)),"")</f>
        <v>RCPw/RTOUE47</v>
      </c>
      <c r="K172" s="65" t="str">
        <f t="shared" si="5"/>
        <v>❌ Not on Best Plan</v>
      </c>
      <c r="L172" s="65" t="str">
        <f>IFERROR(INDEX('Docketed Comments'!F:F,MATCH(A172,'Docketed Comments'!H:H,0)),"")</f>
        <v>From letter</v>
      </c>
      <c r="M172" s="137" t="str">
        <f>IFERROR(HYPERLINK(INDEX('Docketed Comments'!G:G,MATCH(A172,'Docketed Comments'!H:H,0)),"📄 View Docket"),"")</f>
        <v>📄 View Docket</v>
      </c>
      <c r="N172" s="135" t="str">
        <f>IFERROR(INDEX('Docketed Comments'!N:N,MATCH(A172,'Docketed Comments'!H:H,0)),"")</f>
        <v>No</v>
      </c>
      <c r="O172" s="135" t="str">
        <f>IFERROR(INDEX('Docketed Comments'!L:L,MATCH(A172,'Docketed Comments'!H:H,0)),"")</f>
        <v>No MEP R3-47(7.05)</v>
      </c>
      <c r="P172" s="136">
        <f t="shared" si="4"/>
        <v>7.05</v>
      </c>
      <c r="Q172" s="140" t="s">
        <v>5809</v>
      </c>
      <c r="R172" s="144">
        <v>0</v>
      </c>
    </row>
    <row r="173" spans="1:18" ht="21.95" customHeight="1">
      <c r="A173" s="71" t="s">
        <v>5042</v>
      </c>
      <c r="B173" s="69" t="s">
        <v>4887</v>
      </c>
      <c r="C173" s="70">
        <v>46053</v>
      </c>
      <c r="D173" s="69" t="s">
        <v>4865</v>
      </c>
      <c r="E173" s="69" t="s">
        <v>4898</v>
      </c>
      <c r="F173" s="65" t="s">
        <v>4890</v>
      </c>
      <c r="G173" s="65"/>
      <c r="H173" s="65" t="str">
        <f>IFERROR(INDEX('Docketed Comments'!C:C,MATCH(A173,'Docketed Comments'!H:H,0))&amp;", "&amp;INDEX('Docketed Comments'!B:B,MATCH(A173,'Docketed Comments'!H:H,0)),"")</f>
        <v>Kendall, Eskew</v>
      </c>
      <c r="I173" s="65" t="str">
        <f>IFERROR(INDEX('Docketed Comments'!D:D,MATCH(A173,'Docketed Comments'!H:H,0)),"")</f>
        <v>Buckeye</v>
      </c>
      <c r="J173" s="65" t="str">
        <f>IFERROR(INDEX('Docketed Comments'!I:I,MATCH(A173,'Docketed Comments'!H:H,0)),"")</f>
        <v>REV47</v>
      </c>
      <c r="K173" s="65" t="str">
        <f t="shared" si="5"/>
        <v>❌ Not on Best Plan</v>
      </c>
      <c r="L173" s="65" t="str">
        <f>IFERROR(INDEX('Docketed Comments'!F:F,MATCH(A173,'Docketed Comments'!H:H,0)),"")</f>
        <v>Opposed- Solar customers are to shoulder the financial burden</v>
      </c>
      <c r="M173" s="137" t="str">
        <f>IFERROR(HYPERLINK(INDEX('Docketed Comments'!G:G,MATCH(A173,'Docketed Comments'!H:H,0)),"📄 View Docket"),"")</f>
        <v>📄 View Docket</v>
      </c>
      <c r="N173" s="135" t="str">
        <f>IFERROR(INDEX('Docketed Comments'!N:N,MATCH(A173,'Docketed Comments'!H:H,0)),"")</f>
        <v>No</v>
      </c>
      <c r="O173" s="135" t="str">
        <f>IFERROR(INDEX('Docketed Comments'!L:L,MATCH(A173,'Docketed Comments'!H:H,0)),"")</f>
        <v>No MEP R3-47(23.91)</v>
      </c>
      <c r="P173" s="136">
        <f t="shared" si="4"/>
        <v>23.91</v>
      </c>
      <c r="Q173" s="140" t="s">
        <v>5809</v>
      </c>
      <c r="R173" s="144">
        <v>0</v>
      </c>
    </row>
    <row r="174" spans="1:18" ht="21.95" customHeight="1">
      <c r="A174" s="71" t="s">
        <v>5043</v>
      </c>
      <c r="B174" s="69" t="s">
        <v>4887</v>
      </c>
      <c r="C174" s="70">
        <v>46053</v>
      </c>
      <c r="D174" s="69" t="s">
        <v>4865</v>
      </c>
      <c r="E174" s="69" t="s">
        <v>4898</v>
      </c>
      <c r="F174" s="65"/>
      <c r="G174" s="65"/>
      <c r="H174" s="65" t="str">
        <f>IFERROR(INDEX('Docketed Comments'!C:C,MATCH(A174,'Docketed Comments'!H:H,0))&amp;", "&amp;INDEX('Docketed Comments'!B:B,MATCH(A174,'Docketed Comments'!H:H,0)),"")</f>
        <v>Elliot, Simpson</v>
      </c>
      <c r="I174" s="65" t="str">
        <f>IFERROR(INDEX('Docketed Comments'!D:D,MATCH(A174,'Docketed Comments'!H:H,0)),"")</f>
        <v>Phoenix</v>
      </c>
      <c r="J174" s="65" t="str">
        <f>IFERROR(INDEX('Docketed Comments'!I:I,MATCH(A174,'Docketed Comments'!H:H,0)),"")</f>
        <v>REV47</v>
      </c>
      <c r="K174" s="65" t="str">
        <f t="shared" si="5"/>
        <v>❌ Not on Best Plan</v>
      </c>
      <c r="L174" s="65" t="str">
        <f>IFERROR(INDEX('Docketed Comments'!F:F,MATCH(A174,'Docketed Comments'!H:H,0)),"")</f>
        <v>Respectfully Opposed-already financially strained</v>
      </c>
      <c r="M174" s="137" t="str">
        <f>IFERROR(HYPERLINK(INDEX('Docketed Comments'!G:G,MATCH(A174,'Docketed Comments'!H:H,0)),"📄 View Docket"),"")</f>
        <v>📄 View Docket</v>
      </c>
      <c r="N174" s="135" t="str">
        <f>IFERROR(INDEX('Docketed Comments'!N:N,MATCH(A174,'Docketed Comments'!H:H,0)),"")</f>
        <v>No</v>
      </c>
      <c r="O174" s="135" t="str">
        <f>IFERROR(INDEX('Docketed Comments'!L:L,MATCH(A174,'Docketed Comments'!H:H,0)),"")</f>
        <v>Not eligible yet (needs 3 months)</v>
      </c>
      <c r="P174" s="136">
        <f t="shared" si="4"/>
        <v>0</v>
      </c>
      <c r="Q174" s="140" t="s">
        <v>5809</v>
      </c>
      <c r="R174" s="144">
        <v>0</v>
      </c>
    </row>
    <row r="175" spans="1:18" ht="21.95" customHeight="1">
      <c r="A175" s="71" t="s">
        <v>5044</v>
      </c>
      <c r="B175" s="69" t="s">
        <v>4887</v>
      </c>
      <c r="C175" s="70">
        <v>46053</v>
      </c>
      <c r="D175" s="69" t="s">
        <v>4888</v>
      </c>
      <c r="E175" s="69"/>
      <c r="F175" s="65" t="s">
        <v>5701</v>
      </c>
      <c r="G175" s="65"/>
      <c r="H175" s="65" t="str">
        <f>IFERROR(INDEX('Docketed Comments'!C:C,MATCH(A175,'Docketed Comments'!H:H,0))&amp;", "&amp;INDEX('Docketed Comments'!B:B,MATCH(A175,'Docketed Comments'!H:H,0)),"")</f>
        <v>Linda, Rae</v>
      </c>
      <c r="I175" s="65" t="str">
        <f>IFERROR(INDEX('Docketed Comments'!D:D,MATCH(A175,'Docketed Comments'!H:H,0)),"")</f>
        <v>Prescott Valley</v>
      </c>
      <c r="J175" s="65" t="str">
        <f>IFERROR(INDEX('Docketed Comments'!I:I,MATCH(A175,'Docketed Comments'!H:H,0)),"")</f>
        <v>RTOUE47</v>
      </c>
      <c r="K175" s="65" t="str">
        <f t="shared" si="5"/>
        <v>❌ Not on Best Plan</v>
      </c>
      <c r="L175" s="65" t="str">
        <f>IFERROR(INDEX('Docketed Comments'!F:F,MATCH(A175,'Docketed Comments'!H:H,0)),"")</f>
        <v>Retiree, increase will cause hardship</v>
      </c>
      <c r="M175" s="137" t="str">
        <f>IFERROR(HYPERLINK(INDEX('Docketed Comments'!G:G,MATCH(A175,'Docketed Comments'!H:H,0)),"📄 View Docket"),"")</f>
        <v>📄 View Docket</v>
      </c>
      <c r="N175" s="135" t="str">
        <f>IFERROR(INDEX('Docketed Comments'!N:N,MATCH(A175,'Docketed Comments'!H:H,0)),"")</f>
        <v>No</v>
      </c>
      <c r="O175" s="135" t="str">
        <f>IFERROR(INDEX('Docketed Comments'!L:L,MATCH(A175,'Docketed Comments'!H:H,0)),"")</f>
        <v>No MEP R-BASIC(90.00)</v>
      </c>
      <c r="P175" s="136">
        <f t="shared" si="4"/>
        <v>90</v>
      </c>
      <c r="Q175" s="140" t="s">
        <v>5809</v>
      </c>
      <c r="R175" s="144">
        <v>0</v>
      </c>
    </row>
    <row r="176" spans="1:18" ht="21.95" customHeight="1">
      <c r="A176" s="71" t="s">
        <v>5045</v>
      </c>
      <c r="B176" s="69" t="s">
        <v>4887</v>
      </c>
      <c r="C176" s="70">
        <v>46053</v>
      </c>
      <c r="D176" s="69" t="s">
        <v>4888</v>
      </c>
      <c r="E176" s="69"/>
      <c r="F176" s="65" t="s">
        <v>5701</v>
      </c>
      <c r="G176" s="65"/>
      <c r="H176" s="65" t="str">
        <f>IFERROR(INDEX('Docketed Comments'!C:C,MATCH(A176,'Docketed Comments'!H:H,0))&amp;", "&amp;INDEX('Docketed Comments'!B:B,MATCH(A176,'Docketed Comments'!H:H,0)),"")</f>
        <v>Cynthia, Tornetta</v>
      </c>
      <c r="I176" s="65" t="str">
        <f>IFERROR(INDEX('Docketed Comments'!D:D,MATCH(A176,'Docketed Comments'!H:H,0)),"")</f>
        <v>Unknown</v>
      </c>
      <c r="J176" s="65" t="str">
        <f>IFERROR(INDEX('Docketed Comments'!I:I,MATCH(A176,'Docketed Comments'!H:H,0)),"")</f>
        <v>R-BASICL</v>
      </c>
      <c r="K176" s="65" t="str">
        <f t="shared" si="5"/>
        <v>❌ Not on Best Plan</v>
      </c>
      <c r="L176" s="65" t="str">
        <f>IFERROR(INDEX('Docketed Comments'!F:F,MATCH(A176,'Docketed Comments'!H:H,0)),"")</f>
        <v>Opposed-please consider seniors,families,fixed income</v>
      </c>
      <c r="M176" s="137" t="str">
        <f>IFERROR(HYPERLINK(INDEX('Docketed Comments'!G:G,MATCH(A176,'Docketed Comments'!H:H,0)),"📄 View Docket"),"")</f>
        <v>📄 View Docket</v>
      </c>
      <c r="N176" s="135" t="str">
        <f>IFERROR(INDEX('Docketed Comments'!N:N,MATCH(A176,'Docketed Comments'!H:H,0)),"")</f>
        <v>No</v>
      </c>
      <c r="O176" s="135" t="str">
        <f>IFERROR(INDEX('Docketed Comments'!L:L,MATCH(A176,'Docketed Comments'!H:H,0)),"")</f>
        <v>No MEP R3-47(68.47)</v>
      </c>
      <c r="P176" s="136">
        <f t="shared" si="4"/>
        <v>68.47</v>
      </c>
      <c r="Q176" s="140" t="s">
        <v>5809</v>
      </c>
      <c r="R176" s="144">
        <v>0</v>
      </c>
    </row>
    <row r="177" spans="1:18" ht="21.95" customHeight="1">
      <c r="A177" s="71" t="s">
        <v>3010</v>
      </c>
      <c r="B177" s="69" t="s">
        <v>4887</v>
      </c>
      <c r="C177" s="70">
        <v>46032</v>
      </c>
      <c r="D177" s="69" t="s">
        <v>4888</v>
      </c>
      <c r="E177" s="69"/>
      <c r="F177" s="65" t="s">
        <v>4932</v>
      </c>
      <c r="G177" s="65"/>
      <c r="H177" s="65" t="str">
        <f>IFERROR(INDEX('Docketed Comments'!C:C,MATCH(A177,'Docketed Comments'!H:H,0))&amp;", "&amp;INDEX('Docketed Comments'!B:B,MATCH(A177,'Docketed Comments'!H:H,0)),"")</f>
        <v>Brenda, Myers</v>
      </c>
      <c r="I177" s="65" t="str">
        <f>IFERROR(INDEX('Docketed Comments'!D:D,MATCH(A177,'Docketed Comments'!H:H,0)),"")</f>
        <v>Sun City</v>
      </c>
      <c r="J177" s="65" t="str">
        <f>IFERROR(INDEX('Docketed Comments'!I:I,MATCH(A177,'Docketed Comments'!H:H,0)),"")</f>
        <v>R-BASICL</v>
      </c>
      <c r="K177" s="65" t="str">
        <f t="shared" si="5"/>
        <v>❌ Not on Best Plan</v>
      </c>
      <c r="L177" s="65" t="str">
        <f>IFERROR(INDEX('Docketed Comments'!F:F,MATCH(A177,'Docketed Comments'!H:H,0)),"")</f>
        <v>Form Letter: Enough is enough! You must reject the latest 14% rate hikes by APS and TEP</v>
      </c>
      <c r="M177" s="137" t="str">
        <f>IFERROR(HYPERLINK(INDEX('Docketed Comments'!G:G,MATCH(A177,'Docketed Comments'!H:H,0)),"📄 View Docket"),"")</f>
        <v>📄 View Docket</v>
      </c>
      <c r="N177" s="135" t="str">
        <f>IFERROR(INDEX('Docketed Comments'!N:N,MATCH(A177,'Docketed Comments'!H:H,0)),"")</f>
        <v>No</v>
      </c>
      <c r="O177" s="135" t="str">
        <f>IFERROR(INDEX('Docketed Comments'!L:L,MATCH(A177,'Docketed Comments'!H:H,0)),"")</f>
        <v xml:space="preserve">No MEP R3-47 ($272.50) </v>
      </c>
      <c r="P177" s="136">
        <f t="shared" si="4"/>
        <v>272.5</v>
      </c>
      <c r="Q177" s="140" t="s">
        <v>5809</v>
      </c>
      <c r="R177" s="144">
        <v>0</v>
      </c>
    </row>
    <row r="178" spans="1:18" ht="21.95" customHeight="1">
      <c r="A178" s="71" t="s">
        <v>3014</v>
      </c>
      <c r="B178" s="69" t="s">
        <v>4887</v>
      </c>
      <c r="C178" s="70">
        <v>46053</v>
      </c>
      <c r="D178" s="69" t="s">
        <v>4865</v>
      </c>
      <c r="E178" s="69" t="s">
        <v>4898</v>
      </c>
      <c r="F178" s="65"/>
      <c r="G178" s="65"/>
      <c r="H178" s="65" t="str">
        <f>IFERROR(INDEX('Docketed Comments'!C:C,MATCH(A178,'Docketed Comments'!H:H,0))&amp;", "&amp;INDEX('Docketed Comments'!B:B,MATCH(A178,'Docketed Comments'!H:H,0)),"")</f>
        <v>Gene, Holcombe</v>
      </c>
      <c r="I178" s="65" t="str">
        <f>IFERROR(INDEX('Docketed Comments'!D:D,MATCH(A178,'Docketed Comments'!H:H,0)),"")</f>
        <v>Cave Creek</v>
      </c>
      <c r="J178" s="65" t="str">
        <f>IFERROR(INDEX('Docketed Comments'!I:I,MATCH(A178,'Docketed Comments'!H:H,0)),"")</f>
        <v>RCPw/RTOUE47</v>
      </c>
      <c r="K178" s="65" t="str">
        <f t="shared" si="5"/>
        <v>❌ Not on Best Plan</v>
      </c>
      <c r="L178" s="65" t="str">
        <f>IFERROR(INDEX('Docketed Comments'!F:F,MATCH(A178,'Docketed Comments'!H:H,0)),"")</f>
        <v>Form Letter: Enough is enough! You must reject the latest 14% rate hikes by APS and TEP</v>
      </c>
      <c r="M178" s="137" t="str">
        <f>IFERROR(HYPERLINK(INDEX('Docketed Comments'!G:G,MATCH(A178,'Docketed Comments'!H:H,0)),"📄 View Docket"),"")</f>
        <v>📄 View Docket</v>
      </c>
      <c r="N178" s="135" t="str">
        <f>IFERROR(INDEX('Docketed Comments'!N:N,MATCH(A178,'Docketed Comments'!H:H,0)),"")</f>
        <v>No</v>
      </c>
      <c r="O178" s="135" t="str">
        <f>IFERROR(INDEX('Docketed Comments'!L:L,MATCH(A178,'Docketed Comments'!H:H,0)),"")</f>
        <v>Not eligible yet (needs 3 months)</v>
      </c>
      <c r="P178" s="136">
        <f t="shared" si="4"/>
        <v>0</v>
      </c>
      <c r="Q178" s="140" t="s">
        <v>5809</v>
      </c>
      <c r="R178" s="144">
        <v>0</v>
      </c>
    </row>
    <row r="179" spans="1:18" ht="21.95" customHeight="1">
      <c r="A179" s="71" t="s">
        <v>3041</v>
      </c>
      <c r="B179" s="69" t="s">
        <v>4887</v>
      </c>
      <c r="C179" s="70">
        <v>46032</v>
      </c>
      <c r="D179" s="69" t="s">
        <v>4888</v>
      </c>
      <c r="E179" s="69"/>
      <c r="F179" s="65" t="s">
        <v>5771</v>
      </c>
      <c r="G179" s="65"/>
      <c r="H179" s="65" t="str">
        <f>IFERROR(INDEX('Docketed Comments'!C:C,MATCH(A179,'Docketed Comments'!H:H,0))&amp;", "&amp;INDEX('Docketed Comments'!B:B,MATCH(A179,'Docketed Comments'!H:H,0)),"")</f>
        <v>Danielle, Foti</v>
      </c>
      <c r="I179" s="65" t="str">
        <f>IFERROR(INDEX('Docketed Comments'!D:D,MATCH(A179,'Docketed Comments'!H:H,0)),"")</f>
        <v>Bisbee</v>
      </c>
      <c r="J179" s="65" t="str">
        <f>IFERROR(INDEX('Docketed Comments'!I:I,MATCH(A179,'Docketed Comments'!H:H,0)),"")</f>
        <v>RTOUE47</v>
      </c>
      <c r="K179" s="65" t="str">
        <f t="shared" si="5"/>
        <v>❌ Not on Best Plan</v>
      </c>
      <c r="L179" s="65" t="str">
        <f>IFERROR(INDEX('Docketed Comments'!F:F,MATCH(A179,'Docketed Comments'!H:H,0)),"")</f>
        <v>Opposed - Arizonans are already struggling with inflation</v>
      </c>
      <c r="M179" s="137" t="str">
        <f>IFERROR(HYPERLINK(INDEX('Docketed Comments'!G:G,MATCH(A179,'Docketed Comments'!H:H,0)),"📄 View Docket"),"")</f>
        <v>📄 View Docket</v>
      </c>
      <c r="N179" s="135" t="str">
        <f>IFERROR(INDEX('Docketed Comments'!N:N,MATCH(A179,'Docketed Comments'!H:H,0)),"")</f>
        <v>No</v>
      </c>
      <c r="O179" s="135" t="str">
        <f>IFERROR(INDEX('Docketed Comments'!L:L,MATCH(A179,'Docketed Comments'!H:H,0)),"")</f>
        <v>No MEP R-XS ($108.43)</v>
      </c>
      <c r="P179" s="136">
        <f t="shared" si="4"/>
        <v>108.43</v>
      </c>
      <c r="Q179" s="140" t="s">
        <v>5809</v>
      </c>
      <c r="R179" s="144">
        <v>0</v>
      </c>
    </row>
    <row r="180" spans="1:18" ht="21.95" customHeight="1">
      <c r="A180" s="71" t="s">
        <v>3050</v>
      </c>
      <c r="B180" s="69" t="s">
        <v>4887</v>
      </c>
      <c r="C180" s="70">
        <v>46032</v>
      </c>
      <c r="D180" s="69"/>
      <c r="E180" s="69" t="s">
        <v>4898</v>
      </c>
      <c r="F180" s="65" t="s">
        <v>4932</v>
      </c>
      <c r="G180" s="65"/>
      <c r="H180" s="65" t="str">
        <f>IFERROR(INDEX('Docketed Comments'!C:C,MATCH(A180,'Docketed Comments'!H:H,0))&amp;", "&amp;INDEX('Docketed Comments'!B:B,MATCH(A180,'Docketed Comments'!H:H,0)),"")</f>
        <v>Jaime, Grimwood</v>
      </c>
      <c r="I180" s="65" t="str">
        <f>IFERROR(INDEX('Docketed Comments'!D:D,MATCH(A180,'Docketed Comments'!H:H,0)),"")</f>
        <v>Phoenix</v>
      </c>
      <c r="J180" s="65" t="str">
        <f>IFERROR(INDEX('Docketed Comments'!I:I,MATCH(A180,'Docketed Comments'!H:H,0)),"")</f>
        <v>R-BASICL</v>
      </c>
      <c r="K180" s="65" t="str">
        <f t="shared" si="5"/>
        <v>❌ Not on Best Plan</v>
      </c>
      <c r="L180" s="65" t="str">
        <f>IFERROR(INDEX('Docketed Comments'!F:F,MATCH(A180,'Docketed Comments'!H:H,0)),"")</f>
        <v>Form Letter: Enough is enough! You must reject the latest 14% rate hikes by APS and TEP</v>
      </c>
      <c r="M180" s="137" t="str">
        <f>IFERROR(HYPERLINK(INDEX('Docketed Comments'!G:G,MATCH(A180,'Docketed Comments'!H:H,0)),"📄 View Docket"),"")</f>
        <v>📄 View Docket</v>
      </c>
      <c r="N180" s="135" t="str">
        <f>IFERROR(INDEX('Docketed Comments'!N:N,MATCH(A180,'Docketed Comments'!H:H,0)),"")</f>
        <v>No</v>
      </c>
      <c r="O180" s="135" t="str">
        <f>IFERROR(INDEX('Docketed Comments'!L:L,MATCH(A180,'Docketed Comments'!H:H,0)),"")</f>
        <v>No MEP R3-47 ($437.04)</v>
      </c>
      <c r="P180" s="136">
        <f t="shared" si="4"/>
        <v>437.04</v>
      </c>
      <c r="Q180" s="140" t="s">
        <v>5809</v>
      </c>
      <c r="R180" s="144">
        <v>0</v>
      </c>
    </row>
    <row r="181" spans="1:18" ht="21.95" customHeight="1">
      <c r="A181" s="71" t="s">
        <v>3092</v>
      </c>
      <c r="B181" s="69" t="s">
        <v>4887</v>
      </c>
      <c r="C181" s="70">
        <v>46039</v>
      </c>
      <c r="D181" s="69" t="s">
        <v>4888</v>
      </c>
      <c r="E181" s="69"/>
      <c r="F181" s="65" t="s">
        <v>4890</v>
      </c>
      <c r="G181" s="65"/>
      <c r="H181" s="65" t="str">
        <f>IFERROR(INDEX('Docketed Comments'!C:C,MATCH(A181,'Docketed Comments'!H:H,0))&amp;", "&amp;INDEX('Docketed Comments'!B:B,MATCH(A181,'Docketed Comments'!H:H,0)),"")</f>
        <v>Joseph, Terranova</v>
      </c>
      <c r="I181" s="65" t="str">
        <f>IFERROR(INDEX('Docketed Comments'!D:D,MATCH(A181,'Docketed Comments'!H:H,0)),"")</f>
        <v>Yuma</v>
      </c>
      <c r="J181" s="65" t="str">
        <f>IFERROR(INDEX('Docketed Comments'!I:I,MATCH(A181,'Docketed Comments'!H:H,0)),"")</f>
        <v>RCPw/RTOUE47</v>
      </c>
      <c r="K181" s="65" t="str">
        <f t="shared" si="5"/>
        <v>❌ Not on Best Plan</v>
      </c>
      <c r="L181" s="65" t="str">
        <f>IFERROR(INDEX('Docketed Comments'!F:F,MATCH(A181,'Docketed Comments'!H:H,0)),"")</f>
        <v>belt-tightening needed here</v>
      </c>
      <c r="M181" s="137" t="str">
        <f>IFERROR(HYPERLINK(INDEX('Docketed Comments'!G:G,MATCH(A181,'Docketed Comments'!H:H,0)),"📄 View Docket"),"")</f>
        <v>📄 View Docket</v>
      </c>
      <c r="N181" s="135" t="str">
        <f>IFERROR(INDEX('Docketed Comments'!N:N,MATCH(A181,'Docketed Comments'!H:H,0)),"")</f>
        <v>No</v>
      </c>
      <c r="O181" s="135" t="str">
        <f>IFERROR(INDEX('Docketed Comments'!L:L,MATCH(A181,'Docketed Comments'!H:H,0)),"")</f>
        <v>No MEP R3-47 ($42.77)</v>
      </c>
      <c r="P181" s="136">
        <f t="shared" si="4"/>
        <v>42.77</v>
      </c>
      <c r="Q181" s="140" t="s">
        <v>5809</v>
      </c>
      <c r="R181" s="144">
        <v>0</v>
      </c>
    </row>
    <row r="182" spans="1:18" ht="21.95" customHeight="1">
      <c r="A182" s="71" t="s">
        <v>3102</v>
      </c>
      <c r="B182" s="69" t="s">
        <v>4887</v>
      </c>
      <c r="C182" s="70">
        <v>45997</v>
      </c>
      <c r="D182" s="69" t="s">
        <v>4888</v>
      </c>
      <c r="E182" s="69"/>
      <c r="F182" s="65" t="s">
        <v>5731</v>
      </c>
      <c r="G182" s="65"/>
      <c r="H182" s="65" t="str">
        <f>IFERROR(INDEX('Docketed Comments'!C:C,MATCH(A182,'Docketed Comments'!H:H,0))&amp;", "&amp;INDEX('Docketed Comments'!B:B,MATCH(A182,'Docketed Comments'!H:H,0)),"")</f>
        <v>Magi, VanCleave</v>
      </c>
      <c r="I182" s="65" t="str">
        <f>IFERROR(INDEX('Docketed Comments'!D:D,MATCH(A182,'Docketed Comments'!H:H,0)),"")</f>
        <v>Flagstaff</v>
      </c>
      <c r="J182" s="65" t="str">
        <f>IFERROR(INDEX('Docketed Comments'!I:I,MATCH(A182,'Docketed Comments'!H:H,0)),"")</f>
        <v>R-BASIC</v>
      </c>
      <c r="K182" s="65" t="str">
        <f t="shared" si="5"/>
        <v>❌ Not on Best Plan</v>
      </c>
      <c r="L182" s="65" t="str">
        <f>IFERROR(INDEX('Docketed Comments'!F:F,MATCH(A182,'Docketed Comments'!H:H,0)),"")</f>
        <v>Pad corporate profits at the expense of AZ consumers</v>
      </c>
      <c r="M182" s="137" t="str">
        <f>IFERROR(HYPERLINK(INDEX('Docketed Comments'!G:G,MATCH(A182,'Docketed Comments'!H:H,0)),"📄 View Docket"),"")</f>
        <v>📄 View Docket</v>
      </c>
      <c r="N182" s="135" t="str">
        <f>IFERROR(INDEX('Docketed Comments'!N:N,MATCH(A182,'Docketed Comments'!H:H,0)),"")</f>
        <v>No</v>
      </c>
      <c r="O182" s="135" t="str">
        <f>IFERROR(INDEX('Docketed Comments'!L:L,MATCH(A182,'Docketed Comments'!H:H,0)),"")</f>
        <v>No MEP TOUE ($29.42)</v>
      </c>
      <c r="P182" s="136">
        <f t="shared" si="4"/>
        <v>29.42</v>
      </c>
      <c r="Q182" s="140" t="s">
        <v>5809</v>
      </c>
      <c r="R182" s="144">
        <v>0</v>
      </c>
    </row>
    <row r="183" spans="1:18" ht="21.95" customHeight="1">
      <c r="A183" s="71" t="s">
        <v>3122</v>
      </c>
      <c r="B183" s="69"/>
      <c r="C183" s="70"/>
      <c r="D183" s="69"/>
      <c r="E183" s="69"/>
      <c r="F183" s="65"/>
      <c r="G183" s="65" t="s">
        <v>5811</v>
      </c>
      <c r="H183" s="65" t="str">
        <f>IFERROR(INDEX('Docketed Comments'!C:C,MATCH(A183,'Docketed Comments'!H:H,0))&amp;", "&amp;INDEX('Docketed Comments'!B:B,MATCH(A183,'Docketed Comments'!H:H,0)),"")</f>
        <v>Bruce, Margolis</v>
      </c>
      <c r="I183" s="65" t="str">
        <f>IFERROR(INDEX('Docketed Comments'!D:D,MATCH(A183,'Docketed Comments'!H:H,0)),"")</f>
        <v>Parker</v>
      </c>
      <c r="J183" s="65" t="str">
        <f>IFERROR(INDEX('Docketed Comments'!I:I,MATCH(A183,'Docketed Comments'!H:H,0)),"")</f>
        <v>R-BASIC</v>
      </c>
      <c r="K183" s="65" t="str">
        <f t="shared" si="5"/>
        <v>⚠ 0</v>
      </c>
      <c r="L183" s="65" t="str">
        <f>IFERROR(INDEX('Docketed Comments'!F:F,MATCH(A183,'Docketed Comments'!H:H,0)),"")</f>
        <v>Express my frustration and disappointment regarding the recent rate increases</v>
      </c>
      <c r="M183" s="137" t="str">
        <f>IFERROR(HYPERLINK(INDEX('Docketed Comments'!G:G,MATCH(A183,'Docketed Comments'!H:H,0)),"📄 View Docket"),"")</f>
        <v>📄 View Docket</v>
      </c>
      <c r="N183" s="135" t="str">
        <f>IFERROR(INDEX('Docketed Comments'!N:N,MATCH(A183,'Docketed Comments'!H:H,0)),"")</f>
        <v>No</v>
      </c>
      <c r="O183" s="135">
        <f>IFERROR(INDEX('Docketed Comments'!L:L,MATCH(A183,'Docketed Comments'!H:H,0)),"")</f>
        <v>0</v>
      </c>
      <c r="P183" s="136">
        <f t="shared" si="4"/>
        <v>0</v>
      </c>
      <c r="Q183" s="140"/>
      <c r="R183" s="144">
        <v>1</v>
      </c>
    </row>
    <row r="184" spans="1:18" ht="21.95" customHeight="1">
      <c r="A184" s="71" t="s">
        <v>3138</v>
      </c>
      <c r="B184" s="69" t="s">
        <v>4887</v>
      </c>
      <c r="C184" s="70">
        <v>46039</v>
      </c>
      <c r="D184" s="69" t="s">
        <v>4888</v>
      </c>
      <c r="E184" s="69"/>
      <c r="F184" s="65" t="s">
        <v>5731</v>
      </c>
      <c r="G184" s="65"/>
      <c r="H184" s="65" t="str">
        <f>IFERROR(INDEX('Docketed Comments'!C:C,MATCH(A184,'Docketed Comments'!H:H,0))&amp;", "&amp;INDEX('Docketed Comments'!B:B,MATCH(A184,'Docketed Comments'!H:H,0)),"")</f>
        <v>Preston, Davenport</v>
      </c>
      <c r="I184" s="65" t="str">
        <f>IFERROR(INDEX('Docketed Comments'!D:D,MATCH(A184,'Docketed Comments'!H:H,0)),"")</f>
        <v>Phoenix</v>
      </c>
      <c r="J184" s="65" t="str">
        <f>IFERROR(INDEX('Docketed Comments'!I:I,MATCH(A184,'Docketed Comments'!H:H,0)),"")</f>
        <v>R-XS</v>
      </c>
      <c r="K184" s="65" t="str">
        <f t="shared" si="5"/>
        <v>❌ Not on Best Plan</v>
      </c>
      <c r="L184" s="65" t="str">
        <f>IFERROR(INDEX('Docketed Comments'!F:F,MATCH(A184,'Docketed Comments'!H:H,0)),"")</f>
        <v>Rate hike would make it harder for working residents - concerned that this appears to subsidize data centers</v>
      </c>
      <c r="M184" s="137" t="str">
        <f>IFERROR(HYPERLINK(INDEX('Docketed Comments'!G:G,MATCH(A184,'Docketed Comments'!H:H,0)),"📄 View Docket"),"")</f>
        <v>📄 View Docket</v>
      </c>
      <c r="N184" s="135" t="str">
        <f>IFERROR(INDEX('Docketed Comments'!N:N,MATCH(A184,'Docketed Comments'!H:H,0)),"")</f>
        <v>No</v>
      </c>
      <c r="O184" s="135" t="str">
        <f>IFERROR(INDEX('Docketed Comments'!L:L,MATCH(A184,'Docketed Comments'!H:H,0)),"")</f>
        <v>No MEP R3-47 ($84.40)</v>
      </c>
      <c r="P184" s="136">
        <f t="shared" si="4"/>
        <v>84.4</v>
      </c>
      <c r="Q184" s="140" t="s">
        <v>5809</v>
      </c>
      <c r="R184" s="144">
        <v>0</v>
      </c>
    </row>
    <row r="185" spans="1:18" ht="21.95" customHeight="1">
      <c r="A185" s="71" t="s">
        <v>3189</v>
      </c>
      <c r="B185" s="69" t="s">
        <v>4887</v>
      </c>
      <c r="C185" s="70">
        <v>46032</v>
      </c>
      <c r="D185" s="69" t="s">
        <v>4888</v>
      </c>
      <c r="E185" s="69"/>
      <c r="F185" s="65" t="s">
        <v>5728</v>
      </c>
      <c r="G185" s="65"/>
      <c r="H185" s="65" t="str">
        <f>IFERROR(INDEX('Docketed Comments'!C:C,MATCH(A185,'Docketed Comments'!H:H,0))&amp;", "&amp;INDEX('Docketed Comments'!B:B,MATCH(A185,'Docketed Comments'!H:H,0)),"")</f>
        <v>Xiomara, Cantore</v>
      </c>
      <c r="I185" s="65" t="str">
        <f>IFERROR(INDEX('Docketed Comments'!D:D,MATCH(A185,'Docketed Comments'!H:H,0)),"")</f>
        <v>Surprise</v>
      </c>
      <c r="J185" s="65" t="str">
        <f>IFERROR(INDEX('Docketed Comments'!I:I,MATCH(A185,'Docketed Comments'!H:H,0)),"")</f>
        <v>RTOUE47</v>
      </c>
      <c r="K185" s="65" t="str">
        <f t="shared" si="5"/>
        <v>❌ Not on Best Plan</v>
      </c>
      <c r="L185" s="65" t="str">
        <f>IFERROR(INDEX('Docketed Comments'!F:F,MATCH(A185,'Docketed Comments'!H:H,0)),"")</f>
        <v>Form Letter: Enough is enough! You must reject the latest 14% rate hikes by APS and TEP</v>
      </c>
      <c r="M185" s="137" t="str">
        <f>IFERROR(HYPERLINK(INDEX('Docketed Comments'!G:G,MATCH(A185,'Docketed Comments'!H:H,0)),"📄 View Docket"),"")</f>
        <v>📄 View Docket</v>
      </c>
      <c r="N185" s="135" t="str">
        <f>IFERROR(INDEX('Docketed Comments'!N:N,MATCH(A185,'Docketed Comments'!H:H,0)),"")</f>
        <v>No</v>
      </c>
      <c r="O185" s="135" t="str">
        <f>IFERROR(INDEX('Docketed Comments'!L:L,MATCH(A185,'Docketed Comments'!H:H,0)),"")</f>
        <v>No MEP RBASIC ($65.01)</v>
      </c>
      <c r="P185" s="136">
        <f t="shared" si="4"/>
        <v>65.010000000000005</v>
      </c>
      <c r="Q185" s="140" t="s">
        <v>5809</v>
      </c>
      <c r="R185" s="144">
        <v>0</v>
      </c>
    </row>
    <row r="186" spans="1:18" ht="21.95" customHeight="1">
      <c r="A186" s="71" t="s">
        <v>3222</v>
      </c>
      <c r="B186" s="69" t="s">
        <v>4887</v>
      </c>
      <c r="C186" s="70">
        <v>46053</v>
      </c>
      <c r="D186" s="69" t="s">
        <v>4865</v>
      </c>
      <c r="E186" s="69" t="s">
        <v>4898</v>
      </c>
      <c r="F186" s="65" t="s">
        <v>5737</v>
      </c>
      <c r="G186" s="65"/>
      <c r="H186" s="65" t="str">
        <f>IFERROR(INDEX('Docketed Comments'!C:C,MATCH(A186,'Docketed Comments'!H:H,0))&amp;", "&amp;INDEX('Docketed Comments'!B:B,MATCH(A186,'Docketed Comments'!H:H,0)),"")</f>
        <v>Joi, Ponce</v>
      </c>
      <c r="I186" s="65" t="str">
        <f>IFERROR(INDEX('Docketed Comments'!D:D,MATCH(A186,'Docketed Comments'!H:H,0)),"")</f>
        <v>Phoenix</v>
      </c>
      <c r="J186" s="65" t="str">
        <f>IFERROR(INDEX('Docketed Comments'!I:I,MATCH(A186,'Docketed Comments'!H:H,0)),"")</f>
        <v>R-BASIC</v>
      </c>
      <c r="K186" s="65" t="str">
        <f t="shared" si="5"/>
        <v>❌ Not on Best Plan</v>
      </c>
      <c r="L186" s="65" t="str">
        <f>IFERROR(INDEX('Docketed Comments'!F:F,MATCH(A186,'Docketed Comments'!H:H,0)),"")</f>
        <v>Form Letter: For families like mine this is simply too much</v>
      </c>
      <c r="M186" s="137" t="str">
        <f>IFERROR(HYPERLINK(INDEX('Docketed Comments'!G:G,MATCH(A186,'Docketed Comments'!H:H,0)),"📄 View Docket"),"")</f>
        <v>📄 View Docket</v>
      </c>
      <c r="N186" s="135" t="str">
        <f>IFERROR(INDEX('Docketed Comments'!N:N,MATCH(A186,'Docketed Comments'!H:H,0)),"")</f>
        <v>No</v>
      </c>
      <c r="O186" s="135" t="str">
        <f>IFERROR(INDEX('Docketed Comments'!L:L,MATCH(A186,'Docketed Comments'!H:H,0)),"")</f>
        <v>Not eligible yet (needs 3 months)</v>
      </c>
      <c r="P186" s="136">
        <f t="shared" si="4"/>
        <v>0</v>
      </c>
      <c r="Q186" s="140" t="s">
        <v>5809</v>
      </c>
      <c r="R186" s="144">
        <v>0</v>
      </c>
    </row>
    <row r="187" spans="1:18" ht="21.95" customHeight="1">
      <c r="A187" s="71" t="s">
        <v>3276</v>
      </c>
      <c r="B187" s="69" t="s">
        <v>4887</v>
      </c>
      <c r="C187" s="70">
        <v>46032</v>
      </c>
      <c r="D187" s="69" t="s">
        <v>4888</v>
      </c>
      <c r="E187" s="69"/>
      <c r="F187" s="65" t="s">
        <v>5746</v>
      </c>
      <c r="G187" s="65"/>
      <c r="H187" s="65" t="str">
        <f>IFERROR(INDEX('Docketed Comments'!C:C,MATCH(A187,'Docketed Comments'!H:H,0))&amp;", "&amp;INDEX('Docketed Comments'!B:B,MATCH(A187,'Docketed Comments'!H:H,0)),"")</f>
        <v>Jennifer, Sellers</v>
      </c>
      <c r="I187" s="65" t="str">
        <f>IFERROR(INDEX('Docketed Comments'!D:D,MATCH(A187,'Docketed Comments'!H:H,0)),"")</f>
        <v>Flagstaff</v>
      </c>
      <c r="J187" s="65" t="str">
        <f>IFERROR(INDEX('Docketed Comments'!I:I,MATCH(A187,'Docketed Comments'!H:H,0)),"")</f>
        <v>Multiple SAs</v>
      </c>
      <c r="K187" s="65" t="str">
        <f t="shared" si="5"/>
        <v>❌ Not on Best Plan</v>
      </c>
      <c r="L187" s="65" t="str">
        <f>IFERROR(INDEX('Docketed Comments'!F:F,MATCH(A187,'Docketed Comments'!H:H,0)),"")</f>
        <v>Form Letter: For families like mine this is simply too much</v>
      </c>
      <c r="M187" s="137" t="str">
        <f>IFERROR(HYPERLINK(INDEX('Docketed Comments'!G:G,MATCH(A187,'Docketed Comments'!H:H,0)),"📄 View Docket"),"")</f>
        <v>📄 View Docket</v>
      </c>
      <c r="N187" s="135" t="str">
        <f>IFERROR(INDEX('Docketed Comments'!N:N,MATCH(A187,'Docketed Comments'!H:H,0)),"")</f>
        <v>No</v>
      </c>
      <c r="O187" s="135" t="str">
        <f>IFERROR(INDEX('Docketed Comments'!L:L,MATCH(A187,'Docketed Comments'!H:H,0)),"")</f>
        <v>No MEP R3-47 ($176.69)</v>
      </c>
      <c r="P187" s="136">
        <f t="shared" si="4"/>
        <v>176.69</v>
      </c>
      <c r="Q187" s="140" t="s">
        <v>5809</v>
      </c>
      <c r="R187" s="144">
        <v>0</v>
      </c>
    </row>
    <row r="188" spans="1:18" ht="21.95" customHeight="1">
      <c r="A188" s="71" t="s">
        <v>3282</v>
      </c>
      <c r="B188" s="69" t="s">
        <v>4887</v>
      </c>
      <c r="C188" s="70">
        <v>46032</v>
      </c>
      <c r="D188" s="69" t="s">
        <v>4888</v>
      </c>
      <c r="E188" s="69"/>
      <c r="F188" s="65" t="s">
        <v>5727</v>
      </c>
      <c r="G188" s="65"/>
      <c r="H188" s="65" t="str">
        <f>IFERROR(INDEX('Docketed Comments'!C:C,MATCH(A188,'Docketed Comments'!H:H,0))&amp;", "&amp;INDEX('Docketed Comments'!B:B,MATCH(A188,'Docketed Comments'!H:H,0)),"")</f>
        <v>Mark, Dershowitz</v>
      </c>
      <c r="I188" s="65" t="str">
        <f>IFERROR(INDEX('Docketed Comments'!D:D,MATCH(A188,'Docketed Comments'!H:H,0)),"")</f>
        <v>Scottsdale</v>
      </c>
      <c r="J188" s="65" t="str">
        <f>IFERROR(INDEX('Docketed Comments'!I:I,MATCH(A188,'Docketed Comments'!H:H,0)),"")</f>
        <v>RTOUE47</v>
      </c>
      <c r="K188" s="65" t="str">
        <f t="shared" si="5"/>
        <v>❌ Not on Best Plan</v>
      </c>
      <c r="L188" s="65" t="str">
        <f>IFERROR(INDEX('Docketed Comments'!F:F,MATCH(A188,'Docketed Comments'!H:H,0)),"")</f>
        <v>SS going up 2.8%, suggest rate increase be limited to the same</v>
      </c>
      <c r="M188" s="137" t="str">
        <f>IFERROR(HYPERLINK(INDEX('Docketed Comments'!G:G,MATCH(A188,'Docketed Comments'!H:H,0)),"📄 View Docket"),"")</f>
        <v>📄 View Docket</v>
      </c>
      <c r="N188" s="135" t="str">
        <f>IFERROR(INDEX('Docketed Comments'!N:N,MATCH(A188,'Docketed Comments'!H:H,0)),"")</f>
        <v>No</v>
      </c>
      <c r="O188" s="135" t="str">
        <f>IFERROR(INDEX('Docketed Comments'!L:L,MATCH(A188,'Docketed Comments'!H:H,0)),"")</f>
        <v>No MEP R3-47 ($255.76)</v>
      </c>
      <c r="P188" s="136">
        <f t="shared" si="4"/>
        <v>255.76</v>
      </c>
      <c r="Q188" s="140" t="s">
        <v>5809</v>
      </c>
      <c r="R188" s="144">
        <v>0</v>
      </c>
    </row>
    <row r="189" spans="1:18" ht="21.95" customHeight="1">
      <c r="A189" s="71" t="s">
        <v>5046</v>
      </c>
      <c r="B189" s="69" t="s">
        <v>4887</v>
      </c>
      <c r="C189" s="70">
        <v>46039</v>
      </c>
      <c r="D189" s="69" t="s">
        <v>4888</v>
      </c>
      <c r="E189" s="69"/>
      <c r="F189" s="65"/>
      <c r="G189" s="65"/>
      <c r="H189" s="65" t="str">
        <f>IFERROR(INDEX('Docketed Comments'!C:C,MATCH(A189,'Docketed Comments'!H:H,0))&amp;", "&amp;INDEX('Docketed Comments'!B:B,MATCH(A189,'Docketed Comments'!H:H,0)),"")</f>
        <v>Anupama, Anand</v>
      </c>
      <c r="I189" s="65" t="str">
        <f>IFERROR(INDEX('Docketed Comments'!D:D,MATCH(A189,'Docketed Comments'!H:H,0)),"")</f>
        <v>Scottsdale</v>
      </c>
      <c r="J189" s="65" t="str">
        <f>IFERROR(INDEX('Docketed Comments'!I:I,MATCH(A189,'Docketed Comments'!H:H,0)),"")</f>
        <v>R3-47</v>
      </c>
      <c r="K189" s="65" t="str">
        <f t="shared" si="5"/>
        <v>❌ Not on Best Plan</v>
      </c>
      <c r="L189" s="65" t="str">
        <f>IFERROR(INDEX('Docketed Comments'!F:F,MATCH(A189,'Docketed Comments'!H:H,0)),"")</f>
        <v>Do not approve the proposed rate increase</v>
      </c>
      <c r="M189" s="137" t="str">
        <f>IFERROR(HYPERLINK(INDEX('Docketed Comments'!G:G,MATCH(A189,'Docketed Comments'!H:H,0)),"📄 View Docket"),"")</f>
        <v>📄 View Docket</v>
      </c>
      <c r="N189" s="135" t="str">
        <f>IFERROR(INDEX('Docketed Comments'!N:N,MATCH(A189,'Docketed Comments'!H:H,0)),"")</f>
        <v>No</v>
      </c>
      <c r="O189" s="135" t="str">
        <f>IFERROR(INDEX('Docketed Comments'!L:L,MATCH(A189,'Docketed Comments'!H:H,0)),"")</f>
        <v>No MEP RTOU47 ($53.39)</v>
      </c>
      <c r="P189" s="136">
        <f t="shared" si="4"/>
        <v>53.39</v>
      </c>
      <c r="Q189" s="140" t="s">
        <v>5809</v>
      </c>
      <c r="R189" s="144">
        <v>0</v>
      </c>
    </row>
    <row r="190" spans="1:18" ht="21.95" customHeight="1">
      <c r="A190" s="71" t="s">
        <v>5047</v>
      </c>
      <c r="B190" s="69" t="s">
        <v>4887</v>
      </c>
      <c r="C190" s="70">
        <v>46053</v>
      </c>
      <c r="D190" s="69" t="s">
        <v>4888</v>
      </c>
      <c r="E190" s="69"/>
      <c r="F190" s="65" t="s">
        <v>5701</v>
      </c>
      <c r="G190" s="65"/>
      <c r="H190" s="65" t="str">
        <f>IFERROR(INDEX('Docketed Comments'!C:C,MATCH(A190,'Docketed Comments'!H:H,0))&amp;", "&amp;INDEX('Docketed Comments'!B:B,MATCH(A190,'Docketed Comments'!H:H,0)),"")</f>
        <v>Cheri , Thomas</v>
      </c>
      <c r="I190" s="65" t="str">
        <f>IFERROR(INDEX('Docketed Comments'!D:D,MATCH(A190,'Docketed Comments'!H:H,0)),"")</f>
        <v>El Mirage</v>
      </c>
      <c r="J190" s="65" t="str">
        <f>IFERROR(INDEX('Docketed Comments'!I:I,MATCH(A190,'Docketed Comments'!H:H,0)),"")</f>
        <v>R-BASIC</v>
      </c>
      <c r="K190" s="65" t="str">
        <f t="shared" si="5"/>
        <v>❌ Not on Best Plan</v>
      </c>
      <c r="L190" s="65" t="str">
        <f>IFERROR(INDEX('Docketed Comments'!F:F,MATCH(A190,'Docketed Comments'!H:H,0)),"")</f>
        <v>Opposed: Senior on a fixed income in a mobile home</v>
      </c>
      <c r="M190" s="137" t="str">
        <f>IFERROR(HYPERLINK(INDEX('Docketed Comments'!G:G,MATCH(A190,'Docketed Comments'!H:H,0)),"📄 View Docket"),"")</f>
        <v>📄 View Docket</v>
      </c>
      <c r="N190" s="135" t="str">
        <f>IFERROR(INDEX('Docketed Comments'!N:N,MATCH(A190,'Docketed Comments'!H:H,0)),"")</f>
        <v>No</v>
      </c>
      <c r="O190" s="135" t="str">
        <f>IFERROR(INDEX('Docketed Comments'!L:L,MATCH(A190,'Docketed Comments'!H:H,0)),"")</f>
        <v>No MEP R-XS</v>
      </c>
      <c r="P190" s="136">
        <f t="shared" si="4"/>
        <v>0</v>
      </c>
      <c r="Q190" s="140" t="s">
        <v>5809</v>
      </c>
      <c r="R190" s="144">
        <v>0</v>
      </c>
    </row>
    <row r="191" spans="1:18" ht="21.95" customHeight="1">
      <c r="A191" s="71" t="s">
        <v>5048</v>
      </c>
      <c r="B191" s="69" t="s">
        <v>4887</v>
      </c>
      <c r="C191" s="70">
        <v>45997</v>
      </c>
      <c r="D191" s="69" t="s">
        <v>4865</v>
      </c>
      <c r="E191" s="69" t="s">
        <v>4898</v>
      </c>
      <c r="F191" s="65" t="s">
        <v>5776</v>
      </c>
      <c r="G191" s="65"/>
      <c r="H191" s="65" t="str">
        <f>IFERROR(INDEX('Docketed Comments'!C:C,MATCH(A191,'Docketed Comments'!H:H,0))&amp;", "&amp;INDEX('Docketed Comments'!B:B,MATCH(A191,'Docketed Comments'!H:H,0)),"")</f>
        <v>Carol and Alan, Buttler</v>
      </c>
      <c r="I191" s="65" t="str">
        <f>IFERROR(INDEX('Docketed Comments'!D:D,MATCH(A191,'Docketed Comments'!H:H,0)),"")</f>
        <v>Wickenburg</v>
      </c>
      <c r="J191" s="65" t="str">
        <f>IFERROR(INDEX('Docketed Comments'!I:I,MATCH(A191,'Docketed Comments'!H:H,0)),"")</f>
        <v>RTOUE47</v>
      </c>
      <c r="K191" s="65" t="str">
        <f t="shared" si="5"/>
        <v>❌ Not on Best Plan</v>
      </c>
      <c r="L191" s="65" t="str">
        <f>IFERROR(INDEX('Docketed Comments'!F:F,MATCH(A191,'Docketed Comments'!H:H,0)),"")</f>
        <v>ACC has obligation to protect APS customers from consistently high rate increases</v>
      </c>
      <c r="M191" s="137" t="str">
        <f>IFERROR(HYPERLINK(INDEX('Docketed Comments'!G:G,MATCH(A191,'Docketed Comments'!H:H,0)),"📄 View Docket"),"")</f>
        <v>📄 View Docket</v>
      </c>
      <c r="N191" s="135" t="str">
        <f>IFERROR(INDEX('Docketed Comments'!N:N,MATCH(A191,'Docketed Comments'!H:H,0)),"")</f>
        <v>No</v>
      </c>
      <c r="O191" s="135" t="str">
        <f>IFERROR(INDEX('Docketed Comments'!L:L,MATCH(A191,'Docketed Comments'!H:H,0)),"")</f>
        <v>No MEP R-BASIC ($41.34)</v>
      </c>
      <c r="P191" s="136">
        <f t="shared" si="4"/>
        <v>41.34</v>
      </c>
      <c r="Q191" s="140" t="s">
        <v>5809</v>
      </c>
      <c r="R191" s="144">
        <v>0</v>
      </c>
    </row>
    <row r="192" spans="1:18" ht="21.95" customHeight="1">
      <c r="A192" s="71" t="s">
        <v>5049</v>
      </c>
      <c r="B192" s="69" t="s">
        <v>4887</v>
      </c>
      <c r="C192" s="70">
        <v>45997</v>
      </c>
      <c r="D192" s="69" t="s">
        <v>4865</v>
      </c>
      <c r="E192" s="69" t="s">
        <v>4894</v>
      </c>
      <c r="F192" s="65" t="s">
        <v>4931</v>
      </c>
      <c r="G192" s="65"/>
      <c r="H192" s="65" t="str">
        <f>IFERROR(INDEX('Docketed Comments'!C:C,MATCH(A192,'Docketed Comments'!H:H,0))&amp;", "&amp;INDEX('Docketed Comments'!B:B,MATCH(A192,'Docketed Comments'!H:H,0)),"")</f>
        <v>Stephanie, Palomera</v>
      </c>
      <c r="I192" s="65" t="str">
        <f>IFERROR(INDEX('Docketed Comments'!D:D,MATCH(A192,'Docketed Comments'!H:H,0)),"")</f>
        <v>Surprise</v>
      </c>
      <c r="J192" s="65" t="str">
        <f>IFERROR(INDEX('Docketed Comments'!I:I,MATCH(A192,'Docketed Comments'!H:H,0)),"")</f>
        <v>R-BASICL</v>
      </c>
      <c r="K192" s="65" t="str">
        <f t="shared" si="5"/>
        <v>❌ Not on Best Plan</v>
      </c>
      <c r="L192" s="65" t="str">
        <f>IFERROR(INDEX('Docketed Comments'!F:F,MATCH(A192,'Docketed Comments'!H:H,0)),"")</f>
        <v>Form Letter: For families like mine this is simply too much</v>
      </c>
      <c r="M192" s="137" t="str">
        <f>IFERROR(HYPERLINK(INDEX('Docketed Comments'!G:G,MATCH(A192,'Docketed Comments'!H:H,0)),"📄 View Docket"),"")</f>
        <v>📄 View Docket</v>
      </c>
      <c r="N192" s="135" t="str">
        <f>IFERROR(INDEX('Docketed Comments'!N:N,MATCH(A192,'Docketed Comments'!H:H,0)),"")</f>
        <v>No</v>
      </c>
      <c r="O192" s="135" t="str">
        <f>IFERROR(INDEX('Docketed Comments'!L:L,MATCH(A192,'Docketed Comments'!H:H,0)),"")</f>
        <v>No MEP R-BASIC ($167.08)</v>
      </c>
      <c r="P192" s="136">
        <f t="shared" si="4"/>
        <v>167.08</v>
      </c>
      <c r="Q192" s="140" t="s">
        <v>5809</v>
      </c>
      <c r="R192" s="144">
        <v>0</v>
      </c>
    </row>
    <row r="193" spans="1:18" ht="21.95" customHeight="1">
      <c r="A193" s="71" t="s">
        <v>5050</v>
      </c>
      <c r="B193" s="69" t="s">
        <v>4887</v>
      </c>
      <c r="C193" s="70">
        <v>46018</v>
      </c>
      <c r="D193" s="69" t="s">
        <v>4865</v>
      </c>
      <c r="E193" s="69" t="s">
        <v>4899</v>
      </c>
      <c r="F193" s="65" t="s">
        <v>5778</v>
      </c>
      <c r="G193" s="65"/>
      <c r="H193" s="65" t="str">
        <f>IFERROR(INDEX('Docketed Comments'!C:C,MATCH(A193,'Docketed Comments'!H:H,0))&amp;", "&amp;INDEX('Docketed Comments'!B:B,MATCH(A193,'Docketed Comments'!H:H,0)),"")</f>
        <v>Charlene, Jones</v>
      </c>
      <c r="I193" s="65" t="str">
        <f>IFERROR(INDEX('Docketed Comments'!D:D,MATCH(A193,'Docketed Comments'!H:H,0)),"")</f>
        <v>El Mirage</v>
      </c>
      <c r="J193" s="65" t="str">
        <f>IFERROR(INDEX('Docketed Comments'!I:I,MATCH(A193,'Docketed Comments'!H:H,0)),"")</f>
        <v>RTOUE47</v>
      </c>
      <c r="K193" s="65" t="str">
        <f t="shared" si="5"/>
        <v>❌ Not on Best Plan</v>
      </c>
      <c r="L193" s="65" t="str">
        <f>IFERROR(INDEX('Docketed Comments'!F:F,MATCH(A193,'Docketed Comments'!H:H,0)),"")</f>
        <v>No more rate increases. We are struggling to pay already!</v>
      </c>
      <c r="M193" s="137" t="str">
        <f>IFERROR(HYPERLINK(INDEX('Docketed Comments'!G:G,MATCH(A193,'Docketed Comments'!H:H,0)),"📄 View Docket"),"")</f>
        <v>📄 View Docket</v>
      </c>
      <c r="N193" s="135" t="str">
        <f>IFERROR(INDEX('Docketed Comments'!N:N,MATCH(A193,'Docketed Comments'!H:H,0)),"")</f>
        <v>No</v>
      </c>
      <c r="O193" s="135" t="str">
        <f>IFERROR(INDEX('Docketed Comments'!L:L,MATCH(A193,'Docketed Comments'!H:H,0)),"")</f>
        <v>No MEP R3-47 ($295.17)</v>
      </c>
      <c r="P193" s="136">
        <f t="shared" si="4"/>
        <v>295.17</v>
      </c>
      <c r="Q193" s="140" t="s">
        <v>5809</v>
      </c>
      <c r="R193" s="144">
        <v>0</v>
      </c>
    </row>
    <row r="194" spans="1:18" ht="21.95" customHeight="1">
      <c r="A194" s="71" t="s">
        <v>5051</v>
      </c>
      <c r="B194" s="69" t="s">
        <v>4887</v>
      </c>
      <c r="C194" s="70">
        <v>46053</v>
      </c>
      <c r="D194" s="69" t="s">
        <v>4865</v>
      </c>
      <c r="E194" s="69" t="s">
        <v>4898</v>
      </c>
      <c r="F194" s="65" t="s">
        <v>5779</v>
      </c>
      <c r="G194" s="65"/>
      <c r="H194" s="65" t="str">
        <f>IFERROR(INDEX('Docketed Comments'!C:C,MATCH(A194,'Docketed Comments'!H:H,0))&amp;", "&amp;INDEX('Docketed Comments'!B:B,MATCH(A194,'Docketed Comments'!H:H,0)),"")</f>
        <v>Beatriz, Barbosa</v>
      </c>
      <c r="I194" s="65" t="str">
        <f>IFERROR(INDEX('Docketed Comments'!D:D,MATCH(A194,'Docketed Comments'!H:H,0)),"")</f>
        <v>Whittmann</v>
      </c>
      <c r="J194" s="65" t="str">
        <f>IFERROR(INDEX('Docketed Comments'!I:I,MATCH(A194,'Docketed Comments'!H:H,0)),"")</f>
        <v>R3-47</v>
      </c>
      <c r="K194" s="65" t="str">
        <f t="shared" si="5"/>
        <v>❌ Not on Best Plan</v>
      </c>
      <c r="L194" s="65" t="str">
        <f>IFERROR(INDEX('Docketed Comments'!F:F,MATCH(A194,'Docketed Comments'!H:H,0)),"")</f>
        <v>Form Letter: For families like mine this is simply too much</v>
      </c>
      <c r="M194" s="137" t="str">
        <f>IFERROR(HYPERLINK(INDEX('Docketed Comments'!G:G,MATCH(A194,'Docketed Comments'!H:H,0)),"📄 View Docket"),"")</f>
        <v>📄 View Docket</v>
      </c>
      <c r="N194" s="135" t="str">
        <f>IFERROR(INDEX('Docketed Comments'!N:N,MATCH(A194,'Docketed Comments'!H:H,0)),"")</f>
        <v>No</v>
      </c>
      <c r="O194" s="135" t="str">
        <f>IFERROR(INDEX('Docketed Comments'!L:L,MATCH(A194,'Docketed Comments'!H:H,0)),"")</f>
        <v>Not eligible yet (needs 3 months)</v>
      </c>
      <c r="P194" s="136">
        <f t="shared" ref="P194:P257" si="6">IFERROR(IF(ISNUMBER(SEARCH("$",O194)),VALUE(SUBSTITUTE(SUBSTITUTE(MID(O194,FIND("$",O194)+1,FIND(")",O194)-FIND("$",O194)-1),",","")," ","")),VALUE(SUBSTITUTE(SUBSTITUTE(MID(O194,FIND("(",O194)+1,FIND(")",O194)-FIND("(",O194)-1),",","")," ",""))),0)</f>
        <v>0</v>
      </c>
      <c r="Q194" s="140" t="s">
        <v>5809</v>
      </c>
      <c r="R194" s="144">
        <v>0</v>
      </c>
    </row>
    <row r="195" spans="1:18" ht="21.95" customHeight="1">
      <c r="A195" s="71" t="s">
        <v>3442</v>
      </c>
      <c r="B195" s="69" t="s">
        <v>4887</v>
      </c>
      <c r="C195" s="70">
        <v>46018</v>
      </c>
      <c r="D195" s="69" t="s">
        <v>4865</v>
      </c>
      <c r="E195" s="69" t="s">
        <v>4894</v>
      </c>
      <c r="F195" s="65" t="s">
        <v>5780</v>
      </c>
      <c r="G195" s="65"/>
      <c r="H195" s="65" t="str">
        <f>IFERROR(INDEX('Docketed Comments'!C:C,MATCH(A195,'Docketed Comments'!H:H,0))&amp;", "&amp;INDEX('Docketed Comments'!B:B,MATCH(A195,'Docketed Comments'!H:H,0)),"")</f>
        <v>Maria , Eriksen</v>
      </c>
      <c r="I195" s="65" t="str">
        <f>IFERROR(INDEX('Docketed Comments'!D:D,MATCH(A195,'Docketed Comments'!H:H,0)),"")</f>
        <v>Phoenix</v>
      </c>
      <c r="J195" s="65" t="str">
        <f>IFERROR(INDEX('Docketed Comments'!I:I,MATCH(A195,'Docketed Comments'!H:H,0)),"")</f>
        <v>R-BASIC</v>
      </c>
      <c r="K195" s="65" t="str">
        <f t="shared" ref="K195:K258" si="7">IFERROR(IF(OR(LEFT(O195,2)="No",LEFT(O195,3)="Not"),"❌ Not on Best Plan",IF(OR(O195="Yes",O195="Y",O195="Yes "),"✅ On Best Plan","⚠ "&amp;O195)),"")</f>
        <v>❌ Not on Best Plan</v>
      </c>
      <c r="L195" s="65" t="str">
        <f>IFERROR(INDEX('Docketed Comments'!F:F,MATCH(A195,'Docketed Comments'!H:H,0)),"")</f>
        <v>I would tell APS to stop increasing rates because this will affect our low-income population</v>
      </c>
      <c r="M195" s="137" t="str">
        <f>IFERROR(HYPERLINK(INDEX('Docketed Comments'!G:G,MATCH(A195,'Docketed Comments'!H:H,0)),"📄 View Docket"),"")</f>
        <v>📄 View Docket</v>
      </c>
      <c r="N195" s="135" t="str">
        <f>IFERROR(INDEX('Docketed Comments'!N:N,MATCH(A195,'Docketed Comments'!H:H,0)),"")</f>
        <v>No</v>
      </c>
      <c r="O195" s="135" t="str">
        <f>IFERROR(INDEX('Docketed Comments'!L:L,MATCH(A195,'Docketed Comments'!H:H,0)),"")</f>
        <v>No MEP R-XS ($51.48)</v>
      </c>
      <c r="P195" s="136">
        <f t="shared" si="6"/>
        <v>51.48</v>
      </c>
      <c r="Q195" s="140" t="s">
        <v>5809</v>
      </c>
      <c r="R195" s="144">
        <v>0</v>
      </c>
    </row>
    <row r="196" spans="1:18" ht="21.95" customHeight="1">
      <c r="A196" s="71" t="s">
        <v>5052</v>
      </c>
      <c r="B196" s="69" t="s">
        <v>4887</v>
      </c>
      <c r="C196" s="70">
        <v>46039</v>
      </c>
      <c r="D196" s="69" t="s">
        <v>4888</v>
      </c>
      <c r="E196" s="69"/>
      <c r="F196" s="65" t="s">
        <v>4932</v>
      </c>
      <c r="G196" s="65"/>
      <c r="H196" s="65" t="str">
        <f>IFERROR(INDEX('Docketed Comments'!C:C,MATCH(A196,'Docketed Comments'!H:H,0))&amp;", "&amp;INDEX('Docketed Comments'!B:B,MATCH(A196,'Docketed Comments'!H:H,0)),"")</f>
        <v>Marisela, Gomez</v>
      </c>
      <c r="I196" s="65" t="str">
        <f>IFERROR(INDEX('Docketed Comments'!D:D,MATCH(A196,'Docketed Comments'!H:H,0)),"")</f>
        <v>Phoenix</v>
      </c>
      <c r="J196" s="65" t="str">
        <f>IFERROR(INDEX('Docketed Comments'!I:I,MATCH(A196,'Docketed Comments'!H:H,0)),"")</f>
        <v>RTOU47</v>
      </c>
      <c r="K196" s="65" t="str">
        <f t="shared" si="7"/>
        <v>❌ Not on Best Plan</v>
      </c>
      <c r="L196" s="65" t="str">
        <f>IFERROR(INDEX('Docketed Comments'!F:F,MATCH(A196,'Docketed Comments'!H:H,0)),"")</f>
        <v>Make decisions between buying groceries and cooling down my house</v>
      </c>
      <c r="M196" s="137" t="str">
        <f>IFERROR(HYPERLINK(INDEX('Docketed Comments'!G:G,MATCH(A196,'Docketed Comments'!H:H,0)),"📄 View Docket"),"")</f>
        <v>📄 View Docket</v>
      </c>
      <c r="N196" s="135" t="str">
        <f>IFERROR(INDEX('Docketed Comments'!N:N,MATCH(A196,'Docketed Comments'!H:H,0)),"")</f>
        <v>No</v>
      </c>
      <c r="O196" s="135" t="str">
        <f>IFERROR(INDEX('Docketed Comments'!L:L,MATCH(A196,'Docketed Comments'!H:H,0)),"")</f>
        <v>No MEP R3-47 ($116.16)</v>
      </c>
      <c r="P196" s="136">
        <f t="shared" si="6"/>
        <v>116.16</v>
      </c>
      <c r="Q196" s="140" t="s">
        <v>5809</v>
      </c>
      <c r="R196" s="144">
        <v>0</v>
      </c>
    </row>
    <row r="197" spans="1:18" ht="21.95" customHeight="1">
      <c r="A197" s="71" t="s">
        <v>3481</v>
      </c>
      <c r="B197" s="69" t="s">
        <v>4887</v>
      </c>
      <c r="C197" s="70">
        <v>46018</v>
      </c>
      <c r="D197" s="69" t="s">
        <v>4865</v>
      </c>
      <c r="E197" s="69" t="s">
        <v>4898</v>
      </c>
      <c r="F197" s="65" t="s">
        <v>5734</v>
      </c>
      <c r="G197" s="65"/>
      <c r="H197" s="65" t="str">
        <f>IFERROR(INDEX('Docketed Comments'!C:C,MATCH(A197,'Docketed Comments'!H:H,0))&amp;", "&amp;INDEX('Docketed Comments'!B:B,MATCH(A197,'Docketed Comments'!H:H,0)),"")</f>
        <v>Maxwell, Ulin</v>
      </c>
      <c r="I197" s="65" t="str">
        <f>IFERROR(INDEX('Docketed Comments'!D:D,MATCH(A197,'Docketed Comments'!H:H,0)),"")</f>
        <v>Phoenix</v>
      </c>
      <c r="J197" s="65" t="str">
        <f>IFERROR(INDEX('Docketed Comments'!I:I,MATCH(A197,'Docketed Comments'!H:H,0)),"")</f>
        <v>R-XS</v>
      </c>
      <c r="K197" s="65" t="str">
        <f t="shared" si="7"/>
        <v>❌ Not on Best Plan</v>
      </c>
      <c r="L197" s="65" t="str">
        <f>IFERROR(INDEX('Docketed Comments'!F:F,MATCH(A197,'Docketed Comments'!H:H,0)),"")</f>
        <v>Unacceptable to me that the ACC would approve such an enormous rate hike</v>
      </c>
      <c r="M197" s="137" t="str">
        <f>IFERROR(HYPERLINK(INDEX('Docketed Comments'!G:G,MATCH(A197,'Docketed Comments'!H:H,0)),"📄 View Docket"),"")</f>
        <v>📄 View Docket</v>
      </c>
      <c r="N197" s="135" t="str">
        <f>IFERROR(INDEX('Docketed Comments'!N:N,MATCH(A197,'Docketed Comments'!H:H,0)),"")</f>
        <v>No</v>
      </c>
      <c r="O197" s="135" t="str">
        <f>IFERROR(INDEX('Docketed Comments'!L:L,MATCH(A197,'Docketed Comments'!H:H,0)),"")</f>
        <v>No MEP R3-47 ($8.47)</v>
      </c>
      <c r="P197" s="136">
        <f t="shared" si="6"/>
        <v>8.4700000000000006</v>
      </c>
      <c r="Q197" s="140" t="s">
        <v>5809</v>
      </c>
      <c r="R197" s="144">
        <v>0</v>
      </c>
    </row>
    <row r="198" spans="1:18" ht="21.95" customHeight="1">
      <c r="A198" s="71" t="s">
        <v>3525</v>
      </c>
      <c r="B198" s="69" t="s">
        <v>4887</v>
      </c>
      <c r="C198" s="70">
        <v>46018</v>
      </c>
      <c r="D198" s="69" t="s">
        <v>4888</v>
      </c>
      <c r="E198" s="69" t="s">
        <v>4898</v>
      </c>
      <c r="F198" s="65" t="s">
        <v>5781</v>
      </c>
      <c r="G198" s="65"/>
      <c r="H198" s="65" t="str">
        <f>IFERROR(INDEX('Docketed Comments'!C:C,MATCH(A198,'Docketed Comments'!H:H,0))&amp;", "&amp;INDEX('Docketed Comments'!B:B,MATCH(A198,'Docketed Comments'!H:H,0)),"")</f>
        <v>Anthony, Marrapodi</v>
      </c>
      <c r="I198" s="65" t="str">
        <f>IFERROR(INDEX('Docketed Comments'!D:D,MATCH(A198,'Docketed Comments'!H:H,0)),"")</f>
        <v>Phoenix</v>
      </c>
      <c r="J198" s="65" t="str">
        <f>IFERROR(INDEX('Docketed Comments'!I:I,MATCH(A198,'Docketed Comments'!H:H,0)),"")</f>
        <v>R-BASICL</v>
      </c>
      <c r="K198" s="65" t="str">
        <f t="shared" si="7"/>
        <v>❌ Not on Best Plan</v>
      </c>
      <c r="L198" s="65" t="str">
        <f>IFERROR(INDEX('Docketed Comments'!F:F,MATCH(A198,'Docketed Comments'!H:H,0)),"")</f>
        <v>I believe this request is unjustified and harmful to ordinary ratepayers</v>
      </c>
      <c r="M198" s="137" t="str">
        <f>IFERROR(HYPERLINK(INDEX('Docketed Comments'!G:G,MATCH(A198,'Docketed Comments'!H:H,0)),"📄 View Docket"),"")</f>
        <v>📄 View Docket</v>
      </c>
      <c r="N198" s="135" t="str">
        <f>IFERROR(INDEX('Docketed Comments'!N:N,MATCH(A198,'Docketed Comments'!H:H,0)),"")</f>
        <v>No</v>
      </c>
      <c r="O198" s="135" t="str">
        <f>IFERROR(INDEX('Docketed Comments'!L:L,MATCH(A198,'Docketed Comments'!H:H,0)),"")</f>
        <v>No MEP R3-47 ($139.25)</v>
      </c>
      <c r="P198" s="136">
        <f t="shared" si="6"/>
        <v>139.25</v>
      </c>
      <c r="Q198" s="140" t="s">
        <v>5809</v>
      </c>
      <c r="R198" s="144">
        <v>0</v>
      </c>
    </row>
    <row r="199" spans="1:18" ht="21.95" customHeight="1">
      <c r="A199" s="71" t="s">
        <v>3561</v>
      </c>
      <c r="B199" s="69" t="s">
        <v>4887</v>
      </c>
      <c r="C199" s="70">
        <v>46018</v>
      </c>
      <c r="D199" s="69" t="s">
        <v>4865</v>
      </c>
      <c r="E199" s="69" t="s">
        <v>4898</v>
      </c>
      <c r="F199" s="65" t="s">
        <v>5782</v>
      </c>
      <c r="G199" s="65"/>
      <c r="H199" s="65" t="str">
        <f>IFERROR(INDEX('Docketed Comments'!C:C,MATCH(A199,'Docketed Comments'!H:H,0))&amp;", "&amp;INDEX('Docketed Comments'!B:B,MATCH(A199,'Docketed Comments'!H:H,0)),"")</f>
        <v>Sharon , Hotham</v>
      </c>
      <c r="I199" s="65" t="str">
        <f>IFERROR(INDEX('Docketed Comments'!D:D,MATCH(A199,'Docketed Comments'!H:H,0)),"")</f>
        <v>Phoenix</v>
      </c>
      <c r="J199" s="65" t="str">
        <f>IFERROR(INDEX('Docketed Comments'!I:I,MATCH(A199,'Docketed Comments'!H:H,0)),"")</f>
        <v>RTOUE47</v>
      </c>
      <c r="K199" s="65" t="str">
        <f t="shared" si="7"/>
        <v>❌ Not on Best Plan</v>
      </c>
      <c r="L199" s="65" t="str">
        <f>IFERROR(INDEX('Docketed Comments'!F:F,MATCH(A199,'Docketed Comments'!H:H,0)),"")</f>
        <v>Form Letter: Enough is enough! You must reject the latest 14% rate hikes by APS e TEP</v>
      </c>
      <c r="M199" s="137" t="str">
        <f>IFERROR(HYPERLINK(INDEX('Docketed Comments'!G:G,MATCH(A199,'Docketed Comments'!H:H,0)),"📄 View Docket"),"")</f>
        <v>📄 View Docket</v>
      </c>
      <c r="N199" s="135" t="str">
        <f>IFERROR(INDEX('Docketed Comments'!N:N,MATCH(A199,'Docketed Comments'!H:H,0)),"")</f>
        <v>No</v>
      </c>
      <c r="O199" s="135" t="str">
        <f>IFERROR(INDEX('Docketed Comments'!L:L,MATCH(A199,'Docketed Comments'!H:H,0)),"")</f>
        <v>No MEP R3-47 ($232.55)</v>
      </c>
      <c r="P199" s="136">
        <f t="shared" si="6"/>
        <v>232.55</v>
      </c>
      <c r="Q199" s="140" t="s">
        <v>5809</v>
      </c>
      <c r="R199" s="144">
        <v>0</v>
      </c>
    </row>
    <row r="200" spans="1:18" ht="21.95" customHeight="1">
      <c r="A200" s="71" t="s">
        <v>3576</v>
      </c>
      <c r="B200" s="69" t="s">
        <v>4887</v>
      </c>
      <c r="C200" s="70">
        <v>46018</v>
      </c>
      <c r="D200" s="69" t="s">
        <v>4888</v>
      </c>
      <c r="E200" s="69"/>
      <c r="F200" s="65" t="s">
        <v>4930</v>
      </c>
      <c r="G200" s="65"/>
      <c r="H200" s="65" t="str">
        <f>IFERROR(INDEX('Docketed Comments'!C:C,MATCH(A200,'Docketed Comments'!H:H,0))&amp;", "&amp;INDEX('Docketed Comments'!B:B,MATCH(A200,'Docketed Comments'!H:H,0)),"")</f>
        <v>Marissa, Sanders</v>
      </c>
      <c r="I200" s="65" t="str">
        <f>IFERROR(INDEX('Docketed Comments'!D:D,MATCH(A200,'Docketed Comments'!H:H,0)),"")</f>
        <v>Buckeye</v>
      </c>
      <c r="J200" s="65" t="str">
        <f>IFERROR(INDEX('Docketed Comments'!I:I,MATCH(A200,'Docketed Comments'!H:H,0)),"")</f>
        <v>RTOUE47</v>
      </c>
      <c r="K200" s="65" t="str">
        <f t="shared" si="7"/>
        <v>❌ Not on Best Plan</v>
      </c>
      <c r="L200" s="65" t="str">
        <f>IFERROR(INDEX('Docketed Comments'!F:F,MATCH(A200,'Docketed Comments'!H:H,0)),"")</f>
        <v>Form Letter: Enough is enough! You must reject the latest 14% rate hikes by APS e TEP</v>
      </c>
      <c r="M200" s="137" t="str">
        <f>IFERROR(HYPERLINK(INDEX('Docketed Comments'!G:G,MATCH(A200,'Docketed Comments'!H:H,0)),"📄 View Docket"),"")</f>
        <v>📄 View Docket</v>
      </c>
      <c r="N200" s="135" t="str">
        <f>IFERROR(INDEX('Docketed Comments'!N:N,MATCH(A200,'Docketed Comments'!H:H,0)),"")</f>
        <v>No</v>
      </c>
      <c r="O200" s="135" t="str">
        <f>IFERROR(INDEX('Docketed Comments'!L:L,MATCH(A200,'Docketed Comments'!H:H,0)),"")</f>
        <v>No MEP R3-47 ($306.58)</v>
      </c>
      <c r="P200" s="136">
        <f t="shared" si="6"/>
        <v>306.58</v>
      </c>
      <c r="Q200" s="140" t="s">
        <v>5809</v>
      </c>
      <c r="R200" s="144">
        <v>0</v>
      </c>
    </row>
    <row r="201" spans="1:18" ht="21.95" customHeight="1">
      <c r="A201" s="71" t="s">
        <v>3643</v>
      </c>
      <c r="B201" s="69"/>
      <c r="C201" s="70"/>
      <c r="D201" s="69"/>
      <c r="E201" s="69"/>
      <c r="F201" s="65"/>
      <c r="G201" s="65" t="s">
        <v>5813</v>
      </c>
      <c r="H201" s="65" t="str">
        <f>IFERROR(INDEX('Docketed Comments'!C:C,MATCH(A201,'Docketed Comments'!H:H,0))&amp;", "&amp;INDEX('Docketed Comments'!B:B,MATCH(A201,'Docketed Comments'!H:H,0)),"")</f>
        <v>Lisa, Tucker</v>
      </c>
      <c r="I201" s="65" t="str">
        <f>IFERROR(INDEX('Docketed Comments'!D:D,MATCH(A201,'Docketed Comments'!H:H,0)),"")</f>
        <v>Winslow</v>
      </c>
      <c r="J201" s="65" t="str">
        <f>IFERROR(INDEX('Docketed Comments'!I:I,MATCH(A201,'Docketed Comments'!H:H,0)),"")</f>
        <v>R-BASIC</v>
      </c>
      <c r="K201" s="65" t="str">
        <f t="shared" si="7"/>
        <v>❌ Not on Best Plan</v>
      </c>
      <c r="L201" s="65" t="str">
        <f>IFERROR(INDEX('Docketed Comments'!F:F,MATCH(A201,'Docketed Comments'!H:H,0)),"")</f>
        <v>Form Letter: Enough is enough! You must reject the latest 14% rate hikes by APS e TEP</v>
      </c>
      <c r="M201" s="137" t="str">
        <f>IFERROR(HYPERLINK(INDEX('Docketed Comments'!G:G,MATCH(A201,'Docketed Comments'!H:H,0)),"📄 View Docket"),"")</f>
        <v>📄 View Docket</v>
      </c>
      <c r="N201" s="135" t="str">
        <f>IFERROR(INDEX('Docketed Comments'!N:N,MATCH(A201,'Docketed Comments'!H:H,0)),"")</f>
        <v>No</v>
      </c>
      <c r="O201" s="135" t="str">
        <f>IFERROR(INDEX('Docketed Comments'!L:L,MATCH(A201,'Docketed Comments'!H:H,0)),"")</f>
        <v>No MEP R3-47 ($274.25)</v>
      </c>
      <c r="P201" s="136">
        <f t="shared" si="6"/>
        <v>274.25</v>
      </c>
      <c r="Q201" s="140"/>
      <c r="R201" s="144">
        <v>1</v>
      </c>
    </row>
    <row r="202" spans="1:18" ht="21.95" customHeight="1">
      <c r="A202" s="71" t="s">
        <v>3654</v>
      </c>
      <c r="B202" s="69"/>
      <c r="C202" s="70"/>
      <c r="D202" s="69"/>
      <c r="E202" s="69"/>
      <c r="F202" s="65"/>
      <c r="G202" s="65" t="s">
        <v>5812</v>
      </c>
      <c r="H202" s="65" t="str">
        <f>IFERROR(INDEX('Docketed Comments'!C:C,MATCH(A202,'Docketed Comments'!H:H,0))&amp;", "&amp;INDEX('Docketed Comments'!B:B,MATCH(A202,'Docketed Comments'!H:H,0)),"")</f>
        <v>William, Shaffer</v>
      </c>
      <c r="I202" s="65" t="str">
        <f>IFERROR(INDEX('Docketed Comments'!D:D,MATCH(A202,'Docketed Comments'!H:H,0)),"")</f>
        <v>Phoenix</v>
      </c>
      <c r="J202" s="65" t="str">
        <f>IFERROR(INDEX('Docketed Comments'!I:I,MATCH(A202,'Docketed Comments'!H:H,0)),"")</f>
        <v>R-BASICL</v>
      </c>
      <c r="K202" s="65" t="str">
        <f t="shared" si="7"/>
        <v>❌ Not on Best Plan</v>
      </c>
      <c r="L202" s="65" t="str">
        <f>IFERROR(INDEX('Docketed Comments'!F:F,MATCH(A202,'Docketed Comments'!H:H,0)),"")</f>
        <v>Form Letter: Enough is enough! You must reject the latest 14% rate hikes by APS e TEP</v>
      </c>
      <c r="M202" s="137" t="str">
        <f>IFERROR(HYPERLINK(INDEX('Docketed Comments'!G:G,MATCH(A202,'Docketed Comments'!H:H,0)),"📄 View Docket"),"")</f>
        <v>📄 View Docket</v>
      </c>
      <c r="N202" s="135" t="str">
        <f>IFERROR(INDEX('Docketed Comments'!N:N,MATCH(A202,'Docketed Comments'!H:H,0)),"")</f>
        <v>No</v>
      </c>
      <c r="O202" s="135" t="str">
        <f>IFERROR(INDEX('Docketed Comments'!L:L,MATCH(A202,'Docketed Comments'!H:H,0)),"")</f>
        <v>No MEP TOUE-47 ($171.32)</v>
      </c>
      <c r="P202" s="136">
        <f t="shared" si="6"/>
        <v>171.32</v>
      </c>
      <c r="Q202" s="140"/>
      <c r="R202" s="144">
        <v>1</v>
      </c>
    </row>
    <row r="203" spans="1:18" ht="21.95" customHeight="1">
      <c r="A203" s="71" t="s">
        <v>3665</v>
      </c>
      <c r="B203" s="69"/>
      <c r="C203" s="70"/>
      <c r="D203" s="69"/>
      <c r="E203" s="69"/>
      <c r="F203" s="65"/>
      <c r="G203" s="65" t="s">
        <v>5813</v>
      </c>
      <c r="H203" s="65" t="str">
        <f>IFERROR(INDEX('Docketed Comments'!C:C,MATCH(A203,'Docketed Comments'!H:H,0))&amp;", "&amp;INDEX('Docketed Comments'!B:B,MATCH(A203,'Docketed Comments'!H:H,0)),"")</f>
        <v>Rachael, Foushee</v>
      </c>
      <c r="I203" s="65" t="str">
        <f>IFERROR(INDEX('Docketed Comments'!D:D,MATCH(A203,'Docketed Comments'!H:H,0)),"")</f>
        <v>Phoenix</v>
      </c>
      <c r="J203" s="65" t="str">
        <f>IFERROR(INDEX('Docketed Comments'!I:I,MATCH(A203,'Docketed Comments'!H:H,0)),"")</f>
        <v>RTOU47</v>
      </c>
      <c r="K203" s="65" t="str">
        <f t="shared" si="7"/>
        <v>❌ Not on Best Plan</v>
      </c>
      <c r="L203" s="65" t="str">
        <f>IFERROR(INDEX('Docketed Comments'!F:F,MATCH(A203,'Docketed Comments'!H:H,0)),"")</f>
        <v>Form Letter: Enough is enough! You must reject the latest 14% rate hikes by APS e TEP</v>
      </c>
      <c r="M203" s="137" t="str">
        <f>IFERROR(HYPERLINK(INDEX('Docketed Comments'!G:G,MATCH(A203,'Docketed Comments'!H:H,0)),"📄 View Docket"),"")</f>
        <v>📄 View Docket</v>
      </c>
      <c r="N203" s="135" t="str">
        <f>IFERROR(INDEX('Docketed Comments'!N:N,MATCH(A203,'Docketed Comments'!H:H,0)),"")</f>
        <v>No</v>
      </c>
      <c r="O203" s="135" t="str">
        <f>IFERROR(INDEX('Docketed Comments'!L:L,MATCH(A203,'Docketed Comments'!H:H,0)),"")</f>
        <v>No MEP R3-47 ($446.36)</v>
      </c>
      <c r="P203" s="136">
        <f t="shared" si="6"/>
        <v>446.36</v>
      </c>
      <c r="Q203" s="140"/>
      <c r="R203" s="144">
        <v>1</v>
      </c>
    </row>
    <row r="204" spans="1:18" ht="21.95" customHeight="1">
      <c r="A204" s="71" t="s">
        <v>5053</v>
      </c>
      <c r="B204" s="69"/>
      <c r="C204" s="70"/>
      <c r="D204" s="69"/>
      <c r="E204" s="69"/>
      <c r="F204" s="65"/>
      <c r="G204" s="65" t="s">
        <v>5812</v>
      </c>
      <c r="H204" s="65" t="str">
        <f>IFERROR(INDEX('Docketed Comments'!C:C,MATCH(A204,'Docketed Comments'!H:H,0))&amp;", "&amp;INDEX('Docketed Comments'!B:B,MATCH(A204,'Docketed Comments'!H:H,0)),"")</f>
        <v>Monica, Young</v>
      </c>
      <c r="I204" s="65" t="str">
        <f>IFERROR(INDEX('Docketed Comments'!D:D,MATCH(A204,'Docketed Comments'!H:H,0)),"")</f>
        <v>Surprise</v>
      </c>
      <c r="J204" s="65" t="str">
        <f>IFERROR(INDEX('Docketed Comments'!I:I,MATCH(A204,'Docketed Comments'!H:H,0)),"")</f>
        <v>R-BASIC</v>
      </c>
      <c r="K204" s="65" t="str">
        <f t="shared" si="7"/>
        <v>❌ Not on Best Plan</v>
      </c>
      <c r="L204" s="65" t="str">
        <f>IFERROR(INDEX('Docketed Comments'!F:F,MATCH(A204,'Docketed Comments'!H:H,0)),"")</f>
        <v>Residents should not have to shoulder repeated increases while APS reports strong profits.</v>
      </c>
      <c r="M204" s="137" t="str">
        <f>IFERROR(HYPERLINK(INDEX('Docketed Comments'!G:G,MATCH(A204,'Docketed Comments'!H:H,0)),"📄 View Docket"),"")</f>
        <v>📄 View Docket</v>
      </c>
      <c r="N204" s="135" t="str">
        <f>IFERROR(INDEX('Docketed Comments'!N:N,MATCH(A204,'Docketed Comments'!H:H,0)),"")</f>
        <v>No</v>
      </c>
      <c r="O204" s="135" t="str">
        <f>IFERROR(INDEX('Docketed Comments'!L:L,MATCH(A204,'Docketed Comments'!H:H,0)),"")</f>
        <v>No MEP R3-47 ($64.33)</v>
      </c>
      <c r="P204" s="136">
        <f t="shared" si="6"/>
        <v>64.33</v>
      </c>
      <c r="Q204" s="140"/>
      <c r="R204" s="144">
        <v>1</v>
      </c>
    </row>
    <row r="205" spans="1:18" ht="21.95" customHeight="1">
      <c r="A205" s="71" t="s">
        <v>5054</v>
      </c>
      <c r="B205" s="69"/>
      <c r="C205" s="70"/>
      <c r="D205" s="69"/>
      <c r="E205" s="69"/>
      <c r="F205" s="65"/>
      <c r="G205" s="65" t="s">
        <v>5813</v>
      </c>
      <c r="H205" s="65" t="str">
        <f>IFERROR(INDEX('Docketed Comments'!C:C,MATCH(A205,'Docketed Comments'!H:H,0))&amp;", "&amp;INDEX('Docketed Comments'!B:B,MATCH(A205,'Docketed Comments'!H:H,0)),"")</f>
        <v>Debbie, Harmonson</v>
      </c>
      <c r="I205" s="65" t="str">
        <f>IFERROR(INDEX('Docketed Comments'!D:D,MATCH(A205,'Docketed Comments'!H:H,0)),"")</f>
        <v>Surprise</v>
      </c>
      <c r="J205" s="65" t="str">
        <f>IFERROR(INDEX('Docketed Comments'!I:I,MATCH(A205,'Docketed Comments'!H:H,0)),"")</f>
        <v>RTOUE47</v>
      </c>
      <c r="K205" s="65" t="str">
        <f t="shared" si="7"/>
        <v>❌ Not on Best Plan</v>
      </c>
      <c r="L205" s="65" t="str">
        <f>IFERROR(INDEX('Docketed Comments'!F:F,MATCH(A205,'Docketed Comments'!H:H,0)),"")</f>
        <v>It should not be allowed to profit off of the working class for things that are a necessity to survive.</v>
      </c>
      <c r="M205" s="137" t="str">
        <f>IFERROR(HYPERLINK(INDEX('Docketed Comments'!G:G,MATCH(A205,'Docketed Comments'!H:H,0)),"📄 View Docket"),"")</f>
        <v>📄 View Docket</v>
      </c>
      <c r="N205" s="135" t="str">
        <f>IFERROR(INDEX('Docketed Comments'!N:N,MATCH(A205,'Docketed Comments'!H:H,0)),"")</f>
        <v>No</v>
      </c>
      <c r="O205" s="135" t="str">
        <f>IFERROR(INDEX('Docketed Comments'!L:L,MATCH(A205,'Docketed Comments'!H:H,0)),"")</f>
        <v>No MEP R3-47 ($359.67)</v>
      </c>
      <c r="P205" s="136">
        <f t="shared" si="6"/>
        <v>359.67</v>
      </c>
      <c r="Q205" s="140"/>
      <c r="R205" s="144">
        <v>1</v>
      </c>
    </row>
    <row r="206" spans="1:18" ht="21.95" customHeight="1">
      <c r="A206" s="71" t="s">
        <v>5055</v>
      </c>
      <c r="B206" s="69"/>
      <c r="C206" s="70"/>
      <c r="D206" s="69"/>
      <c r="E206" s="69"/>
      <c r="F206" s="65"/>
      <c r="G206" s="65" t="s">
        <v>5812</v>
      </c>
      <c r="H206" s="65" t="str">
        <f>IFERROR(INDEX('Docketed Comments'!C:C,MATCH(A206,'Docketed Comments'!H:H,0))&amp;", "&amp;INDEX('Docketed Comments'!B:B,MATCH(A206,'Docketed Comments'!H:H,0)),"")</f>
        <v>Bethany, Diaz</v>
      </c>
      <c r="I206" s="65" t="str">
        <f>IFERROR(INDEX('Docketed Comments'!D:D,MATCH(A206,'Docketed Comments'!H:H,0)),"")</f>
        <v>Phoenix</v>
      </c>
      <c r="J206" s="65" t="str">
        <f>IFERROR(INDEX('Docketed Comments'!I:I,MATCH(A206,'Docketed Comments'!H:H,0)),"")</f>
        <v>RTOUE47</v>
      </c>
      <c r="K206" s="65" t="str">
        <f t="shared" si="7"/>
        <v>❌ Not on Best Plan</v>
      </c>
      <c r="L206" s="65" t="str">
        <f>IFERROR(INDEX('Docketed Comments'!F:F,MATCH(A206,'Docketed Comments'!H:H,0)),"")</f>
        <v xml:space="preserve">Owned home for 15 years and made all the EE improvements and bills are still going up. </v>
      </c>
      <c r="M206" s="137" t="str">
        <f>IFERROR(HYPERLINK(INDEX('Docketed Comments'!G:G,MATCH(A206,'Docketed Comments'!H:H,0)),"📄 View Docket"),"")</f>
        <v>📄 View Docket</v>
      </c>
      <c r="N206" s="135" t="str">
        <f>IFERROR(INDEX('Docketed Comments'!N:N,MATCH(A206,'Docketed Comments'!H:H,0)),"")</f>
        <v>No</v>
      </c>
      <c r="O206" s="135" t="str">
        <f>IFERROR(INDEX('Docketed Comments'!L:L,MATCH(A206,'Docketed Comments'!H:H,0)),"")</f>
        <v>No MEP R3-47 ($128.88</v>
      </c>
      <c r="P206" s="136">
        <f t="shared" si="6"/>
        <v>0</v>
      </c>
      <c r="Q206" s="140"/>
      <c r="R206" s="144">
        <v>1</v>
      </c>
    </row>
    <row r="207" spans="1:18" ht="21.95" customHeight="1">
      <c r="A207" s="71" t="s">
        <v>5056</v>
      </c>
      <c r="B207" s="69"/>
      <c r="C207" s="70"/>
      <c r="D207" s="69"/>
      <c r="E207" s="69"/>
      <c r="F207" s="65"/>
      <c r="G207" s="65" t="s">
        <v>5813</v>
      </c>
      <c r="H207" s="65" t="str">
        <f>IFERROR(INDEX('Docketed Comments'!C:C,MATCH(A207,'Docketed Comments'!H:H,0))&amp;", "&amp;INDEX('Docketed Comments'!B:B,MATCH(A207,'Docketed Comments'!H:H,0)),"")</f>
        <v>Jared, Mancuso</v>
      </c>
      <c r="I207" s="65" t="str">
        <f>IFERROR(INDEX('Docketed Comments'!D:D,MATCH(A207,'Docketed Comments'!H:H,0)),"")</f>
        <v>Phoenix</v>
      </c>
      <c r="J207" s="65" t="str">
        <f>IFERROR(INDEX('Docketed Comments'!I:I,MATCH(A207,'Docketed Comments'!H:H,0)),"")</f>
        <v>R-BASICL</v>
      </c>
      <c r="K207" s="65" t="str">
        <f t="shared" si="7"/>
        <v>❌ Not on Best Plan</v>
      </c>
      <c r="L207" s="65" t="str">
        <f>IFERROR(INDEX('Docketed Comments'!F:F,MATCH(A207,'Docketed Comments'!H:H,0)),"")</f>
        <v>already too high, wages are stagnant, and the profit margins of this company are absurd.</v>
      </c>
      <c r="M207" s="137" t="str">
        <f>IFERROR(HYPERLINK(INDEX('Docketed Comments'!G:G,MATCH(A207,'Docketed Comments'!H:H,0)),"📄 View Docket"),"")</f>
        <v>📄 View Docket</v>
      </c>
      <c r="N207" s="135" t="str">
        <f>IFERROR(INDEX('Docketed Comments'!N:N,MATCH(A207,'Docketed Comments'!H:H,0)),"")</f>
        <v>No</v>
      </c>
      <c r="O207" s="135" t="str">
        <f>IFERROR(INDEX('Docketed Comments'!L:L,MATCH(A207,'Docketed Comments'!H:H,0)),"")</f>
        <v>No MEP R3-47 ($336.56)</v>
      </c>
      <c r="P207" s="136">
        <f t="shared" si="6"/>
        <v>336.56</v>
      </c>
      <c r="Q207" s="140"/>
      <c r="R207" s="144">
        <v>1</v>
      </c>
    </row>
    <row r="208" spans="1:18" ht="21.95" customHeight="1">
      <c r="A208" s="71" t="s">
        <v>5057</v>
      </c>
      <c r="B208" s="69"/>
      <c r="C208" s="70"/>
      <c r="D208" s="69"/>
      <c r="E208" s="69"/>
      <c r="F208" s="65"/>
      <c r="G208" s="65" t="s">
        <v>5813</v>
      </c>
      <c r="H208" s="65" t="str">
        <f>IFERROR(INDEX('Docketed Comments'!C:C,MATCH(A208,'Docketed Comments'!H:H,0))&amp;", "&amp;INDEX('Docketed Comments'!B:B,MATCH(A208,'Docketed Comments'!H:H,0)),"")</f>
        <v>Nathan, Peterson</v>
      </c>
      <c r="I208" s="65" t="str">
        <f>IFERROR(INDEX('Docketed Comments'!D:D,MATCH(A208,'Docketed Comments'!H:H,0)),"")</f>
        <v>Goodyear</v>
      </c>
      <c r="J208" s="65" t="str">
        <f>IFERROR(INDEX('Docketed Comments'!I:I,MATCH(A208,'Docketed Comments'!H:H,0)),"")</f>
        <v>RTOUE47</v>
      </c>
      <c r="K208" s="65" t="str">
        <f t="shared" si="7"/>
        <v>❌ Not on Best Plan</v>
      </c>
      <c r="L208" s="65" t="str">
        <f>IFERROR(INDEX('Docketed Comments'!F:F,MATCH(A208,'Docketed Comments'!H:H,0)),"")</f>
        <v xml:space="preserve">Familes are trying to survive high interest rates, inflation, and provide for themselves and children. The name Arizona Public Service should be a reminder that electricity is a publis service, not a slush fund. </v>
      </c>
      <c r="M208" s="137" t="str">
        <f>IFERROR(HYPERLINK(INDEX('Docketed Comments'!G:G,MATCH(A208,'Docketed Comments'!H:H,0)),"📄 View Docket"),"")</f>
        <v>📄 View Docket</v>
      </c>
      <c r="N208" s="135" t="str">
        <f>IFERROR(INDEX('Docketed Comments'!N:N,MATCH(A208,'Docketed Comments'!H:H,0)),"")</f>
        <v>No</v>
      </c>
      <c r="O208" s="135" t="str">
        <f>IFERROR(INDEX('Docketed Comments'!L:L,MATCH(A208,'Docketed Comments'!H:H,0)),"")</f>
        <v>No MEP R3-47 ($402.12)</v>
      </c>
      <c r="P208" s="136">
        <f t="shared" si="6"/>
        <v>402.12</v>
      </c>
      <c r="Q208" s="140"/>
      <c r="R208" s="144">
        <v>1</v>
      </c>
    </row>
    <row r="209" spans="1:18" ht="21.95" customHeight="1">
      <c r="A209" s="71" t="s">
        <v>5058</v>
      </c>
      <c r="B209" s="69"/>
      <c r="C209" s="70"/>
      <c r="D209" s="69"/>
      <c r="E209" s="69"/>
      <c r="F209" s="65"/>
      <c r="G209" s="65" t="s">
        <v>5812</v>
      </c>
      <c r="H209" s="65" t="str">
        <f>IFERROR(INDEX('Docketed Comments'!C:C,MATCH(A209,'Docketed Comments'!H:H,0))&amp;", "&amp;INDEX('Docketed Comments'!B:B,MATCH(A209,'Docketed Comments'!H:H,0)),"")</f>
        <v>Vanessa, Green</v>
      </c>
      <c r="I209" s="65" t="str">
        <f>IFERROR(INDEX('Docketed Comments'!D:D,MATCH(A209,'Docketed Comments'!H:H,0)),"")</f>
        <v>Phoenix</v>
      </c>
      <c r="J209" s="65" t="str">
        <f>IFERROR(INDEX('Docketed Comments'!I:I,MATCH(A209,'Docketed Comments'!H:H,0)),"")</f>
        <v>R-BASICL</v>
      </c>
      <c r="K209" s="65" t="str">
        <f t="shared" si="7"/>
        <v>❌ Not on Best Plan</v>
      </c>
      <c r="L209" s="65" t="str">
        <f>IFERROR(INDEX('Docketed Comments'!F:F,MATCH(A209,'Docketed Comments'!H:H,0)),"")</f>
        <v xml:space="preserve">we are already struggling to balance the rising costs of childcare with our monthly utility bills. </v>
      </c>
      <c r="M209" s="137" t="str">
        <f>IFERROR(HYPERLINK(INDEX('Docketed Comments'!G:G,MATCH(A209,'Docketed Comments'!H:H,0)),"📄 View Docket"),"")</f>
        <v>📄 View Docket</v>
      </c>
      <c r="N209" s="135" t="str">
        <f>IFERROR(INDEX('Docketed Comments'!N:N,MATCH(A209,'Docketed Comments'!H:H,0)),"")</f>
        <v>No</v>
      </c>
      <c r="O209" s="135" t="str">
        <f>IFERROR(INDEX('Docketed Comments'!L:L,MATCH(A209,'Docketed Comments'!H:H,0)),"")</f>
        <v>No MEP TOUE-47 ($139.27)</v>
      </c>
      <c r="P209" s="136">
        <f t="shared" si="6"/>
        <v>139.27000000000001</v>
      </c>
      <c r="Q209" s="140"/>
      <c r="R209" s="144">
        <v>1</v>
      </c>
    </row>
    <row r="210" spans="1:18" ht="21.95" customHeight="1">
      <c r="A210" s="71" t="s">
        <v>5059</v>
      </c>
      <c r="B210" s="69"/>
      <c r="C210" s="70"/>
      <c r="D210" s="69"/>
      <c r="E210" s="69"/>
      <c r="F210" s="65"/>
      <c r="G210" s="65" t="s">
        <v>5812</v>
      </c>
      <c r="H210" s="65" t="str">
        <f>IFERROR(INDEX('Docketed Comments'!C:C,MATCH(A210,'Docketed Comments'!H:H,0))&amp;", "&amp;INDEX('Docketed Comments'!B:B,MATCH(A210,'Docketed Comments'!H:H,0)),"")</f>
        <v>Paul, Courtney</v>
      </c>
      <c r="I210" s="65" t="str">
        <f>IFERROR(INDEX('Docketed Comments'!D:D,MATCH(A210,'Docketed Comments'!H:H,0)),"")</f>
        <v>Phoenix</v>
      </c>
      <c r="J210" s="65" t="str">
        <f>IFERROR(INDEX('Docketed Comments'!I:I,MATCH(A210,'Docketed Comments'!H:H,0)),"")</f>
        <v>R-BASIC</v>
      </c>
      <c r="K210" s="65" t="str">
        <f t="shared" si="7"/>
        <v>❌ Not on Best Plan</v>
      </c>
      <c r="L210" s="65" t="str">
        <f>IFERROR(INDEX('Docketed Comments'!F:F,MATCH(A210,'Docketed Comments'!H:H,0)),"")</f>
        <v>At what time do we expect APS to reinvest their own profits to upgrade infrastructure?</v>
      </c>
      <c r="M210" s="137" t="str">
        <f>IFERROR(HYPERLINK(INDEX('Docketed Comments'!G:G,MATCH(A210,'Docketed Comments'!H:H,0)),"📄 View Docket"),"")</f>
        <v>📄 View Docket</v>
      </c>
      <c r="N210" s="135" t="str">
        <f>IFERROR(INDEX('Docketed Comments'!N:N,MATCH(A210,'Docketed Comments'!H:H,0)),"")</f>
        <v>No</v>
      </c>
      <c r="O210" s="135" t="str">
        <f>IFERROR(INDEX('Docketed Comments'!L:L,MATCH(A210,'Docketed Comments'!H:H,0)),"")</f>
        <v>No MEP R3-47 ($55.05)</v>
      </c>
      <c r="P210" s="136">
        <f t="shared" si="6"/>
        <v>55.05</v>
      </c>
      <c r="Q210" s="140"/>
      <c r="R210" s="144">
        <v>1</v>
      </c>
    </row>
    <row r="211" spans="1:18" ht="21.95" customHeight="1">
      <c r="A211" s="71" t="s">
        <v>5060</v>
      </c>
      <c r="B211" s="69"/>
      <c r="C211" s="70"/>
      <c r="D211" s="69"/>
      <c r="E211" s="69"/>
      <c r="F211" s="65"/>
      <c r="G211" s="65" t="s">
        <v>5812</v>
      </c>
      <c r="H211" s="65" t="str">
        <f>IFERROR(INDEX('Docketed Comments'!C:C,MATCH(A211,'Docketed Comments'!H:H,0))&amp;", "&amp;INDEX('Docketed Comments'!B:B,MATCH(A211,'Docketed Comments'!H:H,0)),"")</f>
        <v>Vanessa, Marquez</v>
      </c>
      <c r="I211" s="65" t="str">
        <f>IFERROR(INDEX('Docketed Comments'!D:D,MATCH(A211,'Docketed Comments'!H:H,0)),"")</f>
        <v>Tempe</v>
      </c>
      <c r="J211" s="65" t="str">
        <f>IFERROR(INDEX('Docketed Comments'!I:I,MATCH(A211,'Docketed Comments'!H:H,0)),"")</f>
        <v>R-BASICL</v>
      </c>
      <c r="K211" s="65" t="str">
        <f t="shared" si="7"/>
        <v>❌ Not on Best Plan</v>
      </c>
      <c r="L211" s="65" t="str">
        <f>IFERROR(INDEX('Docketed Comments'!F:F,MATCH(A211,'Docketed Comments'!H:H,0)),"")</f>
        <v>people cannot afford another APS price hike. We live in the desert, and to this company all you see is dollar signs. YOU GUYS SUCK IF YOU INCREASE MORE RATES</v>
      </c>
      <c r="M211" s="137" t="str">
        <f>IFERROR(HYPERLINK(INDEX('Docketed Comments'!G:G,MATCH(A211,'Docketed Comments'!H:H,0)),"📄 View Docket"),"")</f>
        <v>📄 View Docket</v>
      </c>
      <c r="N211" s="135" t="str">
        <f>IFERROR(INDEX('Docketed Comments'!N:N,MATCH(A211,'Docketed Comments'!H:H,0)),"")</f>
        <v>No</v>
      </c>
      <c r="O211" s="135" t="str">
        <f>IFERROR(INDEX('Docketed Comments'!L:L,MATCH(A211,'Docketed Comments'!H:H,0)),"")</f>
        <v>No MEP RTOUE47 ($27.85)</v>
      </c>
      <c r="P211" s="136">
        <f t="shared" si="6"/>
        <v>27.85</v>
      </c>
      <c r="Q211" s="140"/>
      <c r="R211" s="144">
        <v>1</v>
      </c>
    </row>
    <row r="212" spans="1:18" ht="21.95" customHeight="1">
      <c r="A212" s="71" t="s">
        <v>5061</v>
      </c>
      <c r="B212" s="69"/>
      <c r="C212" s="70"/>
      <c r="D212" s="69"/>
      <c r="E212" s="69"/>
      <c r="F212" s="65"/>
      <c r="G212" s="65" t="s">
        <v>5813</v>
      </c>
      <c r="H212" s="65" t="str">
        <f>IFERROR(INDEX('Docketed Comments'!C:C,MATCH(A212,'Docketed Comments'!H:H,0))&amp;", "&amp;INDEX('Docketed Comments'!B:B,MATCH(A212,'Docketed Comments'!H:H,0)),"")</f>
        <v>Madison, Berger</v>
      </c>
      <c r="I212" s="65" t="str">
        <f>IFERROR(INDEX('Docketed Comments'!D:D,MATCH(A212,'Docketed Comments'!H:H,0)),"")</f>
        <v xml:space="preserve">Phoenix </v>
      </c>
      <c r="J212" s="65" t="str">
        <f>IFERROR(INDEX('Docketed Comments'!I:I,MATCH(A212,'Docketed Comments'!H:H,0)),"")</f>
        <v>RTOUE47</v>
      </c>
      <c r="K212" s="65" t="str">
        <f t="shared" si="7"/>
        <v>❌ Not on Best Plan</v>
      </c>
      <c r="L212" s="65" t="str">
        <f>IFERROR(INDEX('Docketed Comments'!F:F,MATCH(A212,'Docketed Comments'!H:H,0)),"")</f>
        <v>Oppose -rate was just increased less than 2 years ago</v>
      </c>
      <c r="M212" s="137" t="str">
        <f>IFERROR(HYPERLINK(INDEX('Docketed Comments'!G:G,MATCH(A212,'Docketed Comments'!H:H,0)),"📄 View Docket"),"")</f>
        <v>📄 View Docket</v>
      </c>
      <c r="N212" s="135" t="str">
        <f>IFERROR(INDEX('Docketed Comments'!N:N,MATCH(A212,'Docketed Comments'!H:H,0)),"")</f>
        <v>No</v>
      </c>
      <c r="O212" s="135" t="str">
        <f>IFERROR(INDEX('Docketed Comments'!L:L,MATCH(A212,'Docketed Comments'!H:H,0)),"")</f>
        <v>No MEP R3-47 ($311.33)</v>
      </c>
      <c r="P212" s="136">
        <f t="shared" si="6"/>
        <v>311.33</v>
      </c>
      <c r="Q212" s="140"/>
      <c r="R212" s="144">
        <v>1</v>
      </c>
    </row>
    <row r="213" spans="1:18" ht="21.95" customHeight="1">
      <c r="A213" s="71" t="s">
        <v>5062</v>
      </c>
      <c r="B213" s="69"/>
      <c r="C213" s="70"/>
      <c r="D213" s="69"/>
      <c r="E213" s="69"/>
      <c r="F213" s="65"/>
      <c r="G213" s="65" t="s">
        <v>5812</v>
      </c>
      <c r="H213" s="65" t="str">
        <f>IFERROR(INDEX('Docketed Comments'!C:C,MATCH(A213,'Docketed Comments'!H:H,0))&amp;", "&amp;INDEX('Docketed Comments'!B:B,MATCH(A213,'Docketed Comments'!H:H,0)),"")</f>
        <v>Eileen, Kocho</v>
      </c>
      <c r="I213" s="65" t="str">
        <f>IFERROR(INDEX('Docketed Comments'!D:D,MATCH(A213,'Docketed Comments'!H:H,0)),"")</f>
        <v>Surprise</v>
      </c>
      <c r="J213" s="65" t="str">
        <f>IFERROR(INDEX('Docketed Comments'!I:I,MATCH(A213,'Docketed Comments'!H:H,0)),"")</f>
        <v>RTOUE47</v>
      </c>
      <c r="K213" s="65" t="str">
        <f t="shared" si="7"/>
        <v>❌ Not on Best Plan</v>
      </c>
      <c r="L213" s="65" t="str">
        <f>IFERROR(INDEX('Docketed Comments'!F:F,MATCH(A213,'Docketed Comments'!H:H,0)),"")</f>
        <v>rising costs places an undue financial burden on households-especially those on fixed incomes,</v>
      </c>
      <c r="M213" s="137" t="str">
        <f>IFERROR(HYPERLINK(INDEX('Docketed Comments'!G:G,MATCH(A213,'Docketed Comments'!H:H,0)),"📄 View Docket"),"")</f>
        <v>📄 View Docket</v>
      </c>
      <c r="N213" s="135" t="str">
        <f>IFERROR(INDEX('Docketed Comments'!N:N,MATCH(A213,'Docketed Comments'!H:H,0)),"")</f>
        <v>No</v>
      </c>
      <c r="O213" s="135" t="str">
        <f>IFERROR(INDEX('Docketed Comments'!L:L,MATCH(A213,'Docketed Comments'!H:H,0)),"")</f>
        <v>No MEP R-XS ($11.32)</v>
      </c>
      <c r="P213" s="136">
        <f t="shared" si="6"/>
        <v>11.32</v>
      </c>
      <c r="Q213" s="140"/>
      <c r="R213" s="144">
        <v>1</v>
      </c>
    </row>
    <row r="214" spans="1:18" ht="21.95" customHeight="1">
      <c r="A214" s="71" t="s">
        <v>5063</v>
      </c>
      <c r="B214" s="69"/>
      <c r="C214" s="70"/>
      <c r="D214" s="69"/>
      <c r="E214" s="69"/>
      <c r="F214" s="65"/>
      <c r="G214" s="65" t="s">
        <v>5812</v>
      </c>
      <c r="H214" s="65" t="str">
        <f>IFERROR(INDEX('Docketed Comments'!C:C,MATCH(A214,'Docketed Comments'!H:H,0))&amp;", "&amp;INDEX('Docketed Comments'!B:B,MATCH(A214,'Docketed Comments'!H:H,0)),"")</f>
        <v>Youshia, Gewargis</v>
      </c>
      <c r="I214" s="65" t="str">
        <f>IFERROR(INDEX('Docketed Comments'!D:D,MATCH(A214,'Docketed Comments'!H:H,0)),"")</f>
        <v>Sun City</v>
      </c>
      <c r="J214" s="65" t="str">
        <f>IFERROR(INDEX('Docketed Comments'!I:I,MATCH(A214,'Docketed Comments'!H:H,0)),"")</f>
        <v>RTOUE47</v>
      </c>
      <c r="K214" s="65" t="str">
        <f t="shared" si="7"/>
        <v>❌ Not on Best Plan</v>
      </c>
      <c r="L214" s="65" t="str">
        <f>IFERROR(INDEX('Docketed Comments'!F:F,MATCH(A214,'Docketed Comments'!H:H,0)),"")</f>
        <v>This increase places a significant financial burden on households and small businesses</v>
      </c>
      <c r="M214" s="137" t="str">
        <f>IFERROR(HYPERLINK(INDEX('Docketed Comments'!G:G,MATCH(A214,'Docketed Comments'!H:H,0)),"📄 View Docket"),"")</f>
        <v>📄 View Docket</v>
      </c>
      <c r="N214" s="135" t="str">
        <f>IFERROR(INDEX('Docketed Comments'!N:N,MATCH(A214,'Docketed Comments'!H:H,0)),"")</f>
        <v>No</v>
      </c>
      <c r="O214" s="135" t="str">
        <f>IFERROR(INDEX('Docketed Comments'!L:L,MATCH(A214,'Docketed Comments'!H:H,0)),"")</f>
        <v>No MEP R3-47 ($108.10)</v>
      </c>
      <c r="P214" s="136">
        <f t="shared" si="6"/>
        <v>108.1</v>
      </c>
      <c r="Q214" s="140"/>
      <c r="R214" s="144">
        <v>1</v>
      </c>
    </row>
    <row r="215" spans="1:18" ht="21.95" customHeight="1">
      <c r="A215" s="71" t="s">
        <v>5064</v>
      </c>
      <c r="B215" s="69"/>
      <c r="C215" s="70"/>
      <c r="D215" s="69"/>
      <c r="E215" s="69"/>
      <c r="F215" s="65"/>
      <c r="G215" s="65" t="s">
        <v>5812</v>
      </c>
      <c r="H215" s="65" t="str">
        <f>IFERROR(INDEX('Docketed Comments'!C:C,MATCH(A215,'Docketed Comments'!H:H,0))&amp;", "&amp;INDEX('Docketed Comments'!B:B,MATCH(A215,'Docketed Comments'!H:H,0)),"")</f>
        <v>Rebecca, Lewis</v>
      </c>
      <c r="I215" s="65" t="str">
        <f>IFERROR(INDEX('Docketed Comments'!D:D,MATCH(A215,'Docketed Comments'!H:H,0)),"")</f>
        <v>Glendale</v>
      </c>
      <c r="J215" s="65" t="str">
        <f>IFERROR(INDEX('Docketed Comments'!I:I,MATCH(A215,'Docketed Comments'!H:H,0)),"")</f>
        <v>R-BASIC</v>
      </c>
      <c r="K215" s="65" t="str">
        <f t="shared" si="7"/>
        <v>❌ Not on Best Plan</v>
      </c>
      <c r="L215" s="65" t="str">
        <f>IFERROR(INDEX('Docketed Comments'!F:F,MATCH(A215,'Docketed Comments'!H:H,0)),"")</f>
        <v xml:space="preserve">Costs of electricity are rising much faster than our incomes. People with fixed/limited income can't afford these drastic increases year over year. </v>
      </c>
      <c r="M215" s="137" t="str">
        <f>IFERROR(HYPERLINK(INDEX('Docketed Comments'!G:G,MATCH(A215,'Docketed Comments'!H:H,0)),"📄 View Docket"),"")</f>
        <v>📄 View Docket</v>
      </c>
      <c r="N215" s="135" t="str">
        <f>IFERROR(INDEX('Docketed Comments'!N:N,MATCH(A215,'Docketed Comments'!H:H,0)),"")</f>
        <v>No</v>
      </c>
      <c r="O215" s="135" t="str">
        <f>IFERROR(INDEX('Docketed Comments'!L:L,MATCH(A215,'Docketed Comments'!H:H,0)),"")</f>
        <v>Not eligible yet</v>
      </c>
      <c r="P215" s="136">
        <f t="shared" si="6"/>
        <v>0</v>
      </c>
      <c r="Q215" s="140"/>
      <c r="R215" s="144">
        <v>1</v>
      </c>
    </row>
    <row r="216" spans="1:18" ht="21.95" customHeight="1">
      <c r="A216" s="71" t="s">
        <v>5065</v>
      </c>
      <c r="B216" s="69"/>
      <c r="C216" s="70"/>
      <c r="D216" s="69"/>
      <c r="E216" s="69"/>
      <c r="F216" s="65"/>
      <c r="G216" s="65" t="s">
        <v>5813</v>
      </c>
      <c r="H216" s="65" t="str">
        <f>IFERROR(INDEX('Docketed Comments'!C:C,MATCH(A216,'Docketed Comments'!H:H,0))&amp;", "&amp;INDEX('Docketed Comments'!B:B,MATCH(A216,'Docketed Comments'!H:H,0)),"")</f>
        <v>Lyn, Seifert</v>
      </c>
      <c r="I216" s="65" t="str">
        <f>IFERROR(INDEX('Docketed Comments'!D:D,MATCH(A216,'Docketed Comments'!H:H,0)),"")</f>
        <v>Scottsdale</v>
      </c>
      <c r="J216" s="65" t="str">
        <f>IFERROR(INDEX('Docketed Comments'!I:I,MATCH(A216,'Docketed Comments'!H:H,0)),"")</f>
        <v>RTOUE47</v>
      </c>
      <c r="K216" s="65" t="str">
        <f t="shared" si="7"/>
        <v>❌ Not on Best Plan</v>
      </c>
      <c r="L216" s="65" t="str">
        <f>IFERROR(INDEX('Docketed Comments'!F:F,MATCH(A216,'Docketed Comments'!H:H,0)),"")</f>
        <v>APS needs to be pressured to figure out how to keep costs down and find other ways to create cost-effective energy, such as portable nuclear power and natural gas.</v>
      </c>
      <c r="M216" s="137" t="str">
        <f>IFERROR(HYPERLINK(INDEX('Docketed Comments'!G:G,MATCH(A216,'Docketed Comments'!H:H,0)),"📄 View Docket"),"")</f>
        <v>📄 View Docket</v>
      </c>
      <c r="N216" s="135" t="str">
        <f>IFERROR(INDEX('Docketed Comments'!N:N,MATCH(A216,'Docketed Comments'!H:H,0)),"")</f>
        <v>No</v>
      </c>
      <c r="O216" s="135" t="str">
        <f>IFERROR(INDEX('Docketed Comments'!L:L,MATCH(A216,'Docketed Comments'!H:H,0)),"")</f>
        <v>No MEP R3-47 ($339.29)</v>
      </c>
      <c r="P216" s="136">
        <f t="shared" si="6"/>
        <v>339.29</v>
      </c>
      <c r="Q216" s="140"/>
      <c r="R216" s="144">
        <v>1</v>
      </c>
    </row>
    <row r="217" spans="1:18" ht="21.95" customHeight="1">
      <c r="A217" s="71" t="s">
        <v>5066</v>
      </c>
      <c r="B217" s="69"/>
      <c r="C217" s="70"/>
      <c r="D217" s="69"/>
      <c r="E217" s="69"/>
      <c r="F217" s="65"/>
      <c r="G217" s="65" t="s">
        <v>5812</v>
      </c>
      <c r="H217" s="65" t="str">
        <f>IFERROR(INDEX('Docketed Comments'!C:C,MATCH(A217,'Docketed Comments'!H:H,0))&amp;", "&amp;INDEX('Docketed Comments'!B:B,MATCH(A217,'Docketed Comments'!H:H,0)),"")</f>
        <v>Cristiana, Rueda</v>
      </c>
      <c r="I217" s="65" t="str">
        <f>IFERROR(INDEX('Docketed Comments'!D:D,MATCH(A217,'Docketed Comments'!H:H,0)),"")</f>
        <v>Phoenix</v>
      </c>
      <c r="J217" s="65" t="str">
        <f>IFERROR(INDEX('Docketed Comments'!I:I,MATCH(A217,'Docketed Comments'!H:H,0)),"")</f>
        <v>RTOUE47</v>
      </c>
      <c r="K217" s="65" t="str">
        <f t="shared" si="7"/>
        <v>❌ Not on Best Plan</v>
      </c>
      <c r="L217" s="65" t="str">
        <f>IFERROR(INDEX('Docketed Comments'!F:F,MATCH(A217,'Docketed Comments'!H:H,0)),"")</f>
        <v>consider how this affects our total cost of living - many of us struggle to pay rising rent prices without utilities</v>
      </c>
      <c r="M217" s="137" t="str">
        <f>IFERROR(HYPERLINK(INDEX('Docketed Comments'!G:G,MATCH(A217,'Docketed Comments'!H:H,0)),"📄 View Docket"),"")</f>
        <v>📄 View Docket</v>
      </c>
      <c r="N217" s="135" t="str">
        <f>IFERROR(INDEX('Docketed Comments'!N:N,MATCH(A217,'Docketed Comments'!H:H,0)),"")</f>
        <v>No</v>
      </c>
      <c r="O217" s="135" t="str">
        <f>IFERROR(INDEX('Docketed Comments'!L:L,MATCH(A217,'Docketed Comments'!H:H,0)),"")</f>
        <v>No MEP R-XS ($103.62)</v>
      </c>
      <c r="P217" s="136">
        <f t="shared" si="6"/>
        <v>103.62</v>
      </c>
      <c r="Q217" s="140"/>
      <c r="R217" s="144">
        <v>1</v>
      </c>
    </row>
    <row r="218" spans="1:18" ht="21.95" customHeight="1">
      <c r="A218" s="71" t="s">
        <v>5067</v>
      </c>
      <c r="B218" s="69"/>
      <c r="C218" s="70"/>
      <c r="D218" s="69"/>
      <c r="E218" s="69"/>
      <c r="F218" s="65"/>
      <c r="G218" s="65" t="s">
        <v>5813</v>
      </c>
      <c r="H218" s="65" t="str">
        <f>IFERROR(INDEX('Docketed Comments'!C:C,MATCH(A218,'Docketed Comments'!H:H,0))&amp;", "&amp;INDEX('Docketed Comments'!B:B,MATCH(A218,'Docketed Comments'!H:H,0)),"")</f>
        <v>Jennifer, Lundin</v>
      </c>
      <c r="I218" s="65" t="str">
        <f>IFERROR(INDEX('Docketed Comments'!D:D,MATCH(A218,'Docketed Comments'!H:H,0)),"")</f>
        <v>Scottsdale</v>
      </c>
      <c r="J218" s="65" t="str">
        <f>IFERROR(INDEX('Docketed Comments'!I:I,MATCH(A218,'Docketed Comments'!H:H,0)),"")</f>
        <v>R3-47</v>
      </c>
      <c r="K218" s="65" t="str">
        <f t="shared" si="7"/>
        <v>❌ Not on Best Plan</v>
      </c>
      <c r="L218" s="65" t="str">
        <f>IFERROR(INDEX('Docketed Comments'!F:F,MATCH(A218,'Docketed Comments'!H:H,0)),"")</f>
        <v>This is pure GREED and negatively impacts all constituents. Do not pass this!</v>
      </c>
      <c r="M218" s="137" t="str">
        <f>IFERROR(HYPERLINK(INDEX('Docketed Comments'!G:G,MATCH(A218,'Docketed Comments'!H:H,0)),"📄 View Docket"),"")</f>
        <v>📄 View Docket</v>
      </c>
      <c r="N218" s="135" t="str">
        <f>IFERROR(INDEX('Docketed Comments'!N:N,MATCH(A218,'Docketed Comments'!H:H,0)),"")</f>
        <v>No</v>
      </c>
      <c r="O218" s="135" t="str">
        <f>IFERROR(INDEX('Docketed Comments'!L:L,MATCH(A218,'Docketed Comments'!H:H,0)),"")</f>
        <v>No MEP R-XS ($845.52)</v>
      </c>
      <c r="P218" s="136">
        <f t="shared" si="6"/>
        <v>845.52</v>
      </c>
      <c r="Q218" s="140"/>
      <c r="R218" s="144">
        <v>1</v>
      </c>
    </row>
    <row r="219" spans="1:18" ht="21.95" customHeight="1">
      <c r="A219" s="71" t="s">
        <v>5068</v>
      </c>
      <c r="B219" s="69"/>
      <c r="C219" s="70"/>
      <c r="D219" s="69"/>
      <c r="E219" s="69"/>
      <c r="F219" s="65"/>
      <c r="G219" s="65" t="s">
        <v>5812</v>
      </c>
      <c r="H219" s="65" t="str">
        <f>IFERROR(INDEX('Docketed Comments'!C:C,MATCH(A219,'Docketed Comments'!H:H,0))&amp;", "&amp;INDEX('Docketed Comments'!B:B,MATCH(A219,'Docketed Comments'!H:H,0)),"")</f>
        <v>Mara, Zegarac</v>
      </c>
      <c r="I219" s="65" t="str">
        <f>IFERROR(INDEX('Docketed Comments'!D:D,MATCH(A219,'Docketed Comments'!H:H,0)),"")</f>
        <v>Phoenix</v>
      </c>
      <c r="J219" s="65" t="str">
        <f>IFERROR(INDEX('Docketed Comments'!I:I,MATCH(A219,'Docketed Comments'!H:H,0)),"")</f>
        <v>R3-47</v>
      </c>
      <c r="K219" s="65" t="str">
        <f t="shared" si="7"/>
        <v>❌ Not on Best Plan</v>
      </c>
      <c r="L219" s="65" t="str">
        <f>IFERROR(INDEX('Docketed Comments'!F:F,MATCH(A219,'Docketed Comments'!H:H,0)),"")</f>
        <v>No increase in rates is needed or warranted. Put people over profits,</v>
      </c>
      <c r="M219" s="137" t="str">
        <f>IFERROR(HYPERLINK(INDEX('Docketed Comments'!G:G,MATCH(A219,'Docketed Comments'!H:H,0)),"📄 View Docket"),"")</f>
        <v>📄 View Docket</v>
      </c>
      <c r="N219" s="135" t="str">
        <f>IFERROR(INDEX('Docketed Comments'!N:N,MATCH(A219,'Docketed Comments'!H:H,0)),"")</f>
        <v>No</v>
      </c>
      <c r="O219" s="135" t="str">
        <f>IFERROR(INDEX('Docketed Comments'!L:L,MATCH(A219,'Docketed Comments'!H:H,0)),"")</f>
        <v>No MEP R-BASIC ($40.52)</v>
      </c>
      <c r="P219" s="136">
        <f t="shared" si="6"/>
        <v>40.520000000000003</v>
      </c>
      <c r="Q219" s="140"/>
      <c r="R219" s="144">
        <v>1</v>
      </c>
    </row>
    <row r="220" spans="1:18" ht="21.95" customHeight="1">
      <c r="A220" s="71" t="s">
        <v>5069</v>
      </c>
      <c r="B220" s="69"/>
      <c r="C220" s="70"/>
      <c r="D220" s="69"/>
      <c r="E220" s="69"/>
      <c r="F220" s="65"/>
      <c r="G220" s="65" t="s">
        <v>5813</v>
      </c>
      <c r="H220" s="65" t="str">
        <f>IFERROR(INDEX('Docketed Comments'!C:C,MATCH(A220,'Docketed Comments'!H:H,0))&amp;", "&amp;INDEX('Docketed Comments'!B:B,MATCH(A220,'Docketed Comments'!H:H,0)),"")</f>
        <v>Linda, Neal</v>
      </c>
      <c r="I220" s="65" t="str">
        <f>IFERROR(INDEX('Docketed Comments'!D:D,MATCH(A220,'Docketed Comments'!H:H,0)),"")</f>
        <v>Sun City</v>
      </c>
      <c r="J220" s="65" t="str">
        <f>IFERROR(INDEX('Docketed Comments'!I:I,MATCH(A220,'Docketed Comments'!H:H,0)),"")</f>
        <v>RTOUE47</v>
      </c>
      <c r="K220" s="65" t="str">
        <f t="shared" si="7"/>
        <v>❌ Not on Best Plan</v>
      </c>
      <c r="L220" s="65" t="str">
        <f>IFERROR(INDEX('Docketed Comments'!F:F,MATCH(A220,'Docketed Comments'!H:H,0)),"")</f>
        <v xml:space="preserve">14% APS rate hike is excessive for consumers. I am a senior citizen, struggling already. </v>
      </c>
      <c r="M220" s="137" t="str">
        <f>IFERROR(HYPERLINK(INDEX('Docketed Comments'!G:G,MATCH(A220,'Docketed Comments'!H:H,0)),"📄 View Docket"),"")</f>
        <v>📄 View Docket</v>
      </c>
      <c r="N220" s="135" t="str">
        <f>IFERROR(INDEX('Docketed Comments'!N:N,MATCH(A220,'Docketed Comments'!H:H,0)),"")</f>
        <v>No</v>
      </c>
      <c r="O220" s="135" t="str">
        <f>IFERROR(INDEX('Docketed Comments'!L:L,MATCH(A220,'Docketed Comments'!H:H,0)),"")</f>
        <v>No MEP R3-47 ($235.41)</v>
      </c>
      <c r="P220" s="136">
        <f t="shared" si="6"/>
        <v>235.41</v>
      </c>
      <c r="Q220" s="140"/>
      <c r="R220" s="144">
        <v>1</v>
      </c>
    </row>
    <row r="221" spans="1:18" ht="21.95" customHeight="1">
      <c r="A221" s="71" t="s">
        <v>5070</v>
      </c>
      <c r="B221" s="69"/>
      <c r="C221" s="70"/>
      <c r="D221" s="69"/>
      <c r="E221" s="69"/>
      <c r="F221" s="65"/>
      <c r="G221" s="65" t="s">
        <v>5811</v>
      </c>
      <c r="H221" s="65" t="str">
        <f>IFERROR(INDEX('Docketed Comments'!C:C,MATCH(A221,'Docketed Comments'!H:H,0))&amp;", "&amp;INDEX('Docketed Comments'!B:B,MATCH(A221,'Docketed Comments'!H:H,0)),"")</f>
        <v>Scott, Duffy</v>
      </c>
      <c r="I221" s="65" t="str">
        <f>IFERROR(INDEX('Docketed Comments'!D:D,MATCH(A221,'Docketed Comments'!H:H,0)),"")</f>
        <v>Dewey</v>
      </c>
      <c r="J221" s="65" t="str">
        <f>IFERROR(INDEX('Docketed Comments'!I:I,MATCH(A221,'Docketed Comments'!H:H,0)),"")</f>
        <v>R-BASIC</v>
      </c>
      <c r="K221" s="65" t="str">
        <f t="shared" si="7"/>
        <v>✅ On Best Plan</v>
      </c>
      <c r="L221" s="65" t="str">
        <f>IFERROR(INDEX('Docketed Comments'!F:F,MATCH(A221,'Docketed Comments'!H:H,0)),"")</f>
        <v>Opposed</v>
      </c>
      <c r="M221" s="137" t="str">
        <f>IFERROR(HYPERLINK(INDEX('Docketed Comments'!G:G,MATCH(A221,'Docketed Comments'!H:H,0)),"📄 View Docket"),"")</f>
        <v>📄 View Docket</v>
      </c>
      <c r="N221" s="135" t="str">
        <f>IFERROR(INDEX('Docketed Comments'!N:N,MATCH(A221,'Docketed Comments'!H:H,0)),"")</f>
        <v>No</v>
      </c>
      <c r="O221" s="135" t="str">
        <f>IFERROR(INDEX('Docketed Comments'!L:L,MATCH(A221,'Docketed Comments'!H:H,0)),"")</f>
        <v>Yes</v>
      </c>
      <c r="P221" s="136">
        <f t="shared" si="6"/>
        <v>0</v>
      </c>
      <c r="Q221" s="140"/>
      <c r="R221" s="144">
        <v>1</v>
      </c>
    </row>
    <row r="222" spans="1:18" ht="21.95" customHeight="1">
      <c r="A222" s="71" t="s">
        <v>5071</v>
      </c>
      <c r="B222" s="69"/>
      <c r="C222" s="70"/>
      <c r="D222" s="69"/>
      <c r="E222" s="69"/>
      <c r="F222" s="65"/>
      <c r="G222" s="65" t="s">
        <v>5812</v>
      </c>
      <c r="H222" s="65" t="str">
        <f>IFERROR(INDEX('Docketed Comments'!C:C,MATCH(A222,'Docketed Comments'!H:H,0))&amp;", "&amp;INDEX('Docketed Comments'!B:B,MATCH(A222,'Docketed Comments'!H:H,0)),"")</f>
        <v>Andrew, Barraza</v>
      </c>
      <c r="I222" s="65" t="str">
        <f>IFERROR(INDEX('Docketed Comments'!D:D,MATCH(A222,'Docketed Comments'!H:H,0)),"")</f>
        <v>Phoenix</v>
      </c>
      <c r="J222" s="65" t="str">
        <f>IFERROR(INDEX('Docketed Comments'!I:I,MATCH(A222,'Docketed Comments'!H:H,0)),"")</f>
        <v>RTOUE47</v>
      </c>
      <c r="K222" s="65" t="str">
        <f t="shared" si="7"/>
        <v>❌ Not on Best Plan</v>
      </c>
      <c r="L222" s="65" t="str">
        <f>IFERROR(INDEX('Docketed Comments'!F:F,MATCH(A222,'Docketed Comments'!H:H,0)),"")</f>
        <v xml:space="preserve">Parent of  three children, like many Arizona families, we are already struggling with the rising cost of living. </v>
      </c>
      <c r="M222" s="137" t="str">
        <f>IFERROR(HYPERLINK(INDEX('Docketed Comments'!G:G,MATCH(A222,'Docketed Comments'!H:H,0)),"📄 View Docket"),"")</f>
        <v>📄 View Docket</v>
      </c>
      <c r="N222" s="135" t="str">
        <f>IFERROR(INDEX('Docketed Comments'!N:N,MATCH(A222,'Docketed Comments'!H:H,0)),"")</f>
        <v>No</v>
      </c>
      <c r="O222" s="135" t="str">
        <f>IFERROR(INDEX('Docketed Comments'!L:L,MATCH(A222,'Docketed Comments'!H:H,0)),"")</f>
        <v>No MEP R-BASIC ($1.22)</v>
      </c>
      <c r="P222" s="136">
        <f t="shared" si="6"/>
        <v>1.22</v>
      </c>
      <c r="Q222" s="140"/>
      <c r="R222" s="144">
        <v>1</v>
      </c>
    </row>
    <row r="223" spans="1:18" ht="21.95" customHeight="1">
      <c r="A223" s="71" t="s">
        <v>5072</v>
      </c>
      <c r="B223" s="69"/>
      <c r="C223" s="70"/>
      <c r="D223" s="69"/>
      <c r="E223" s="69"/>
      <c r="F223" s="65"/>
      <c r="G223" s="65" t="s">
        <v>5811</v>
      </c>
      <c r="H223" s="65" t="str">
        <f>IFERROR(INDEX('Docketed Comments'!C:C,MATCH(A223,'Docketed Comments'!H:H,0))&amp;", "&amp;INDEX('Docketed Comments'!B:B,MATCH(A223,'Docketed Comments'!H:H,0)),"")</f>
        <v>Nancy, Crawley</v>
      </c>
      <c r="I223" s="65" t="str">
        <f>IFERROR(INDEX('Docketed Comments'!D:D,MATCH(A223,'Docketed Comments'!H:H,0)),"")</f>
        <v>Cottonwood</v>
      </c>
      <c r="J223" s="65" t="str">
        <f>IFERROR(INDEX('Docketed Comments'!I:I,MATCH(A223,'Docketed Comments'!H:H,0)),"")</f>
        <v>R-BASIC</v>
      </c>
      <c r="K223" s="65" t="str">
        <f t="shared" si="7"/>
        <v>⚠ ??</v>
      </c>
      <c r="L223" s="65" t="str">
        <f>IFERROR(INDEX('Docketed Comments'!F:F,MATCH(A223,'Docketed Comments'!H:H,0)),"")</f>
        <v xml:space="preserve">I'm opposed to a rate increase from APS. It is difficult to pay our current bill, let alone an additional increase. We (retired folks) only received a $34 increase on our SS. </v>
      </c>
      <c r="M223" s="137" t="str">
        <f>IFERROR(HYPERLINK(INDEX('Docketed Comments'!G:G,MATCH(A223,'Docketed Comments'!H:H,0)),"📄 View Docket"),"")</f>
        <v>📄 View Docket</v>
      </c>
      <c r="N223" s="135" t="str">
        <f>IFERROR(INDEX('Docketed Comments'!N:N,MATCH(A223,'Docketed Comments'!H:H,0)),"")</f>
        <v>No</v>
      </c>
      <c r="O223" s="135" t="str">
        <f>IFERROR(INDEX('Docketed Comments'!L:L,MATCH(A223,'Docketed Comments'!H:H,0)),"")</f>
        <v>??</v>
      </c>
      <c r="P223" s="136">
        <f t="shared" si="6"/>
        <v>0</v>
      </c>
      <c r="Q223" s="140"/>
      <c r="R223" s="144">
        <v>1</v>
      </c>
    </row>
    <row r="224" spans="1:18" ht="21.95" customHeight="1">
      <c r="A224" s="71" t="s">
        <v>5073</v>
      </c>
      <c r="B224" s="69"/>
      <c r="C224" s="70"/>
      <c r="D224" s="69"/>
      <c r="E224" s="69"/>
      <c r="F224" s="65"/>
      <c r="G224" s="65" t="s">
        <v>5812</v>
      </c>
      <c r="H224" s="65" t="str">
        <f>IFERROR(INDEX('Docketed Comments'!C:C,MATCH(A224,'Docketed Comments'!H:H,0))&amp;", "&amp;INDEX('Docketed Comments'!B:B,MATCH(A224,'Docketed Comments'!H:H,0)),"")</f>
        <v>Christopher, Ewing</v>
      </c>
      <c r="I224" s="65" t="str">
        <f>IFERROR(INDEX('Docketed Comments'!D:D,MATCH(A224,'Docketed Comments'!H:H,0)),"")</f>
        <v>Phoenix</v>
      </c>
      <c r="J224" s="65" t="str">
        <f>IFERROR(INDEX('Docketed Comments'!I:I,MATCH(A224,'Docketed Comments'!H:H,0)),"")</f>
        <v>RTOUE47</v>
      </c>
      <c r="K224" s="65" t="str">
        <f t="shared" si="7"/>
        <v>❌ Not on Best Plan</v>
      </c>
      <c r="L224" s="65" t="str">
        <f>IFERROR(INDEX('Docketed Comments'!F:F,MATCH(A224,'Docketed Comments'!H:H,0)),"")</f>
        <v>We are already paying historic rate heights while the data centers receive their power at a discounted rate. Enough is enough!</v>
      </c>
      <c r="M224" s="137" t="str">
        <f>IFERROR(HYPERLINK(INDEX('Docketed Comments'!G:G,MATCH(A224,'Docketed Comments'!H:H,0)),"📄 View Docket"),"")</f>
        <v>📄 View Docket</v>
      </c>
      <c r="N224" s="135" t="str">
        <f>IFERROR(INDEX('Docketed Comments'!N:N,MATCH(A224,'Docketed Comments'!H:H,0)),"")</f>
        <v>No</v>
      </c>
      <c r="O224" s="135" t="str">
        <f>IFERROR(INDEX('Docketed Comments'!L:L,MATCH(A224,'Docketed Comments'!H:H,0)),"")</f>
        <v>Not eligible yet</v>
      </c>
      <c r="P224" s="136">
        <f t="shared" si="6"/>
        <v>0</v>
      </c>
      <c r="Q224" s="140"/>
      <c r="R224" s="144">
        <v>1</v>
      </c>
    </row>
    <row r="225" spans="1:18" ht="21.95" customHeight="1">
      <c r="A225" s="71" t="s">
        <v>5074</v>
      </c>
      <c r="B225" s="69"/>
      <c r="C225" s="70"/>
      <c r="D225" s="69"/>
      <c r="E225" s="69"/>
      <c r="F225" s="65"/>
      <c r="G225" s="65" t="s">
        <v>5812</v>
      </c>
      <c r="H225" s="65" t="str">
        <f>IFERROR(INDEX('Docketed Comments'!C:C,MATCH(A225,'Docketed Comments'!H:H,0))&amp;", "&amp;INDEX('Docketed Comments'!B:B,MATCH(A225,'Docketed Comments'!H:H,0)),"")</f>
        <v>Jesse, Daniels</v>
      </c>
      <c r="I225" s="65" t="str">
        <f>IFERROR(INDEX('Docketed Comments'!D:D,MATCH(A225,'Docketed Comments'!H:H,0)),"")</f>
        <v>Prescott Valley</v>
      </c>
      <c r="J225" s="65" t="str">
        <f>IFERROR(INDEX('Docketed Comments'!I:I,MATCH(A225,'Docketed Comments'!H:H,0)),"")</f>
        <v>R-BASICL</v>
      </c>
      <c r="K225" s="65" t="str">
        <f t="shared" si="7"/>
        <v>❌ Not on Best Plan</v>
      </c>
      <c r="L225" s="65" t="str">
        <f>IFERROR(INDEX('Docketed Comments'!F:F,MATCH(A225,'Docketed Comments'!H:H,0)),"")</f>
        <v xml:space="preserve">ACC should require APS to demonstrate stronger cost controls, clearer justification for projected expensses and meaningful efforts to protect low-income customers. </v>
      </c>
      <c r="M225" s="137" t="str">
        <f>IFERROR(HYPERLINK(INDEX('Docketed Comments'!G:G,MATCH(A225,'Docketed Comments'!H:H,0)),"📄 View Docket"),"")</f>
        <v>📄 View Docket</v>
      </c>
      <c r="N225" s="135" t="str">
        <f>IFERROR(INDEX('Docketed Comments'!N:N,MATCH(A225,'Docketed Comments'!H:H,0)),"")</f>
        <v>No</v>
      </c>
      <c r="O225" s="135" t="str">
        <f>IFERROR(INDEX('Docketed Comments'!L:L,MATCH(A225,'Docketed Comments'!H:H,0)),"")</f>
        <v>Not eligible yet</v>
      </c>
      <c r="P225" s="136">
        <f t="shared" si="6"/>
        <v>0</v>
      </c>
      <c r="Q225" s="140"/>
      <c r="R225" s="144">
        <v>1</v>
      </c>
    </row>
    <row r="226" spans="1:18" ht="21.95" customHeight="1">
      <c r="A226" s="71" t="s">
        <v>4004</v>
      </c>
      <c r="B226" s="69"/>
      <c r="C226" s="70"/>
      <c r="D226" s="69"/>
      <c r="E226" s="69"/>
      <c r="F226" s="65"/>
      <c r="G226" s="65" t="s">
        <v>5813</v>
      </c>
      <c r="H226" s="65" t="str">
        <f>IFERROR(INDEX('Docketed Comments'!C:C,MATCH(A226,'Docketed Comments'!H:H,0))&amp;", "&amp;INDEX('Docketed Comments'!B:B,MATCH(A226,'Docketed Comments'!H:H,0)),"")</f>
        <v>Roberta, Smith</v>
      </c>
      <c r="I226" s="65" t="str">
        <f>IFERROR(INDEX('Docketed Comments'!D:D,MATCH(A226,'Docketed Comments'!H:H,0)),"")</f>
        <v>Peoria</v>
      </c>
      <c r="J226" s="65" t="str">
        <f>IFERROR(INDEX('Docketed Comments'!I:I,MATCH(A226,'Docketed Comments'!H:H,0)),"")</f>
        <v>RTOUE47</v>
      </c>
      <c r="K226" s="65" t="str">
        <f t="shared" si="7"/>
        <v>❌ Not on Best Plan</v>
      </c>
      <c r="L226" s="65" t="str">
        <f>IFERROR(INDEX('Docketed Comments'!F:F,MATCH(A226,'Docketed Comments'!H:H,0)),"")</f>
        <v>I would like to ask why you weren't at the meeting as you are an elected official and you are one of the members in charge of making this important decision. I have lived in my current home that uses APS for 11 years. I have seen my rates inrease 3 times.</v>
      </c>
      <c r="M226" s="137" t="str">
        <f>IFERROR(HYPERLINK(INDEX('Docketed Comments'!G:G,MATCH(A226,'Docketed Comments'!H:H,0)),"📄 View Docket"),"")</f>
        <v>📄 View Docket</v>
      </c>
      <c r="N226" s="135" t="str">
        <f>IFERROR(INDEX('Docketed Comments'!N:N,MATCH(A226,'Docketed Comments'!H:H,0)),"")</f>
        <v>No</v>
      </c>
      <c r="O226" s="135" t="str">
        <f>IFERROR(INDEX('Docketed Comments'!L:L,MATCH(A226,'Docketed Comments'!H:H,0)),"")</f>
        <v>No MEP R3-47 ($393.92)</v>
      </c>
      <c r="P226" s="136">
        <f t="shared" si="6"/>
        <v>393.92</v>
      </c>
      <c r="Q226" s="140"/>
      <c r="R226" s="144">
        <v>1</v>
      </c>
    </row>
    <row r="227" spans="1:18" ht="21.95" customHeight="1">
      <c r="A227" s="71" t="s">
        <v>4009</v>
      </c>
      <c r="B227" s="69"/>
      <c r="C227" s="70"/>
      <c r="D227" s="69"/>
      <c r="E227" s="69"/>
      <c r="F227" s="65"/>
      <c r="G227" s="65" t="s">
        <v>5811</v>
      </c>
      <c r="H227" s="65" t="str">
        <f>IFERROR(INDEX('Docketed Comments'!C:C,MATCH(A227,'Docketed Comments'!H:H,0))&amp;", "&amp;INDEX('Docketed Comments'!B:B,MATCH(A227,'Docketed Comments'!H:H,0)),"")</f>
        <v>Cheryl, Keithly</v>
      </c>
      <c r="I227" s="65" t="str">
        <f>IFERROR(INDEX('Docketed Comments'!D:D,MATCH(A227,'Docketed Comments'!H:H,0)),"")</f>
        <v>Yuma</v>
      </c>
      <c r="J227" s="65" t="str">
        <f>IFERROR(INDEX('Docketed Comments'!I:I,MATCH(A227,'Docketed Comments'!H:H,0)),"")</f>
        <v>RTOUE47</v>
      </c>
      <c r="K227" s="65" t="str">
        <f t="shared" si="7"/>
        <v>⚠ ???</v>
      </c>
      <c r="L227" s="65" t="str">
        <f>IFERROR(INDEX('Docketed Comments'!F:F,MATCH(A227,'Docketed Comments'!H:H,0)),"")</f>
        <v>Form Letter: Enough is enough! You must reject the latest 14% rate hikes by APS e TEP</v>
      </c>
      <c r="M227" s="137" t="str">
        <f>IFERROR(HYPERLINK(INDEX('Docketed Comments'!G:G,MATCH(A227,'Docketed Comments'!H:H,0)),"📄 View Docket"),"")</f>
        <v>📄 View Docket</v>
      </c>
      <c r="N227" s="135" t="str">
        <f>IFERROR(INDEX('Docketed Comments'!N:N,MATCH(A227,'Docketed Comments'!H:H,0)),"")</f>
        <v>No</v>
      </c>
      <c r="O227" s="135" t="str">
        <f>IFERROR(INDEX('Docketed Comments'!L:L,MATCH(A227,'Docketed Comments'!H:H,0)),"")</f>
        <v>???</v>
      </c>
      <c r="P227" s="136">
        <f t="shared" si="6"/>
        <v>0</v>
      </c>
      <c r="Q227" s="140"/>
      <c r="R227" s="144">
        <v>1</v>
      </c>
    </row>
    <row r="228" spans="1:18" ht="21.95" customHeight="1">
      <c r="A228" s="71" t="s">
        <v>4020</v>
      </c>
      <c r="B228" s="69"/>
      <c r="C228" s="70"/>
      <c r="D228" s="69"/>
      <c r="E228" s="69"/>
      <c r="F228" s="65"/>
      <c r="G228" s="65" t="s">
        <v>5811</v>
      </c>
      <c r="H228" s="65" t="str">
        <f>IFERROR(INDEX('Docketed Comments'!C:C,MATCH(A228,'Docketed Comments'!H:H,0))&amp;", "&amp;INDEX('Docketed Comments'!B:B,MATCH(A228,'Docketed Comments'!H:H,0)),"")</f>
        <v>James, Spear</v>
      </c>
      <c r="I228" s="65" t="str">
        <f>IFERROR(INDEX('Docketed Comments'!D:D,MATCH(A228,'Docketed Comments'!H:H,0)),"")</f>
        <v>Wickenburg</v>
      </c>
      <c r="J228" s="65" t="str">
        <f>IFERROR(INDEX('Docketed Comments'!I:I,MATCH(A228,'Docketed Comments'!H:H,0)),"")</f>
        <v>RTOUE47</v>
      </c>
      <c r="K228" s="65" t="str">
        <f t="shared" si="7"/>
        <v>⚠ ???</v>
      </c>
      <c r="L228" s="65" t="str">
        <f>IFERROR(INDEX('Docketed Comments'!F:F,MATCH(A228,'Docketed Comments'!H:H,0)),"")</f>
        <v>I don't think it is right for the existing residential homes to foot the bill in the form of rate increases for new residential and new commercial development.</v>
      </c>
      <c r="M228" s="137" t="str">
        <f>IFERROR(HYPERLINK(INDEX('Docketed Comments'!G:G,MATCH(A228,'Docketed Comments'!H:H,0)),"📄 View Docket"),"")</f>
        <v>📄 View Docket</v>
      </c>
      <c r="N228" s="135" t="str">
        <f>IFERROR(INDEX('Docketed Comments'!N:N,MATCH(A228,'Docketed Comments'!H:H,0)),"")</f>
        <v>No</v>
      </c>
      <c r="O228" s="135" t="str">
        <f>IFERROR(INDEX('Docketed Comments'!L:L,MATCH(A228,'Docketed Comments'!H:H,0)),"")</f>
        <v>???</v>
      </c>
      <c r="P228" s="136">
        <f t="shared" si="6"/>
        <v>0</v>
      </c>
      <c r="Q228" s="140"/>
      <c r="R228" s="144">
        <v>1</v>
      </c>
    </row>
    <row r="229" spans="1:18" ht="21.95" customHeight="1">
      <c r="A229" s="71" t="s">
        <v>4030</v>
      </c>
      <c r="B229" s="69"/>
      <c r="C229" s="70"/>
      <c r="D229" s="69"/>
      <c r="E229" s="69"/>
      <c r="F229" s="65"/>
      <c r="G229" s="65" t="s">
        <v>5813</v>
      </c>
      <c r="H229" s="65" t="str">
        <f>IFERROR(INDEX('Docketed Comments'!C:C,MATCH(A229,'Docketed Comments'!H:H,0))&amp;", "&amp;INDEX('Docketed Comments'!B:B,MATCH(A229,'Docketed Comments'!H:H,0)),"")</f>
        <v>Michael, Bollinger</v>
      </c>
      <c r="I229" s="65" t="str">
        <f>IFERROR(INDEX('Docketed Comments'!D:D,MATCH(A229,'Docketed Comments'!H:H,0)),"")</f>
        <v>Prescott Valley</v>
      </c>
      <c r="J229" s="65" t="str">
        <f>IFERROR(INDEX('Docketed Comments'!I:I,MATCH(A229,'Docketed Comments'!H:H,0)),"")</f>
        <v>RCPw/R3-47</v>
      </c>
      <c r="K229" s="65" t="str">
        <f t="shared" si="7"/>
        <v>❌ Not on Best Plan</v>
      </c>
      <c r="L229" s="65" t="str">
        <f>IFERROR(INDEX('Docketed Comments'!F:F,MATCH(A229,'Docketed Comments'!H:H,0)),"")</f>
        <v>You want to raise but what are you going to tell disabled people like me that are basically trying to stay afloat</v>
      </c>
      <c r="M229" s="137" t="str">
        <f>IFERROR(HYPERLINK(INDEX('Docketed Comments'!G:G,MATCH(A229,'Docketed Comments'!H:H,0)),"📄 View Docket"),"")</f>
        <v>📄 View Docket</v>
      </c>
      <c r="N229" s="135" t="str">
        <f>IFERROR(INDEX('Docketed Comments'!N:N,MATCH(A229,'Docketed Comments'!H:H,0)),"")</f>
        <v>No</v>
      </c>
      <c r="O229" s="135" t="str">
        <f>IFERROR(INDEX('Docketed Comments'!L:L,MATCH(A229,'Docketed Comments'!H:H,0)),"")</f>
        <v>No MEP TOUE-47 ($384.68)</v>
      </c>
      <c r="P229" s="136">
        <f t="shared" si="6"/>
        <v>384.68</v>
      </c>
      <c r="Q229" s="140"/>
      <c r="R229" s="144">
        <v>1</v>
      </c>
    </row>
    <row r="230" spans="1:18" ht="21.95" customHeight="1">
      <c r="A230" s="71" t="s">
        <v>4034</v>
      </c>
      <c r="B230" s="69"/>
      <c r="C230" s="70"/>
      <c r="D230" s="69"/>
      <c r="E230" s="69"/>
      <c r="F230" s="65"/>
      <c r="G230" s="65" t="s">
        <v>5813</v>
      </c>
      <c r="H230" s="65" t="str">
        <f>IFERROR(INDEX('Docketed Comments'!C:C,MATCH(A230,'Docketed Comments'!H:H,0))&amp;", "&amp;INDEX('Docketed Comments'!B:B,MATCH(A230,'Docketed Comments'!H:H,0)),"")</f>
        <v>Mara, Hudson</v>
      </c>
      <c r="I230" s="65" t="str">
        <f>IFERROR(INDEX('Docketed Comments'!D:D,MATCH(A230,'Docketed Comments'!H:H,0)),"")</f>
        <v>Phoenix</v>
      </c>
      <c r="J230" s="65" t="str">
        <f>IFERROR(INDEX('Docketed Comments'!I:I,MATCH(A230,'Docketed Comments'!H:H,0)),"")</f>
        <v>RTOUE</v>
      </c>
      <c r="K230" s="65" t="str">
        <f t="shared" si="7"/>
        <v>❌ Not on Best Plan</v>
      </c>
      <c r="L230" s="65" t="str">
        <f>IFERROR(INDEX('Docketed Comments'!F:F,MATCH(A230,'Docketed Comments'!H:H,0)),"")</f>
        <v xml:space="preserve"> it's impossible for the average Arizona. To afford electricity , if they continue to do this every single year.</v>
      </c>
      <c r="M230" s="137" t="str">
        <f>IFERROR(HYPERLINK(INDEX('Docketed Comments'!G:G,MATCH(A230,'Docketed Comments'!H:H,0)),"📄 View Docket"),"")</f>
        <v>📄 View Docket</v>
      </c>
      <c r="N230" s="135" t="str">
        <f>IFERROR(INDEX('Docketed Comments'!N:N,MATCH(A230,'Docketed Comments'!H:H,0)),"")</f>
        <v>No</v>
      </c>
      <c r="O230" s="135" t="str">
        <f>IFERROR(INDEX('Docketed Comments'!L:L,MATCH(A230,'Docketed Comments'!H:H,0)),"")</f>
        <v>No MEP R3-47 ($641.78)</v>
      </c>
      <c r="P230" s="136">
        <f t="shared" si="6"/>
        <v>641.78</v>
      </c>
      <c r="Q230" s="140"/>
      <c r="R230" s="144">
        <v>1</v>
      </c>
    </row>
    <row r="231" spans="1:18" ht="21.95" customHeight="1">
      <c r="A231" s="71" t="s">
        <v>5075</v>
      </c>
      <c r="B231" s="69"/>
      <c r="C231" s="70"/>
      <c r="D231" s="69"/>
      <c r="E231" s="69"/>
      <c r="F231" s="65"/>
      <c r="G231" s="65" t="s">
        <v>5811</v>
      </c>
      <c r="H231" s="65" t="str">
        <f>IFERROR(INDEX('Docketed Comments'!C:C,MATCH(A231,'Docketed Comments'!H:H,0))&amp;", "&amp;INDEX('Docketed Comments'!B:B,MATCH(A231,'Docketed Comments'!H:H,0)),"")</f>
        <v>Jamie, Murad</v>
      </c>
      <c r="I231" s="65" t="str">
        <f>IFERROR(INDEX('Docketed Comments'!D:D,MATCH(A231,'Docketed Comments'!H:H,0)),"")</f>
        <v>Phoenix</v>
      </c>
      <c r="J231" s="65" t="str">
        <f>IFERROR(INDEX('Docketed Comments'!I:I,MATCH(A231,'Docketed Comments'!H:H,0)),"")</f>
        <v>R-BASIC</v>
      </c>
      <c r="K231" s="65" t="str">
        <f t="shared" si="7"/>
        <v>⚠ ???</v>
      </c>
      <c r="L231" s="65" t="str">
        <f>IFERROR(INDEX('Docketed Comments'!F:F,MATCH(A231,'Docketed Comments'!H:H,0)),"")</f>
        <v xml:space="preserve">I live in a 2-bedroom, 2-bathroom unit, yet last summer my bill was as high as someone living in a 2,000 sq. ft. house. The tier system they use is also a mess. </v>
      </c>
      <c r="M231" s="137" t="str">
        <f>IFERROR(HYPERLINK(INDEX('Docketed Comments'!G:G,MATCH(A231,'Docketed Comments'!H:H,0)),"📄 View Docket"),"")</f>
        <v>📄 View Docket</v>
      </c>
      <c r="N231" s="135" t="str">
        <f>IFERROR(INDEX('Docketed Comments'!N:N,MATCH(A231,'Docketed Comments'!H:H,0)),"")</f>
        <v>No</v>
      </c>
      <c r="O231" s="135" t="str">
        <f>IFERROR(INDEX('Docketed Comments'!L:L,MATCH(A231,'Docketed Comments'!H:H,0)),"")</f>
        <v>???</v>
      </c>
      <c r="P231" s="136">
        <f t="shared" si="6"/>
        <v>0</v>
      </c>
      <c r="Q231" s="140"/>
      <c r="R231" s="144">
        <v>1</v>
      </c>
    </row>
    <row r="232" spans="1:18" ht="21.95" customHeight="1">
      <c r="A232" s="71" t="s">
        <v>4150</v>
      </c>
      <c r="B232" s="69"/>
      <c r="C232" s="70"/>
      <c r="D232" s="69"/>
      <c r="E232" s="69"/>
      <c r="F232" s="65"/>
      <c r="G232" s="65" t="s">
        <v>5812</v>
      </c>
      <c r="H232" s="65" t="str">
        <f>IFERROR(INDEX('Docketed Comments'!C:C,MATCH(A232,'Docketed Comments'!H:H,0))&amp;", "&amp;INDEX('Docketed Comments'!B:B,MATCH(A232,'Docketed Comments'!H:H,0)),"")</f>
        <v>Joyce, Wahlert</v>
      </c>
      <c r="I232" s="65" t="str">
        <f>IFERROR(INDEX('Docketed Comments'!D:D,MATCH(A232,'Docketed Comments'!H:H,0)),"")</f>
        <v>Sun City West</v>
      </c>
      <c r="J232" s="65" t="str">
        <f>IFERROR(INDEX('Docketed Comments'!I:I,MATCH(A232,'Docketed Comments'!H:H,0)),"")</f>
        <v>R-BASICL</v>
      </c>
      <c r="K232" s="65" t="str">
        <f t="shared" si="7"/>
        <v>❌ Not on Best Plan</v>
      </c>
      <c r="L232" s="65" t="str">
        <f>IFERROR(INDEX('Docketed Comments'!F:F,MATCH(A232,'Docketed Comments'!H:H,0)),"")</f>
        <v xml:space="preserve">Our living expenses have skyrocketed and it I have to stay cool in summer and warm in the winter. Please don't raise the fees again. </v>
      </c>
      <c r="M232" s="137" t="str">
        <f>IFERROR(HYPERLINK(INDEX('Docketed Comments'!G:G,MATCH(A232,'Docketed Comments'!H:H,0)),"📄 View Docket"),"")</f>
        <v>📄 View Docket</v>
      </c>
      <c r="N232" s="135" t="str">
        <f>IFERROR(INDEX('Docketed Comments'!N:N,MATCH(A232,'Docketed Comments'!H:H,0)),"")</f>
        <v>No</v>
      </c>
      <c r="O232" s="135" t="str">
        <f>IFERROR(INDEX('Docketed Comments'!L:L,MATCH(A232,'Docketed Comments'!H:H,0)),"")</f>
        <v>No MEP R3-47 ($173.12)</v>
      </c>
      <c r="P232" s="136">
        <f t="shared" si="6"/>
        <v>173.12</v>
      </c>
      <c r="Q232" s="140"/>
      <c r="R232" s="144">
        <v>1</v>
      </c>
    </row>
    <row r="233" spans="1:18" ht="21.95" customHeight="1">
      <c r="A233" s="71" t="s">
        <v>4165</v>
      </c>
      <c r="B233" s="69"/>
      <c r="C233" s="70"/>
      <c r="D233" s="69"/>
      <c r="E233" s="69"/>
      <c r="F233" s="65"/>
      <c r="G233" s="65" t="s">
        <v>5811</v>
      </c>
      <c r="H233" s="65" t="str">
        <f>IFERROR(INDEX('Docketed Comments'!C:C,MATCH(A233,'Docketed Comments'!H:H,0))&amp;", "&amp;INDEX('Docketed Comments'!B:B,MATCH(A233,'Docketed Comments'!H:H,0)),"")</f>
        <v>James, Dunne</v>
      </c>
      <c r="I233" s="65" t="str">
        <f>IFERROR(INDEX('Docketed Comments'!D:D,MATCH(A233,'Docketed Comments'!H:H,0)),"")</f>
        <v>Sun City</v>
      </c>
      <c r="J233" s="65" t="str">
        <f>IFERROR(INDEX('Docketed Comments'!I:I,MATCH(A233,'Docketed Comments'!H:H,0)),"")</f>
        <v>R-BASIC</v>
      </c>
      <c r="K233" s="65" t="str">
        <f t="shared" si="7"/>
        <v>⚠ ???</v>
      </c>
      <c r="L233" s="65" t="str">
        <f>IFERROR(INDEX('Docketed Comments'!F:F,MATCH(A233,'Docketed Comments'!H:H,0)),"")</f>
        <v>Utility costs are already high, unaffordable energy costs will hurt our economy.</v>
      </c>
      <c r="M233" s="137" t="str">
        <f>IFERROR(HYPERLINK(INDEX('Docketed Comments'!G:G,MATCH(A233,'Docketed Comments'!H:H,0)),"📄 View Docket"),"")</f>
        <v>📄 View Docket</v>
      </c>
      <c r="N233" s="135" t="str">
        <f>IFERROR(INDEX('Docketed Comments'!N:N,MATCH(A233,'Docketed Comments'!H:H,0)),"")</f>
        <v>No</v>
      </c>
      <c r="O233" s="135" t="str">
        <f>IFERROR(INDEX('Docketed Comments'!L:L,MATCH(A233,'Docketed Comments'!H:H,0)),"")</f>
        <v>???</v>
      </c>
      <c r="P233" s="136">
        <f t="shared" si="6"/>
        <v>0</v>
      </c>
      <c r="Q233" s="140"/>
      <c r="R233" s="144">
        <v>1</v>
      </c>
    </row>
    <row r="234" spans="1:18" ht="21.95" customHeight="1">
      <c r="A234" s="71" t="s">
        <v>4180</v>
      </c>
      <c r="B234" s="69"/>
      <c r="C234" s="70"/>
      <c r="D234" s="69"/>
      <c r="E234" s="69"/>
      <c r="F234" s="65"/>
      <c r="G234" s="65" t="s">
        <v>5812</v>
      </c>
      <c r="H234" s="65" t="str">
        <f>IFERROR(INDEX('Docketed Comments'!C:C,MATCH(A234,'Docketed Comments'!H:H,0))&amp;", "&amp;INDEX('Docketed Comments'!B:B,MATCH(A234,'Docketed Comments'!H:H,0)),"")</f>
        <v>Harlene, Smith</v>
      </c>
      <c r="I234" s="65" t="str">
        <f>IFERROR(INDEX('Docketed Comments'!D:D,MATCH(A234,'Docketed Comments'!H:H,0)),"")</f>
        <v>Sun City</v>
      </c>
      <c r="J234" s="65" t="str">
        <f>IFERROR(INDEX('Docketed Comments'!I:I,MATCH(A234,'Docketed Comments'!H:H,0)),"")</f>
        <v>RCPw/RTOUE47</v>
      </c>
      <c r="K234" s="65" t="str">
        <f t="shared" si="7"/>
        <v>❌ Not on Best Plan</v>
      </c>
      <c r="L234" s="65" t="str">
        <f>IFERROR(INDEX('Docketed Comments'!F:F,MATCH(A234,'Docketed Comments'!H:H,0)),"")</f>
        <v xml:space="preserve">decide if I want heat or cool or or food and medicines. Using increases are going way over my head. Please help to keep them not going up. </v>
      </c>
      <c r="M234" s="137" t="str">
        <f>IFERROR(HYPERLINK(INDEX('Docketed Comments'!G:G,MATCH(A234,'Docketed Comments'!H:H,0)),"📄 View Docket"),"")</f>
        <v>📄 View Docket</v>
      </c>
      <c r="N234" s="135" t="str">
        <f>IFERROR(INDEX('Docketed Comments'!N:N,MATCH(A234,'Docketed Comments'!H:H,0)),"")</f>
        <v>No</v>
      </c>
      <c r="O234" s="135" t="str">
        <f>IFERROR(INDEX('Docketed Comments'!L:L,MATCH(A234,'Docketed Comments'!H:H,0)),"")</f>
        <v>No MEP R3-47 ($66.61)</v>
      </c>
      <c r="P234" s="136">
        <f t="shared" si="6"/>
        <v>66.61</v>
      </c>
      <c r="Q234" s="140"/>
      <c r="R234" s="144">
        <v>1</v>
      </c>
    </row>
    <row r="235" spans="1:18" ht="21.95" customHeight="1">
      <c r="A235" s="71" t="s">
        <v>4208</v>
      </c>
      <c r="B235" s="69"/>
      <c r="C235" s="70"/>
      <c r="D235" s="69"/>
      <c r="E235" s="69"/>
      <c r="F235" s="65"/>
      <c r="G235" s="65" t="s">
        <v>5813</v>
      </c>
      <c r="H235" s="65" t="str">
        <f>IFERROR(INDEX('Docketed Comments'!C:C,MATCH(A235,'Docketed Comments'!H:H,0))&amp;", "&amp;INDEX('Docketed Comments'!B:B,MATCH(A235,'Docketed Comments'!H:H,0)),"")</f>
        <v>Autumn, Koukal</v>
      </c>
      <c r="I235" s="65" t="str">
        <f>IFERROR(INDEX('Docketed Comments'!D:D,MATCH(A235,'Docketed Comments'!H:H,0)),"")</f>
        <v>Dewey</v>
      </c>
      <c r="J235" s="65" t="str">
        <f>IFERROR(INDEX('Docketed Comments'!I:I,MATCH(A235,'Docketed Comments'!H:H,0)),"")</f>
        <v>R3-47</v>
      </c>
      <c r="K235" s="65" t="str">
        <f t="shared" si="7"/>
        <v>❌ Not on Best Plan</v>
      </c>
      <c r="L235" s="65" t="str">
        <f>IFERROR(INDEX('Docketed Comments'!F:F,MATCH(A235,'Docketed Comments'!H:H,0)),"")</f>
        <v>ONE MILLION DOLLARS. ONE MILLION DOLLARS base pay is what Our APS CEO's salary is! That's Outrageous!</v>
      </c>
      <c r="M235" s="137" t="str">
        <f>IFERROR(HYPERLINK(INDEX('Docketed Comments'!G:G,MATCH(A235,'Docketed Comments'!H:H,0)),"📄 View Docket"),"")</f>
        <v>📄 View Docket</v>
      </c>
      <c r="N235" s="135" t="str">
        <f>IFERROR(INDEX('Docketed Comments'!N:N,MATCH(A235,'Docketed Comments'!H:H,0)),"")</f>
        <v>No</v>
      </c>
      <c r="O235" s="135" t="str">
        <f>IFERROR(INDEX('Docketed Comments'!L:L,MATCH(A235,'Docketed Comments'!H:H,0)),"")</f>
        <v>No MEP R-BASIC ($213.65)</v>
      </c>
      <c r="P235" s="136">
        <f t="shared" si="6"/>
        <v>213.65</v>
      </c>
      <c r="Q235" s="140"/>
      <c r="R235" s="144">
        <v>1</v>
      </c>
    </row>
    <row r="236" spans="1:18" ht="21.95" customHeight="1">
      <c r="A236" s="71" t="s">
        <v>4238</v>
      </c>
      <c r="B236" s="69"/>
      <c r="C236" s="70"/>
      <c r="D236" s="69"/>
      <c r="E236" s="69"/>
      <c r="F236" s="65"/>
      <c r="G236" s="65" t="s">
        <v>5812</v>
      </c>
      <c r="H236" s="65" t="str">
        <f>IFERROR(INDEX('Docketed Comments'!C:C,MATCH(A236,'Docketed Comments'!H:H,0))&amp;", "&amp;INDEX('Docketed Comments'!B:B,MATCH(A236,'Docketed Comments'!H:H,0)),"")</f>
        <v>Michele, Kane</v>
      </c>
      <c r="I236" s="65" t="str">
        <f>IFERROR(INDEX('Docketed Comments'!D:D,MATCH(A236,'Docketed Comments'!H:H,0)),"")</f>
        <v>Phoenix</v>
      </c>
      <c r="J236" s="65" t="str">
        <f>IFERROR(INDEX('Docketed Comments'!I:I,MATCH(A236,'Docketed Comments'!H:H,0)),"")</f>
        <v>R3-47</v>
      </c>
      <c r="K236" s="65" t="str">
        <f t="shared" si="7"/>
        <v>❌ Not on Best Plan</v>
      </c>
      <c r="L236" s="65" t="str">
        <f>IFERROR(INDEX('Docketed Comments'!F:F,MATCH(A236,'Docketed Comments'!H:H,0)),"")</f>
        <v xml:space="preserve">I believe all the data centers you've allowed in our state are the biggest reason for the proposed increase. </v>
      </c>
      <c r="M236" s="137" t="str">
        <f>IFERROR(HYPERLINK(INDEX('Docketed Comments'!G:G,MATCH(A236,'Docketed Comments'!H:H,0)),"📄 View Docket"),"")</f>
        <v>📄 View Docket</v>
      </c>
      <c r="N236" s="135" t="str">
        <f>IFERROR(INDEX('Docketed Comments'!N:N,MATCH(A236,'Docketed Comments'!H:H,0)),"")</f>
        <v>No</v>
      </c>
      <c r="O236" s="135" t="str">
        <f>IFERROR(INDEX('Docketed Comments'!L:L,MATCH(A236,'Docketed Comments'!H:H,0)),"")</f>
        <v>No MEP RTOUE47 ($37.10)</v>
      </c>
      <c r="P236" s="136">
        <f t="shared" si="6"/>
        <v>37.1</v>
      </c>
      <c r="Q236" s="140"/>
      <c r="R236" s="144">
        <v>1</v>
      </c>
    </row>
    <row r="237" spans="1:18" ht="21.95" customHeight="1">
      <c r="A237" s="71" t="s">
        <v>4309</v>
      </c>
      <c r="B237" s="69"/>
      <c r="C237" s="70"/>
      <c r="D237" s="69"/>
      <c r="E237" s="69"/>
      <c r="F237" s="65"/>
      <c r="G237" s="65" t="s">
        <v>5813</v>
      </c>
      <c r="H237" s="65" t="str">
        <f>IFERROR(INDEX('Docketed Comments'!C:C,MATCH(A237,'Docketed Comments'!H:H,0))&amp;", "&amp;INDEX('Docketed Comments'!B:B,MATCH(A237,'Docketed Comments'!H:H,0)),"")</f>
        <v>Danielle, Richardson</v>
      </c>
      <c r="I237" s="65" t="str">
        <f>IFERROR(INDEX('Docketed Comments'!D:D,MATCH(A237,'Docketed Comments'!H:H,0)),"")</f>
        <v>Scottsdale</v>
      </c>
      <c r="J237" s="65" t="str">
        <f>IFERROR(INDEX('Docketed Comments'!I:I,MATCH(A237,'Docketed Comments'!H:H,0)),"")</f>
        <v>RTOUE47</v>
      </c>
      <c r="K237" s="65" t="str">
        <f t="shared" si="7"/>
        <v>❌ Not on Best Plan</v>
      </c>
      <c r="L237" s="65" t="str">
        <f>IFERROR(INDEX('Docketed Comments'!F:F,MATCH(A237,'Docketed Comments'!H:H,0)),"")</f>
        <v>This hike will hurt me and make me choose food or electricity. We do everything we can to conserve energy</v>
      </c>
      <c r="M237" s="137" t="str">
        <f>IFERROR(HYPERLINK(INDEX('Docketed Comments'!G:G,MATCH(A237,'Docketed Comments'!H:H,0)),"📄 View Docket"),"")</f>
        <v>📄 View Docket</v>
      </c>
      <c r="N237" s="135" t="str">
        <f>IFERROR(INDEX('Docketed Comments'!N:N,MATCH(A237,'Docketed Comments'!H:H,0)),"")</f>
        <v>No</v>
      </c>
      <c r="O237" s="135" t="str">
        <f>IFERROR(INDEX('Docketed Comments'!L:L,MATCH(A237,'Docketed Comments'!H:H,0)),"")</f>
        <v>No MEP R3-47 ($239.72)</v>
      </c>
      <c r="P237" s="136">
        <f t="shared" si="6"/>
        <v>239.72</v>
      </c>
      <c r="Q237" s="140"/>
      <c r="R237" s="144">
        <v>1</v>
      </c>
    </row>
    <row r="238" spans="1:18" ht="21.95" customHeight="1">
      <c r="A238" s="71" t="s">
        <v>4321</v>
      </c>
      <c r="B238" s="69"/>
      <c r="C238" s="70"/>
      <c r="D238" s="69"/>
      <c r="E238" s="69"/>
      <c r="F238" s="65"/>
      <c r="G238" s="65" t="s">
        <v>5812</v>
      </c>
      <c r="H238" s="65" t="str">
        <f>IFERROR(INDEX('Docketed Comments'!C:C,MATCH(A238,'Docketed Comments'!H:H,0))&amp;", "&amp;INDEX('Docketed Comments'!B:B,MATCH(A238,'Docketed Comments'!H:H,0)),"")</f>
        <v>Jon, Lawhead</v>
      </c>
      <c r="I238" s="65" t="str">
        <f>IFERROR(INDEX('Docketed Comments'!D:D,MATCH(A238,'Docketed Comments'!H:H,0)),"")</f>
        <v>Rimrock</v>
      </c>
      <c r="J238" s="65" t="str">
        <f>IFERROR(INDEX('Docketed Comments'!I:I,MATCH(A238,'Docketed Comments'!H:H,0)),"")</f>
        <v>RTOUE47</v>
      </c>
      <c r="K238" s="65" t="str">
        <f t="shared" si="7"/>
        <v>❌ Not on Best Plan</v>
      </c>
      <c r="L238" s="65" t="str">
        <f>IFERROR(INDEX('Docketed Comments'!F:F,MATCH(A238,'Docketed Comments'!H:H,0)),"")</f>
        <v>l'll not pay more. l'II go off the grid</v>
      </c>
      <c r="M238" s="137" t="str">
        <f>IFERROR(HYPERLINK(INDEX('Docketed Comments'!G:G,MATCH(A238,'Docketed Comments'!H:H,0)),"📄 View Docket"),"")</f>
        <v>📄 View Docket</v>
      </c>
      <c r="N238" s="135" t="str">
        <f>IFERROR(INDEX('Docketed Comments'!N:N,MATCH(A238,'Docketed Comments'!H:H,0)),"")</f>
        <v>No</v>
      </c>
      <c r="O238" s="135" t="str">
        <f>IFERROR(INDEX('Docketed Comments'!L:L,MATCH(A238,'Docketed Comments'!H:H,0)),"")</f>
        <v>No MEP R-BASIC ($73.44)</v>
      </c>
      <c r="P238" s="136">
        <f t="shared" si="6"/>
        <v>73.44</v>
      </c>
      <c r="Q238" s="140"/>
      <c r="R238" s="144">
        <v>1</v>
      </c>
    </row>
    <row r="239" spans="1:18" ht="21.95" customHeight="1">
      <c r="A239" s="71" t="s">
        <v>4327</v>
      </c>
      <c r="B239" s="69"/>
      <c r="C239" s="70"/>
      <c r="D239" s="69"/>
      <c r="E239" s="69"/>
      <c r="F239" s="65"/>
      <c r="G239" s="65" t="s">
        <v>5812</v>
      </c>
      <c r="H239" s="65" t="str">
        <f>IFERROR(INDEX('Docketed Comments'!C:C,MATCH(A239,'Docketed Comments'!H:H,0))&amp;", "&amp;INDEX('Docketed Comments'!B:B,MATCH(A239,'Docketed Comments'!H:H,0)),"")</f>
        <v>George, Wade</v>
      </c>
      <c r="I239" s="65" t="str">
        <f>IFERROR(INDEX('Docketed Comments'!D:D,MATCH(A239,'Docketed Comments'!H:H,0)),"")</f>
        <v>Payson</v>
      </c>
      <c r="J239" s="65" t="str">
        <f>IFERROR(INDEX('Docketed Comments'!I:I,MATCH(A239,'Docketed Comments'!H:H,0)),"")</f>
        <v>RTOUE47</v>
      </c>
      <c r="K239" s="65" t="str">
        <f t="shared" si="7"/>
        <v>❌ Not on Best Plan</v>
      </c>
      <c r="L239" s="65" t="str">
        <f>IFERROR(INDEX('Docketed Comments'!F:F,MATCH(A239,'Docketed Comments'!H:H,0)),"")</f>
        <v>please take a minute or two and try to remember what it was like to get through the day when you don't have all the money in the world</v>
      </c>
      <c r="M239" s="137" t="str">
        <f>IFERROR(HYPERLINK(INDEX('Docketed Comments'!G:G,MATCH(A239,'Docketed Comments'!H:H,0)),"📄 View Docket"),"")</f>
        <v>📄 View Docket</v>
      </c>
      <c r="N239" s="135" t="str">
        <f>IFERROR(INDEX('Docketed Comments'!N:N,MATCH(A239,'Docketed Comments'!H:H,0)),"")</f>
        <v>No</v>
      </c>
      <c r="O239" s="135" t="str">
        <f>IFERROR(INDEX('Docketed Comments'!L:L,MATCH(A239,'Docketed Comments'!H:H,0)),"")</f>
        <v>No MEP R-XS ($159.52)</v>
      </c>
      <c r="P239" s="136">
        <f t="shared" si="6"/>
        <v>159.52000000000001</v>
      </c>
      <c r="Q239" s="140"/>
      <c r="R239" s="144">
        <v>1</v>
      </c>
    </row>
    <row r="240" spans="1:18" ht="21.95" customHeight="1">
      <c r="A240" s="71" t="s">
        <v>4373</v>
      </c>
      <c r="B240" s="69"/>
      <c r="C240" s="70"/>
      <c r="D240" s="69"/>
      <c r="E240" s="69"/>
      <c r="F240" s="65"/>
      <c r="G240" s="65" t="s">
        <v>5812</v>
      </c>
      <c r="H240" s="65" t="str">
        <f>IFERROR(INDEX('Docketed Comments'!C:C,MATCH(A240,'Docketed Comments'!H:H,0))&amp;", "&amp;INDEX('Docketed Comments'!B:B,MATCH(A240,'Docketed Comments'!H:H,0)),"")</f>
        <v>Esther, Bell</v>
      </c>
      <c r="I240" s="65" t="str">
        <f>IFERROR(INDEX('Docketed Comments'!D:D,MATCH(A240,'Docketed Comments'!H:H,0)),"")</f>
        <v>Winslow</v>
      </c>
      <c r="J240" s="65" t="str">
        <f>IFERROR(INDEX('Docketed Comments'!I:I,MATCH(A240,'Docketed Comments'!H:H,0)),"")</f>
        <v>R-XS</v>
      </c>
      <c r="K240" s="65" t="str">
        <f t="shared" si="7"/>
        <v>❌ Not on Best Plan</v>
      </c>
      <c r="L240" s="65" t="str">
        <f>IFERROR(INDEX('Docketed Comments'!F:F,MATCH(A240,'Docketed Comments'!H:H,0)),"")</f>
        <v>Prices are too high already being on a fixed income it will hurt</v>
      </c>
      <c r="M240" s="137" t="str">
        <f>IFERROR(HYPERLINK(INDEX('Docketed Comments'!G:G,MATCH(A240,'Docketed Comments'!H:H,0)),"📄 View Docket"),"")</f>
        <v>📄 View Docket</v>
      </c>
      <c r="N240" s="135" t="str">
        <f>IFERROR(INDEX('Docketed Comments'!N:N,MATCH(A240,'Docketed Comments'!H:H,0)),"")</f>
        <v>No</v>
      </c>
      <c r="O240" s="135" t="str">
        <f>IFERROR(INDEX('Docketed Comments'!L:L,MATCH(A240,'Docketed Comments'!H:H,0)),"")</f>
        <v>No MEP R3-47 ($97.32)</v>
      </c>
      <c r="P240" s="136">
        <f t="shared" si="6"/>
        <v>97.32</v>
      </c>
      <c r="Q240" s="140"/>
      <c r="R240" s="144">
        <v>1</v>
      </c>
    </row>
    <row r="241" spans="1:18" ht="21.95" customHeight="1">
      <c r="A241" s="71" t="s">
        <v>4479</v>
      </c>
      <c r="B241" s="69"/>
      <c r="C241" s="70"/>
      <c r="D241" s="69"/>
      <c r="E241" s="69"/>
      <c r="F241" s="65"/>
      <c r="G241" s="65" t="s">
        <v>5812</v>
      </c>
      <c r="H241" s="65" t="str">
        <f>IFERROR(INDEX('Docketed Comments'!C:C,MATCH(A241,'Docketed Comments'!H:H,0))&amp;", "&amp;INDEX('Docketed Comments'!B:B,MATCH(A241,'Docketed Comments'!H:H,0)),"")</f>
        <v>Brenda, Corrales</v>
      </c>
      <c r="I241" s="65" t="str">
        <f>IFERROR(INDEX('Docketed Comments'!D:D,MATCH(A241,'Docketed Comments'!H:H,0)),"")</f>
        <v>Phoenix</v>
      </c>
      <c r="J241" s="65" t="str">
        <f>IFERROR(INDEX('Docketed Comments'!I:I,MATCH(A241,'Docketed Comments'!H:H,0)),"")</f>
        <v>R-BASIC</v>
      </c>
      <c r="K241" s="65" t="str">
        <f t="shared" si="7"/>
        <v>❌ Not on Best Plan</v>
      </c>
      <c r="L241" s="65" t="str">
        <f>IFERROR(INDEX('Docketed Comments'!F:F,MATCH(A241,'Docketed Comments'!H:H,0)),"")</f>
        <v>please don't let asp rise the price on our electric bill and l don't find it fair</v>
      </c>
      <c r="M241" s="137" t="str">
        <f>IFERROR(HYPERLINK(INDEX('Docketed Comments'!G:G,MATCH(A241,'Docketed Comments'!H:H,0)),"📄 View Docket"),"")</f>
        <v>📄 View Docket</v>
      </c>
      <c r="N241" s="135" t="str">
        <f>IFERROR(INDEX('Docketed Comments'!N:N,MATCH(A241,'Docketed Comments'!H:H,0)),"")</f>
        <v>No</v>
      </c>
      <c r="O241" s="135" t="str">
        <f>IFERROR(INDEX('Docketed Comments'!L:L,MATCH(A241,'Docketed Comments'!H:H,0)),"")</f>
        <v>No MEP R3-47 ($170.72)</v>
      </c>
      <c r="P241" s="136">
        <f t="shared" si="6"/>
        <v>170.72</v>
      </c>
      <c r="Q241" s="140"/>
      <c r="R241" s="144">
        <v>1</v>
      </c>
    </row>
    <row r="242" spans="1:18" ht="21.95" customHeight="1">
      <c r="A242" s="71" t="s">
        <v>4493</v>
      </c>
      <c r="B242" s="69"/>
      <c r="C242" s="70"/>
      <c r="D242" s="69"/>
      <c r="E242" s="69"/>
      <c r="F242" s="65"/>
      <c r="G242" s="65" t="s">
        <v>5812</v>
      </c>
      <c r="H242" s="65" t="str">
        <f>IFERROR(INDEX('Docketed Comments'!C:C,MATCH(A242,'Docketed Comments'!H:H,0))&amp;", "&amp;INDEX('Docketed Comments'!B:B,MATCH(A242,'Docketed Comments'!H:H,0)),"")</f>
        <v>Sandye, Gier</v>
      </c>
      <c r="I242" s="65" t="str">
        <f>IFERROR(INDEX('Docketed Comments'!D:D,MATCH(A242,'Docketed Comments'!H:H,0)),"")</f>
        <v>Pine</v>
      </c>
      <c r="J242" s="65" t="str">
        <f>IFERROR(INDEX('Docketed Comments'!I:I,MATCH(A242,'Docketed Comments'!H:H,0)),"")</f>
        <v>R3-47</v>
      </c>
      <c r="K242" s="65" t="str">
        <f t="shared" si="7"/>
        <v>❌ Not on Best Plan</v>
      </c>
      <c r="L242" s="65" t="str">
        <f>IFERROR(INDEX('Docketed Comments'!F:F,MATCH(A242,'Docketed Comments'!H:H,0)),"")</f>
        <v>Make it STOP please! Enough is enough. The burden is too much. These constant rate hikes are breaking us</v>
      </c>
      <c r="M242" s="137" t="str">
        <f>IFERROR(HYPERLINK(INDEX('Docketed Comments'!G:G,MATCH(A242,'Docketed Comments'!H:H,0)),"📄 View Docket"),"")</f>
        <v>📄 View Docket</v>
      </c>
      <c r="N242" s="135" t="str">
        <f>IFERROR(INDEX('Docketed Comments'!N:N,MATCH(A242,'Docketed Comments'!H:H,0)),"")</f>
        <v>No</v>
      </c>
      <c r="O242" s="135" t="str">
        <f>IFERROR(INDEX('Docketed Comments'!L:L,MATCH(A242,'Docketed Comments'!H:H,0)),"")</f>
        <v>Not Eligible - Non-AMI Analog</v>
      </c>
      <c r="P242" s="136">
        <f t="shared" si="6"/>
        <v>0</v>
      </c>
      <c r="Q242" s="140"/>
      <c r="R242" s="144">
        <v>1</v>
      </c>
    </row>
    <row r="243" spans="1:18" ht="21.95" customHeight="1">
      <c r="A243" s="71" t="s">
        <v>4506</v>
      </c>
      <c r="B243" s="69"/>
      <c r="C243" s="70"/>
      <c r="D243" s="69"/>
      <c r="E243" s="69"/>
      <c r="F243" s="65"/>
      <c r="G243" s="65" t="s">
        <v>5812</v>
      </c>
      <c r="H243" s="65" t="str">
        <f>IFERROR(INDEX('Docketed Comments'!C:C,MATCH(A243,'Docketed Comments'!H:H,0))&amp;", "&amp;INDEX('Docketed Comments'!B:B,MATCH(A243,'Docketed Comments'!H:H,0)),"")</f>
        <v>Jessica, Luchini</v>
      </c>
      <c r="I243" s="65" t="str">
        <f>IFERROR(INDEX('Docketed Comments'!D:D,MATCH(A243,'Docketed Comments'!H:H,0)),"")</f>
        <v>Phoenix</v>
      </c>
      <c r="J243" s="65" t="str">
        <f>IFERROR(INDEX('Docketed Comments'!I:I,MATCH(A243,'Docketed Comments'!H:H,0)),"")</f>
        <v>R-BASICL</v>
      </c>
      <c r="K243" s="65" t="str">
        <f t="shared" si="7"/>
        <v>❌ Not on Best Plan</v>
      </c>
      <c r="L243" s="65" t="str">
        <f>IFERROR(INDEX('Docketed Comments'!F:F,MATCH(A243,'Docketed Comments'!H:H,0)),"")</f>
        <v>Lining the pockets of the people at the top, but if there's no substantial change in infrastructure, there's no reason to increase our bills</v>
      </c>
      <c r="M243" s="137" t="str">
        <f>IFERROR(HYPERLINK(INDEX('Docketed Comments'!G:G,MATCH(A243,'Docketed Comments'!H:H,0)),"📄 View Docket"),"")</f>
        <v>📄 View Docket</v>
      </c>
      <c r="N243" s="135" t="str">
        <f>IFERROR(INDEX('Docketed Comments'!N:N,MATCH(A243,'Docketed Comments'!H:H,0)),"")</f>
        <v>No</v>
      </c>
      <c r="O243" s="135" t="str">
        <f>IFERROR(INDEX('Docketed Comments'!L:L,MATCH(A243,'Docketed Comments'!H:H,0)),"")</f>
        <v>Not eligible yet</v>
      </c>
      <c r="P243" s="136">
        <f t="shared" si="6"/>
        <v>0</v>
      </c>
      <c r="Q243" s="140"/>
      <c r="R243" s="144">
        <v>1</v>
      </c>
    </row>
    <row r="244" spans="1:18" ht="21.95" customHeight="1">
      <c r="A244" s="71" t="s">
        <v>4597</v>
      </c>
      <c r="B244" s="69"/>
      <c r="C244" s="70"/>
      <c r="D244" s="69"/>
      <c r="E244" s="69"/>
      <c r="F244" s="65"/>
      <c r="G244" s="65" t="s">
        <v>5812</v>
      </c>
      <c r="H244" s="65" t="str">
        <f>IFERROR(INDEX('Docketed Comments'!C:C,MATCH(A244,'Docketed Comments'!H:H,0))&amp;", "&amp;INDEX('Docketed Comments'!B:B,MATCH(A244,'Docketed Comments'!H:H,0)),"")</f>
        <v>Keith, Gorski</v>
      </c>
      <c r="I244" s="65" t="str">
        <f>IFERROR(INDEX('Docketed Comments'!D:D,MATCH(A244,'Docketed Comments'!H:H,0)),"")</f>
        <v>Arizona City</v>
      </c>
      <c r="J244" s="65" t="str">
        <f>IFERROR(INDEX('Docketed Comments'!I:I,MATCH(A244,'Docketed Comments'!H:H,0)),"")</f>
        <v>R-BASICL</v>
      </c>
      <c r="K244" s="65" t="str">
        <f t="shared" si="7"/>
        <v>❌ Not on Best Plan</v>
      </c>
      <c r="L244" s="65" t="str">
        <f>IFERROR(INDEX('Docketed Comments'!F:F,MATCH(A244,'Docketed Comments'!H:H,0)),"")</f>
        <v>Rates continue rising every year without any protection for consumers. We need help lowering rates.</v>
      </c>
      <c r="M244" s="137" t="str">
        <f>IFERROR(HYPERLINK(INDEX('Docketed Comments'!G:G,MATCH(A244,'Docketed Comments'!H:H,0)),"📄 View Docket"),"")</f>
        <v>📄 View Docket</v>
      </c>
      <c r="N244" s="135" t="str">
        <f>IFERROR(INDEX('Docketed Comments'!N:N,MATCH(A244,'Docketed Comments'!H:H,0)),"")</f>
        <v>No</v>
      </c>
      <c r="O244" s="135" t="str">
        <f>IFERROR(INDEX('Docketed Comments'!L:L,MATCH(A244,'Docketed Comments'!H:H,0)),"")</f>
        <v>No MEP R3-47 ($106.33)</v>
      </c>
      <c r="P244" s="136">
        <f t="shared" si="6"/>
        <v>106.33</v>
      </c>
      <c r="Q244" s="140"/>
      <c r="R244" s="144">
        <v>1</v>
      </c>
    </row>
    <row r="245" spans="1:18" ht="21.95" customHeight="1">
      <c r="A245" s="71" t="s">
        <v>5076</v>
      </c>
      <c r="B245" s="69"/>
      <c r="C245" s="70"/>
      <c r="D245" s="69"/>
      <c r="E245" s="69"/>
      <c r="F245" s="65"/>
      <c r="G245" s="65" t="s">
        <v>5812</v>
      </c>
      <c r="H245" s="65" t="str">
        <f>IFERROR(INDEX('Docketed Comments'!C:C,MATCH(A245,'Docketed Comments'!H:H,0))&amp;", "&amp;INDEX('Docketed Comments'!B:B,MATCH(A245,'Docketed Comments'!H:H,0)),"")</f>
        <v>Nancy, Morrison</v>
      </c>
      <c r="I245" s="65" t="str">
        <f>IFERROR(INDEX('Docketed Comments'!D:D,MATCH(A245,'Docketed Comments'!H:H,0)),"")</f>
        <v>Goodyear</v>
      </c>
      <c r="J245" s="65" t="str">
        <f>IFERROR(INDEX('Docketed Comments'!I:I,MATCH(A245,'Docketed Comments'!H:H,0)),"")</f>
        <v>RCPw/RTOUE47</v>
      </c>
      <c r="K245" s="65" t="str">
        <f t="shared" si="7"/>
        <v>❌ Not on Best Plan</v>
      </c>
      <c r="L245" s="65" t="str">
        <f>IFERROR(INDEX('Docketed Comments'!F:F,MATCH(A245,'Docketed Comments'!H:H,0)),"")</f>
        <v>As a military family with a son, we strongly oppose this rate increase. It is not fair that regular families are being charged more while big corp get discounts</v>
      </c>
      <c r="M245" s="137" t="str">
        <f>IFERROR(HYPERLINK(INDEX('Docketed Comments'!G:G,MATCH(A245,'Docketed Comments'!H:H,0)),"📄 View Docket"),"")</f>
        <v>📄 View Docket</v>
      </c>
      <c r="N245" s="135" t="str">
        <f>IFERROR(INDEX('Docketed Comments'!N:N,MATCH(A245,'Docketed Comments'!H:H,0)),"")</f>
        <v>No</v>
      </c>
      <c r="O245" s="135" t="str">
        <f>IFERROR(INDEX('Docketed Comments'!L:L,MATCH(A245,'Docketed Comments'!H:H,0)),"")</f>
        <v>No MEP R3-47 ($27.99)</v>
      </c>
      <c r="P245" s="136">
        <f t="shared" si="6"/>
        <v>27.99</v>
      </c>
      <c r="Q245" s="140"/>
      <c r="R245" s="144">
        <v>1</v>
      </c>
    </row>
    <row r="246" spans="1:18" ht="21.95" customHeight="1">
      <c r="A246" s="71" t="s">
        <v>5077</v>
      </c>
      <c r="B246" s="69"/>
      <c r="C246" s="70"/>
      <c r="D246" s="69"/>
      <c r="E246" s="69"/>
      <c r="F246" s="65"/>
      <c r="G246" s="65" t="s">
        <v>5813</v>
      </c>
      <c r="H246" s="65" t="str">
        <f>IFERROR(INDEX('Docketed Comments'!C:C,MATCH(A246,'Docketed Comments'!H:H,0))&amp;", "&amp;INDEX('Docketed Comments'!B:B,MATCH(A246,'Docketed Comments'!H:H,0)),"")</f>
        <v>Diana, Valladares</v>
      </c>
      <c r="I246" s="65" t="str">
        <f>IFERROR(INDEX('Docketed Comments'!D:D,MATCH(A246,'Docketed Comments'!H:H,0)),"")</f>
        <v>Phoenix</v>
      </c>
      <c r="J246" s="65" t="str">
        <f>IFERROR(INDEX('Docketed Comments'!I:I,MATCH(A246,'Docketed Comments'!H:H,0)),"")</f>
        <v>RTOUE47</v>
      </c>
      <c r="K246" s="65" t="str">
        <f t="shared" si="7"/>
        <v>❌ Not on Best Plan</v>
      </c>
      <c r="L246" s="65" t="str">
        <f>IFERROR(INDEX('Docketed Comments'!F:F,MATCH(A246,'Docketed Comments'!H:H,0)),"")</f>
        <v>Data Centers are ready to work with the water and electricity.</v>
      </c>
      <c r="M246" s="137" t="str">
        <f>IFERROR(HYPERLINK(INDEX('Docketed Comments'!G:G,MATCH(A246,'Docketed Comments'!H:H,0)),"📄 View Docket"),"")</f>
        <v>📄 View Docket</v>
      </c>
      <c r="N246" s="135" t="str">
        <f>IFERROR(INDEX('Docketed Comments'!N:N,MATCH(A246,'Docketed Comments'!H:H,0)),"")</f>
        <v>No</v>
      </c>
      <c r="O246" s="135" t="str">
        <f>IFERROR(INDEX('Docketed Comments'!L:L,MATCH(A246,'Docketed Comments'!H:H,0)),"")</f>
        <v>No MEP R3-47 ($248.22)</v>
      </c>
      <c r="P246" s="136">
        <f t="shared" si="6"/>
        <v>248.22</v>
      </c>
      <c r="Q246" s="140"/>
      <c r="R246" s="144">
        <v>1</v>
      </c>
    </row>
    <row r="247" spans="1:18" ht="21.95" customHeight="1">
      <c r="A247" s="71" t="s">
        <v>5078</v>
      </c>
      <c r="B247" s="69"/>
      <c r="C247" s="70"/>
      <c r="D247" s="69"/>
      <c r="E247" s="69"/>
      <c r="F247" s="65"/>
      <c r="G247" s="65" t="s">
        <v>5812</v>
      </c>
      <c r="H247" s="65" t="str">
        <f>IFERROR(INDEX('Docketed Comments'!C:C,MATCH(A247,'Docketed Comments'!H:H,0))&amp;", "&amp;INDEX('Docketed Comments'!B:B,MATCH(A247,'Docketed Comments'!H:H,0)),"")</f>
        <v>Jennifer, Sherman</v>
      </c>
      <c r="I247" s="65" t="str">
        <f>IFERROR(INDEX('Docketed Comments'!D:D,MATCH(A247,'Docketed Comments'!H:H,0)),"")</f>
        <v>Parks</v>
      </c>
      <c r="J247" s="65" t="str">
        <f>IFERROR(INDEX('Docketed Comments'!I:I,MATCH(A247,'Docketed Comments'!H:H,0)),"")</f>
        <v>RCPw/RTOUE47</v>
      </c>
      <c r="K247" s="65" t="str">
        <f t="shared" si="7"/>
        <v>❌ Not on Best Plan</v>
      </c>
      <c r="L247" s="65" t="str">
        <f>IFERROR(INDEX('Docketed Comments'!F:F,MATCH(A247,'Docketed Comments'!H:H,0)),"")</f>
        <v>express my concern with APS's proposed rate increases, particularl the solar Grid Access Charge alongside the continued erosion of affordability for Arizona families.</v>
      </c>
      <c r="M247" s="137" t="str">
        <f>IFERROR(HYPERLINK(INDEX('Docketed Comments'!G:G,MATCH(A247,'Docketed Comments'!H:H,0)),"📄 View Docket"),"")</f>
        <v>📄 View Docket</v>
      </c>
      <c r="N247" s="135" t="str">
        <f>IFERROR(INDEX('Docketed Comments'!N:N,MATCH(A247,'Docketed Comments'!H:H,0)),"")</f>
        <v>No</v>
      </c>
      <c r="O247" s="135" t="str">
        <f>IFERROR(INDEX('Docketed Comments'!L:L,MATCH(A247,'Docketed Comments'!H:H,0)),"")</f>
        <v>Not eligible yet</v>
      </c>
      <c r="P247" s="136">
        <f t="shared" si="6"/>
        <v>0</v>
      </c>
      <c r="Q247" s="140"/>
      <c r="R247" s="144">
        <v>1</v>
      </c>
    </row>
    <row r="248" spans="1:18" ht="21.95" customHeight="1">
      <c r="A248" s="71" t="s">
        <v>5079</v>
      </c>
      <c r="B248" s="69"/>
      <c r="C248" s="70"/>
      <c r="D248" s="69"/>
      <c r="E248" s="69"/>
      <c r="F248" s="65"/>
      <c r="G248" s="65" t="s">
        <v>5812</v>
      </c>
      <c r="H248" s="65" t="str">
        <f>IFERROR(INDEX('Docketed Comments'!C:C,MATCH(A248,'Docketed Comments'!H:H,0))&amp;", "&amp;INDEX('Docketed Comments'!B:B,MATCH(A248,'Docketed Comments'!H:H,0)),"")</f>
        <v>Bob, Pine</v>
      </c>
      <c r="I248" s="65" t="str">
        <f>IFERROR(INDEX('Docketed Comments'!D:D,MATCH(A248,'Docketed Comments'!H:H,0)),"")</f>
        <v>Unknown</v>
      </c>
      <c r="J248" s="65" t="str">
        <f>IFERROR(INDEX('Docketed Comments'!I:I,MATCH(A248,'Docketed Comments'!H:H,0)),"")</f>
        <v>RCPw/RTOUE47</v>
      </c>
      <c r="K248" s="65" t="str">
        <f t="shared" si="7"/>
        <v>❌ Not on Best Plan</v>
      </c>
      <c r="L248" s="65" t="str">
        <f>IFERROR(INDEX('Docketed Comments'!F:F,MATCH(A248,'Docketed Comments'!H:H,0)),"")</f>
        <v>Please vote against the APS rate increase application and any other increase application APS applies for</v>
      </c>
      <c r="M248" s="137" t="str">
        <f>IFERROR(HYPERLINK(INDEX('Docketed Comments'!G:G,MATCH(A248,'Docketed Comments'!H:H,0)),"📄 View Docket"),"")</f>
        <v>📄 View Docket</v>
      </c>
      <c r="N248" s="135" t="str">
        <f>IFERROR(INDEX('Docketed Comments'!N:N,MATCH(A248,'Docketed Comments'!H:H,0)),"")</f>
        <v>No</v>
      </c>
      <c r="O248" s="135" t="str">
        <f>IFERROR(INDEX('Docketed Comments'!L:L,MATCH(A248,'Docketed Comments'!H:H,0)),"")</f>
        <v>Not eligible yet</v>
      </c>
      <c r="P248" s="136">
        <f t="shared" si="6"/>
        <v>0</v>
      </c>
      <c r="Q248" s="140"/>
      <c r="R248" s="144">
        <v>1</v>
      </c>
    </row>
    <row r="249" spans="1:18" ht="21.95" customHeight="1">
      <c r="A249" s="71" t="s">
        <v>5080</v>
      </c>
      <c r="B249" s="69"/>
      <c r="C249" s="70"/>
      <c r="D249" s="69"/>
      <c r="E249" s="69"/>
      <c r="F249" s="65"/>
      <c r="G249" s="65" t="s">
        <v>5812</v>
      </c>
      <c r="H249" s="65" t="str">
        <f>IFERROR(INDEX('Docketed Comments'!C:C,MATCH(A249,'Docketed Comments'!H:H,0))&amp;", "&amp;INDEX('Docketed Comments'!B:B,MATCH(A249,'Docketed Comments'!H:H,0)),"")</f>
        <v>Sue, Diaz</v>
      </c>
      <c r="I249" s="65" t="str">
        <f>IFERROR(INDEX('Docketed Comments'!D:D,MATCH(A249,'Docketed Comments'!H:H,0)),"")</f>
        <v>Phoenix</v>
      </c>
      <c r="J249" s="65" t="str">
        <f>IFERROR(INDEX('Docketed Comments'!I:I,MATCH(A249,'Docketed Comments'!H:H,0)),"")</f>
        <v>RCPw/RTOUE47</v>
      </c>
      <c r="K249" s="65" t="str">
        <f t="shared" si="7"/>
        <v>❌ Not on Best Plan</v>
      </c>
      <c r="L249" s="65" t="str">
        <f>IFERROR(INDEX('Docketed Comments'!F:F,MATCH(A249,'Docketed Comments'!H:H,0)),"")</f>
        <v>Near retirement and invested in 34 solar panels to cover our long-term energy needs. Do not yet cover our full electrical costs and proposed increase will exacerbate this issue.</v>
      </c>
      <c r="M249" s="137" t="str">
        <f>IFERROR(HYPERLINK(INDEX('Docketed Comments'!G:G,MATCH(A249,'Docketed Comments'!H:H,0)),"📄 View Docket"),"")</f>
        <v>📄 View Docket</v>
      </c>
      <c r="N249" s="135" t="str">
        <f>IFERROR(INDEX('Docketed Comments'!N:N,MATCH(A249,'Docketed Comments'!H:H,0)),"")</f>
        <v>No</v>
      </c>
      <c r="O249" s="135" t="str">
        <f>IFERROR(INDEX('Docketed Comments'!L:L,MATCH(A249,'Docketed Comments'!H:H,0)),"")</f>
        <v>No MEP R3-47 ($14.60)</v>
      </c>
      <c r="P249" s="136">
        <f t="shared" si="6"/>
        <v>14.6</v>
      </c>
      <c r="Q249" s="140"/>
      <c r="R249" s="144">
        <v>1</v>
      </c>
    </row>
    <row r="250" spans="1:18" ht="21.95" customHeight="1">
      <c r="A250" s="71" t="s">
        <v>5081</v>
      </c>
      <c r="B250" s="69"/>
      <c r="C250" s="70"/>
      <c r="D250" s="69"/>
      <c r="E250" s="69"/>
      <c r="F250" s="65"/>
      <c r="G250" s="65" t="s">
        <v>5812</v>
      </c>
      <c r="H250" s="65" t="str">
        <f>IFERROR(INDEX('Docketed Comments'!C:C,MATCH(A250,'Docketed Comments'!H:H,0))&amp;", "&amp;INDEX('Docketed Comments'!B:B,MATCH(A250,'Docketed Comments'!H:H,0)),"")</f>
        <v>Michael, Moreno</v>
      </c>
      <c r="I250" s="65" t="str">
        <f>IFERROR(INDEX('Docketed Comments'!D:D,MATCH(A250,'Docketed Comments'!H:H,0)),"")</f>
        <v>Phoenix</v>
      </c>
      <c r="J250" s="65" t="str">
        <f>IFERROR(INDEX('Docketed Comments'!I:I,MATCH(A250,'Docketed Comments'!H:H,0)),"")</f>
        <v>RCPw/RTOUE47</v>
      </c>
      <c r="K250" s="65" t="str">
        <f t="shared" si="7"/>
        <v>❌ Not on Best Plan</v>
      </c>
      <c r="L250" s="65" t="str">
        <f>IFERROR(INDEX('Docketed Comments'!F:F,MATCH(A250,'Docketed Comments'!H:H,0)),"")</f>
        <v>Energy should be free! Tesla showed us that already. Stop being greedy. Stop stop stop you greedy miserable pople whoever you are</v>
      </c>
      <c r="M250" s="137" t="str">
        <f>IFERROR(HYPERLINK(INDEX('Docketed Comments'!G:G,MATCH(A250,'Docketed Comments'!H:H,0)),"📄 View Docket"),"")</f>
        <v>📄 View Docket</v>
      </c>
      <c r="N250" s="135" t="str">
        <f>IFERROR(INDEX('Docketed Comments'!N:N,MATCH(A250,'Docketed Comments'!H:H,0)),"")</f>
        <v>No</v>
      </c>
      <c r="O250" s="135" t="str">
        <f>IFERROR(INDEX('Docketed Comments'!L:L,MATCH(A250,'Docketed Comments'!H:H,0)),"")</f>
        <v>No MEP R3-47 ($73.15)</v>
      </c>
      <c r="P250" s="136">
        <f t="shared" si="6"/>
        <v>73.150000000000006</v>
      </c>
      <c r="Q250" s="140"/>
      <c r="R250" s="144">
        <v>1</v>
      </c>
    </row>
    <row r="251" spans="1:18" ht="21.95" customHeight="1">
      <c r="A251" s="71" t="s">
        <v>5082</v>
      </c>
      <c r="B251" s="69"/>
      <c r="C251" s="70"/>
      <c r="D251" s="69"/>
      <c r="E251" s="69"/>
      <c r="F251" s="65"/>
      <c r="G251" s="65" t="s">
        <v>5812</v>
      </c>
      <c r="H251" s="65" t="str">
        <f>IFERROR(INDEX('Docketed Comments'!C:C,MATCH(A251,'Docketed Comments'!H:H,0))&amp;", "&amp;INDEX('Docketed Comments'!B:B,MATCH(A251,'Docketed Comments'!H:H,0)),"")</f>
        <v>Ruben, Ceballos</v>
      </c>
      <c r="I251" s="65" t="str">
        <f>IFERROR(INDEX('Docketed Comments'!D:D,MATCH(A251,'Docketed Comments'!H:H,0)),"")</f>
        <v>Flagstaff</v>
      </c>
      <c r="J251" s="65" t="str">
        <f>IFERROR(INDEX('Docketed Comments'!I:I,MATCH(A251,'Docketed Comments'!H:H,0)),"")</f>
        <v>R-XS</v>
      </c>
      <c r="K251" s="65" t="str">
        <f t="shared" si="7"/>
        <v>❌ Not on Best Plan</v>
      </c>
      <c r="L251" s="65" t="str">
        <f>IFERROR(INDEX('Docketed Comments'!F:F,MATCH(A251,'Docketed Comments'!H:H,0)),"")</f>
        <v>I am an elderly citizen of 86 yrs. I have had increasing APS bills over the years making it harder.</v>
      </c>
      <c r="M251" s="137" t="str">
        <f>IFERROR(HYPERLINK(INDEX('Docketed Comments'!G:G,MATCH(A251,'Docketed Comments'!H:H,0)),"📄 View Docket"),"")</f>
        <v>📄 View Docket</v>
      </c>
      <c r="N251" s="135" t="str">
        <f>IFERROR(INDEX('Docketed Comments'!N:N,MATCH(A251,'Docketed Comments'!H:H,0)),"")</f>
        <v>No</v>
      </c>
      <c r="O251" s="135" t="str">
        <f>IFERROR(INDEX('Docketed Comments'!L:L,MATCH(A251,'Docketed Comments'!H:H,0)),"")</f>
        <v>No MEP R3-47 ($142.29)</v>
      </c>
      <c r="P251" s="136">
        <f t="shared" si="6"/>
        <v>142.29</v>
      </c>
      <c r="Q251" s="140"/>
      <c r="R251" s="144">
        <v>1</v>
      </c>
    </row>
    <row r="252" spans="1:18" ht="21.95" customHeight="1">
      <c r="A252" s="71" t="s">
        <v>5083</v>
      </c>
      <c r="B252" s="69"/>
      <c r="C252" s="70"/>
      <c r="D252" s="69"/>
      <c r="E252" s="69"/>
      <c r="F252" s="65"/>
      <c r="G252" s="65" t="s">
        <v>5813</v>
      </c>
      <c r="H252" s="65" t="str">
        <f>IFERROR(INDEX('Docketed Comments'!C:C,MATCH(A252,'Docketed Comments'!H:H,0))&amp;", "&amp;INDEX('Docketed Comments'!B:B,MATCH(A252,'Docketed Comments'!H:H,0)),"")</f>
        <v>Fred, Morgan</v>
      </c>
      <c r="I252" s="65" t="str">
        <f>IFERROR(INDEX('Docketed Comments'!D:D,MATCH(A252,'Docketed Comments'!H:H,0)),"")</f>
        <v>Flagstaff</v>
      </c>
      <c r="J252" s="65" t="str">
        <f>IFERROR(INDEX('Docketed Comments'!I:I,MATCH(A252,'Docketed Comments'!H:H,0)),"")</f>
        <v>R-BASIC</v>
      </c>
      <c r="K252" s="65" t="str">
        <f t="shared" si="7"/>
        <v>❌ Not on Best Plan</v>
      </c>
      <c r="L252" s="65" t="str">
        <f>IFERROR(INDEX('Docketed Comments'!F:F,MATCH(A252,'Docketed Comments'!H:H,0)),"")</f>
        <v xml:space="preserve">Who let this happen? The correction in billing method should have been planned for </v>
      </c>
      <c r="M252" s="137" t="str">
        <f>IFERROR(HYPERLINK(INDEX('Docketed Comments'!G:G,MATCH(A252,'Docketed Comments'!H:H,0)),"📄 View Docket"),"")</f>
        <v>📄 View Docket</v>
      </c>
      <c r="N252" s="135" t="str">
        <f>IFERROR(INDEX('Docketed Comments'!N:N,MATCH(A252,'Docketed Comments'!H:H,0)),"")</f>
        <v>No</v>
      </c>
      <c r="O252" s="135" t="str">
        <f>IFERROR(INDEX('Docketed Comments'!L:L,MATCH(A252,'Docketed Comments'!H:H,0)),"")</f>
        <v>No MEP R3-47 ($216.81)</v>
      </c>
      <c r="P252" s="136">
        <f t="shared" si="6"/>
        <v>216.81</v>
      </c>
      <c r="Q252" s="140"/>
      <c r="R252" s="144">
        <v>1</v>
      </c>
    </row>
    <row r="253" spans="1:18" ht="21.95" customHeight="1">
      <c r="A253" s="71" t="s">
        <v>5084</v>
      </c>
      <c r="B253" s="69"/>
      <c r="C253" s="70"/>
      <c r="D253" s="69"/>
      <c r="E253" s="69"/>
      <c r="F253" s="65"/>
      <c r="G253" s="65" t="s">
        <v>5813</v>
      </c>
      <c r="H253" s="65" t="str">
        <f>IFERROR(INDEX('Docketed Comments'!C:C,MATCH(A253,'Docketed Comments'!H:H,0))&amp;", "&amp;INDEX('Docketed Comments'!B:B,MATCH(A253,'Docketed Comments'!H:H,0)),"")</f>
        <v>Linda, Morgan</v>
      </c>
      <c r="I253" s="65" t="str">
        <f>IFERROR(INDEX('Docketed Comments'!D:D,MATCH(A253,'Docketed Comments'!H:H,0)),"")</f>
        <v>Flagstaff</v>
      </c>
      <c r="J253" s="65" t="str">
        <f>IFERROR(INDEX('Docketed Comments'!I:I,MATCH(A253,'Docketed Comments'!H:H,0)),"")</f>
        <v>R-BASICL</v>
      </c>
      <c r="K253" s="65" t="str">
        <f t="shared" si="7"/>
        <v>❌ Not on Best Plan</v>
      </c>
      <c r="L253" s="65" t="str">
        <f>IFERROR(INDEX('Docketed Comments'!F:F,MATCH(A253,'Docketed Comments'!H:H,0)),"")</f>
        <v>I do not approve of allowing APS any new side steps to any rate hikes that by pass or skip the commission by the FRM</v>
      </c>
      <c r="M253" s="137" t="str">
        <f>IFERROR(HYPERLINK(INDEX('Docketed Comments'!G:G,MATCH(A253,'Docketed Comments'!H:H,0)),"📄 View Docket"),"")</f>
        <v>📄 View Docket</v>
      </c>
      <c r="N253" s="135" t="str">
        <f>IFERROR(INDEX('Docketed Comments'!N:N,MATCH(A253,'Docketed Comments'!H:H,0)),"")</f>
        <v>No</v>
      </c>
      <c r="O253" s="135" t="str">
        <f>IFERROR(INDEX('Docketed Comments'!L:L,MATCH(A253,'Docketed Comments'!H:H,0)),"")</f>
        <v>No MEP R3-47 ($430.61)</v>
      </c>
      <c r="P253" s="136">
        <f t="shared" si="6"/>
        <v>430.61</v>
      </c>
      <c r="Q253" s="140"/>
      <c r="R253" s="144">
        <v>1</v>
      </c>
    </row>
    <row r="254" spans="1:18" ht="21.95" customHeight="1">
      <c r="A254" s="71" t="s">
        <v>5085</v>
      </c>
      <c r="B254" s="69"/>
      <c r="C254" s="70"/>
      <c r="D254" s="69"/>
      <c r="E254" s="69"/>
      <c r="F254" s="65"/>
      <c r="G254" s="65" t="s">
        <v>5812</v>
      </c>
      <c r="H254" s="65" t="str">
        <f>IFERROR(INDEX('Docketed Comments'!C:C,MATCH(A254,'Docketed Comments'!H:H,0))&amp;", "&amp;INDEX('Docketed Comments'!B:B,MATCH(A254,'Docketed Comments'!H:H,0)),"")</f>
        <v>David, Fero</v>
      </c>
      <c r="I254" s="65" t="str">
        <f>IFERROR(INDEX('Docketed Comments'!D:D,MATCH(A254,'Docketed Comments'!H:H,0)),"")</f>
        <v>Prescott</v>
      </c>
      <c r="J254" s="65" t="str">
        <f>IFERROR(INDEX('Docketed Comments'!I:I,MATCH(A254,'Docketed Comments'!H:H,0)),"")</f>
        <v>RCPw/R3-47</v>
      </c>
      <c r="K254" s="65" t="str">
        <f t="shared" si="7"/>
        <v>❌ Not on Best Plan</v>
      </c>
      <c r="L254" s="65" t="str">
        <f>IFERROR(INDEX('Docketed Comments'!F:F,MATCH(A254,'Docketed Comments'!H:H,0)),"")</f>
        <v>example of the already unfair and irrational penalties placed on Solar contributors to the grid.</v>
      </c>
      <c r="M254" s="137" t="str">
        <f>IFERROR(HYPERLINK(INDEX('Docketed Comments'!G:G,MATCH(A254,'Docketed Comments'!H:H,0)),"📄 View Docket"),"")</f>
        <v>📄 View Docket</v>
      </c>
      <c r="N254" s="135" t="str">
        <f>IFERROR(INDEX('Docketed Comments'!N:N,MATCH(A254,'Docketed Comments'!H:H,0)),"")</f>
        <v>No</v>
      </c>
      <c r="O254" s="135" t="str">
        <f>IFERROR(INDEX('Docketed Comments'!L:L,MATCH(A254,'Docketed Comments'!H:H,0)),"")</f>
        <v>No MEP R3-47 ($81.32)</v>
      </c>
      <c r="P254" s="136">
        <f t="shared" si="6"/>
        <v>81.319999999999993</v>
      </c>
      <c r="Q254" s="140"/>
      <c r="R254" s="144">
        <v>1</v>
      </c>
    </row>
    <row r="255" spans="1:18" ht="21.95" customHeight="1">
      <c r="A255" s="71" t="s">
        <v>5086</v>
      </c>
      <c r="B255" s="69"/>
      <c r="C255" s="70"/>
      <c r="D255" s="69"/>
      <c r="E255" s="69"/>
      <c r="F255" s="65"/>
      <c r="G255" s="65" t="s">
        <v>5813</v>
      </c>
      <c r="H255" s="65" t="str">
        <f>IFERROR(INDEX('Docketed Comments'!C:C,MATCH(A255,'Docketed Comments'!H:H,0))&amp;", "&amp;INDEX('Docketed Comments'!B:B,MATCH(A255,'Docketed Comments'!H:H,0)),"")</f>
        <v>Kimberly, Chuppa</v>
      </c>
      <c r="I255" s="65" t="str">
        <f>IFERROR(INDEX('Docketed Comments'!D:D,MATCH(A255,'Docketed Comments'!H:H,0)),"")</f>
        <v>Gilbert</v>
      </c>
      <c r="J255" s="65" t="str">
        <f>IFERROR(INDEX('Docketed Comments'!I:I,MATCH(A255,'Docketed Comments'!H:H,0)),"")</f>
        <v>R-TOUE47</v>
      </c>
      <c r="K255" s="65" t="str">
        <f t="shared" si="7"/>
        <v>❌ Not on Best Plan</v>
      </c>
      <c r="L255" s="65" t="str">
        <f>IFERROR(INDEX('Docketed Comments'!F:F,MATCH(A255,'Docketed Comments'!H:H,0)),"")</f>
        <v xml:space="preserve">SRP is a not-for-profit entity... and works just fine. In cotnrast, APS is focused on making huge profits for inevestors and executieves. </v>
      </c>
      <c r="M255" s="137" t="str">
        <f>IFERROR(HYPERLINK(INDEX('Docketed Comments'!G:G,MATCH(A255,'Docketed Comments'!H:H,0)),"📄 View Docket"),"")</f>
        <v>📄 View Docket</v>
      </c>
      <c r="N255" s="135" t="str">
        <f>IFERROR(INDEX('Docketed Comments'!N:N,MATCH(A255,'Docketed Comments'!H:H,0)),"")</f>
        <v>No</v>
      </c>
      <c r="O255" s="135" t="str">
        <f>IFERROR(INDEX('Docketed Comments'!L:L,MATCH(A255,'Docketed Comments'!H:H,0)),"")</f>
        <v>No MEP R3-47 ($319.00)</v>
      </c>
      <c r="P255" s="136">
        <f t="shared" si="6"/>
        <v>319</v>
      </c>
      <c r="Q255" s="140"/>
      <c r="R255" s="144">
        <v>1</v>
      </c>
    </row>
    <row r="256" spans="1:18" ht="21.95" customHeight="1">
      <c r="A256" s="71" t="s">
        <v>5087</v>
      </c>
      <c r="B256" s="69"/>
      <c r="C256" s="70"/>
      <c r="D256" s="69"/>
      <c r="E256" s="69"/>
      <c r="F256" s="65"/>
      <c r="G256" s="65" t="s">
        <v>5812</v>
      </c>
      <c r="H256" s="65" t="str">
        <f>IFERROR(INDEX('Docketed Comments'!C:C,MATCH(A256,'Docketed Comments'!H:H,0))&amp;", "&amp;INDEX('Docketed Comments'!B:B,MATCH(A256,'Docketed Comments'!H:H,0)),"")</f>
        <v>Jessie K, Finch</v>
      </c>
      <c r="I256" s="65" t="str">
        <f>IFERROR(INDEX('Docketed Comments'!D:D,MATCH(A256,'Docketed Comments'!H:H,0)),"")</f>
        <v>Flagstaff</v>
      </c>
      <c r="J256" s="65" t="str">
        <f>IFERROR(INDEX('Docketed Comments'!I:I,MATCH(A256,'Docketed Comments'!H:H,0)),"")</f>
        <v>RCPw/RTOUE47</v>
      </c>
      <c r="K256" s="65" t="str">
        <f t="shared" si="7"/>
        <v>❌ Not on Best Plan</v>
      </c>
      <c r="L256" s="65" t="str">
        <f>IFERROR(INDEX('Docketed Comments'!F:F,MATCH(A256,'Docketed Comments'!H:H,0)),"")</f>
        <v>Please stop charging the people of Arizona TO MAKE A PROFIT on what should be a utility FOR THE PEOPLE.</v>
      </c>
      <c r="M256" s="137" t="str">
        <f>IFERROR(HYPERLINK(INDEX('Docketed Comments'!G:G,MATCH(A256,'Docketed Comments'!H:H,0)),"📄 View Docket"),"")</f>
        <v>📄 View Docket</v>
      </c>
      <c r="N256" s="135" t="str">
        <f>IFERROR(INDEX('Docketed Comments'!N:N,MATCH(A256,'Docketed Comments'!H:H,0)),"")</f>
        <v>No</v>
      </c>
      <c r="O256" s="135" t="str">
        <f>IFERROR(INDEX('Docketed Comments'!L:L,MATCH(A256,'Docketed Comments'!H:H,0)),"")</f>
        <v>No MEP R3-47 ($56.37)</v>
      </c>
      <c r="P256" s="136">
        <f t="shared" si="6"/>
        <v>56.37</v>
      </c>
      <c r="Q256" s="140"/>
      <c r="R256" s="144">
        <v>1</v>
      </c>
    </row>
    <row r="257" spans="1:18" ht="21.95" customHeight="1">
      <c r="A257" s="71" t="s">
        <v>5088</v>
      </c>
      <c r="B257" s="69"/>
      <c r="C257" s="70"/>
      <c r="D257" s="69"/>
      <c r="E257" s="69"/>
      <c r="F257" s="65"/>
      <c r="G257" s="65" t="s">
        <v>5811</v>
      </c>
      <c r="H257" s="65" t="str">
        <f>IFERROR(INDEX('Docketed Comments'!C:C,MATCH(A257,'Docketed Comments'!H:H,0))&amp;", "&amp;INDEX('Docketed Comments'!B:B,MATCH(A257,'Docketed Comments'!H:H,0)),"")</f>
        <v>Arwin, Sturnacle</v>
      </c>
      <c r="I257" s="65" t="str">
        <f>IFERROR(INDEX('Docketed Comments'!D:D,MATCH(A257,'Docketed Comments'!H:H,0)),"")</f>
        <v>Flagstaff</v>
      </c>
      <c r="J257" s="65" t="str">
        <f>IFERROR(INDEX('Docketed Comments'!I:I,MATCH(A257,'Docketed Comments'!H:H,0)),"")</f>
        <v>R-BASIC</v>
      </c>
      <c r="K257" s="65" t="str">
        <f t="shared" si="7"/>
        <v>⚠ AMI Opt-Out</v>
      </c>
      <c r="L257" s="65" t="str">
        <f>IFERROR(INDEX('Docketed Comments'!F:F,MATCH(A257,'Docketed Comments'!H:H,0)),"")</f>
        <v>Requesting that Arizona Corporation Commission determine the relation of APS to Pinnacle West Capital Corporation</v>
      </c>
      <c r="M257" s="137" t="str">
        <f>IFERROR(HYPERLINK(INDEX('Docketed Comments'!G:G,MATCH(A257,'Docketed Comments'!H:H,0)),"📄 View Docket"),"")</f>
        <v>📄 View Docket</v>
      </c>
      <c r="N257" s="135" t="str">
        <f>IFERROR(INDEX('Docketed Comments'!N:N,MATCH(A257,'Docketed Comments'!H:H,0)),"")</f>
        <v>No</v>
      </c>
      <c r="O257" s="135" t="str">
        <f>IFERROR(INDEX('Docketed Comments'!L:L,MATCH(A257,'Docketed Comments'!H:H,0)),"")</f>
        <v>AMI Opt-Out</v>
      </c>
      <c r="P257" s="136">
        <f t="shared" si="6"/>
        <v>0</v>
      </c>
      <c r="Q257" s="140"/>
      <c r="R257" s="144">
        <v>1</v>
      </c>
    </row>
    <row r="258" spans="1:18" ht="21.95" customHeight="1">
      <c r="A258" s="71" t="s">
        <v>5089</v>
      </c>
      <c r="B258" s="69"/>
      <c r="C258" s="70"/>
      <c r="D258" s="69"/>
      <c r="E258" s="69"/>
      <c r="F258" s="65"/>
      <c r="G258" s="65" t="s">
        <v>5812</v>
      </c>
      <c r="H258" s="65" t="str">
        <f>IFERROR(INDEX('Docketed Comments'!C:C,MATCH(A258,'Docketed Comments'!H:H,0))&amp;", "&amp;INDEX('Docketed Comments'!B:B,MATCH(A258,'Docketed Comments'!H:H,0)),"")</f>
        <v>Jim, Scott</v>
      </c>
      <c r="I258" s="65" t="str">
        <f>IFERROR(INDEX('Docketed Comments'!D:D,MATCH(A258,'Docketed Comments'!H:H,0)),"")</f>
        <v>Sun City West</v>
      </c>
      <c r="J258" s="65" t="str">
        <f>IFERROR(INDEX('Docketed Comments'!I:I,MATCH(A258,'Docketed Comments'!H:H,0)),"")</f>
        <v>RCPw/RTOUE47</v>
      </c>
      <c r="K258" s="65" t="str">
        <f t="shared" si="7"/>
        <v>❌ Not on Best Plan</v>
      </c>
      <c r="L258" s="65" t="str">
        <f>IFERROR(INDEX('Docketed Comments'!F:F,MATCH(A258,'Docketed Comments'!H:H,0)),"")</f>
        <v xml:space="preserve">Member of Sun City PORA, with solar. </v>
      </c>
      <c r="M258" s="137" t="str">
        <f>IFERROR(HYPERLINK(INDEX('Docketed Comments'!G:G,MATCH(A258,'Docketed Comments'!H:H,0)),"📄 View Docket"),"")</f>
        <v>📄 View Docket</v>
      </c>
      <c r="N258" s="135" t="str">
        <f>IFERROR(INDEX('Docketed Comments'!N:N,MATCH(A258,'Docketed Comments'!H:H,0)),"")</f>
        <v>No</v>
      </c>
      <c r="O258" s="135" t="str">
        <f>IFERROR(INDEX('Docketed Comments'!L:L,MATCH(A258,'Docketed Comments'!H:H,0)),"")</f>
        <v>No MEP R3-47 ($15.82)</v>
      </c>
      <c r="P258" s="136">
        <f t="shared" ref="P258:P321" si="8">IFERROR(IF(ISNUMBER(SEARCH("$",O258)),VALUE(SUBSTITUTE(SUBSTITUTE(MID(O258,FIND("$",O258)+1,FIND(")",O258)-FIND("$",O258)-1),",","")," ","")),VALUE(SUBSTITUTE(SUBSTITUTE(MID(O258,FIND("(",O258)+1,FIND(")",O258)-FIND("(",O258)-1),",","")," ",""))),0)</f>
        <v>15.82</v>
      </c>
      <c r="Q258" s="140"/>
      <c r="R258" s="144">
        <v>1</v>
      </c>
    </row>
    <row r="259" spans="1:18" ht="21.95" customHeight="1">
      <c r="A259" s="71" t="s">
        <v>380</v>
      </c>
      <c r="B259" s="69" t="s">
        <v>111</v>
      </c>
      <c r="C259" s="70">
        <v>46032</v>
      </c>
      <c r="D259" s="69" t="s">
        <v>4888</v>
      </c>
      <c r="E259" s="69"/>
      <c r="F259" s="65" t="s">
        <v>4890</v>
      </c>
      <c r="G259" s="65"/>
      <c r="H259" s="65" t="str">
        <f>IFERROR(INDEX('Docketed Comments'!C:C,MATCH(A259,'Docketed Comments'!H:H,0))&amp;", "&amp;INDEX('Docketed Comments'!B:B,MATCH(A259,'Docketed Comments'!H:H,0)),"")</f>
        <v>Moses, Findley</v>
      </c>
      <c r="I259" s="65" t="str">
        <f>IFERROR(INDEX('Docketed Comments'!D:D,MATCH(A259,'Docketed Comments'!H:H,0)),"")</f>
        <v>Goodyear</v>
      </c>
      <c r="J259" s="65" t="str">
        <f>IFERROR(INDEX('Docketed Comments'!I:I,MATCH(A259,'Docketed Comments'!H:H,0)),"")</f>
        <v>EPR-6w/E-12</v>
      </c>
      <c r="K259" s="65" t="str">
        <f t="shared" ref="K259:K322" si="9">IFERROR(IF(OR(LEFT(O259,2)="No",LEFT(O259,3)="Not"),"❌ Not on Best Plan",IF(OR(O259="Yes",O259="Y",O259="Yes "),"✅ On Best Plan","⚠ "&amp;O259)),"")</f>
        <v>⚠ Frozen Rate</v>
      </c>
      <c r="L259" s="65" t="str">
        <f>IFERROR(INDEX('Docketed Comments'!F:F,MATCH(A259,'Docketed Comments'!H:H,0)),"")</f>
        <v>Opposed</v>
      </c>
      <c r="M259" s="137" t="str">
        <f>IFERROR(HYPERLINK(INDEX('Docketed Comments'!G:G,MATCH(A259,'Docketed Comments'!H:H,0)),"📄 View Docket"),"")</f>
        <v>📄 View Docket</v>
      </c>
      <c r="N259" s="135">
        <f>IFERROR(INDEX('Docketed Comments'!N:N,MATCH(A259,'Docketed Comments'!H:H,0)),"")</f>
        <v>326.87</v>
      </c>
      <c r="O259" s="135" t="str">
        <f>IFERROR(INDEX('Docketed Comments'!L:L,MATCH(A259,'Docketed Comments'!H:H,0)),"")</f>
        <v>Frozen Rate</v>
      </c>
      <c r="P259" s="136">
        <f t="shared" si="8"/>
        <v>0</v>
      </c>
      <c r="Q259" s="140" t="s">
        <v>5809</v>
      </c>
      <c r="R259" s="144">
        <v>0</v>
      </c>
    </row>
    <row r="260" spans="1:18" ht="21.95" customHeight="1">
      <c r="A260" s="71" t="s">
        <v>430</v>
      </c>
      <c r="B260" s="69" t="s">
        <v>111</v>
      </c>
      <c r="C260" s="70">
        <v>45997</v>
      </c>
      <c r="D260" s="69" t="s">
        <v>4888</v>
      </c>
      <c r="E260" s="69"/>
      <c r="F260" s="65" t="s">
        <v>4890</v>
      </c>
      <c r="G260" s="65"/>
      <c r="H260" s="65" t="str">
        <f>IFERROR(INDEX('Docketed Comments'!C:C,MATCH(A260,'Docketed Comments'!H:H,0))&amp;", "&amp;INDEX('Docketed Comments'!B:B,MATCH(A260,'Docketed Comments'!H:H,0)),"")</f>
        <v>Brandon, Frazier</v>
      </c>
      <c r="I260" s="65" t="str">
        <f>IFERROR(INDEX('Docketed Comments'!D:D,MATCH(A260,'Docketed Comments'!H:H,0)),"")</f>
        <v>Goodyear</v>
      </c>
      <c r="J260" s="65" t="str">
        <f>IFERROR(INDEX('Docketed Comments'!I:I,MATCH(A260,'Docketed Comments'!H:H,0)),"")</f>
        <v>EPR-6w/ET-2</v>
      </c>
      <c r="K260" s="65" t="str">
        <f t="shared" si="9"/>
        <v>⚠ Frozen Rate</v>
      </c>
      <c r="L260" s="65" t="str">
        <f>IFERROR(INDEX('Docketed Comments'!F:F,MATCH(A260,'Docketed Comments'!H:H,0)),"")</f>
        <v>Opposed</v>
      </c>
      <c r="M260" s="137" t="str">
        <f>IFERROR(HYPERLINK(INDEX('Docketed Comments'!G:G,MATCH(A260,'Docketed Comments'!H:H,0)),"📄 View Docket"),"")</f>
        <v>📄 View Docket</v>
      </c>
      <c r="N260" s="135">
        <f>IFERROR(INDEX('Docketed Comments'!N:N,MATCH(A260,'Docketed Comments'!H:H,0)),"")</f>
        <v>179.9</v>
      </c>
      <c r="O260" s="135" t="str">
        <f>IFERROR(INDEX('Docketed Comments'!L:L,MATCH(A260,'Docketed Comments'!H:H,0)),"")</f>
        <v>Frozen Rate</v>
      </c>
      <c r="P260" s="136">
        <f t="shared" si="8"/>
        <v>0</v>
      </c>
      <c r="Q260" s="140" t="s">
        <v>5809</v>
      </c>
      <c r="R260" s="144">
        <v>0</v>
      </c>
    </row>
    <row r="261" spans="1:18" ht="21.95" customHeight="1">
      <c r="A261" s="71" t="s">
        <v>5090</v>
      </c>
      <c r="B261" s="69" t="s">
        <v>111</v>
      </c>
      <c r="C261" s="70">
        <v>46074</v>
      </c>
      <c r="D261" s="69" t="s">
        <v>4865</v>
      </c>
      <c r="E261" s="69" t="s">
        <v>4898</v>
      </c>
      <c r="F261" s="65" t="s">
        <v>5698</v>
      </c>
      <c r="G261" s="65"/>
      <c r="H261" s="65" t="str">
        <f>IFERROR(INDEX('Docketed Comments'!C:C,MATCH(A261,'Docketed Comments'!H:H,0))&amp;", "&amp;INDEX('Docketed Comments'!B:B,MATCH(A261,'Docketed Comments'!H:H,0)),"")</f>
        <v>Ashley, Petersen</v>
      </c>
      <c r="I261" s="65" t="str">
        <f>IFERROR(INDEX('Docketed Comments'!D:D,MATCH(A261,'Docketed Comments'!H:H,0)),"")</f>
        <v>Glendale</v>
      </c>
      <c r="J261" s="65" t="str">
        <f>IFERROR(INDEX('Docketed Comments'!I:I,MATCH(A261,'Docketed Comments'!H:H,0)),"")</f>
        <v>R-XS</v>
      </c>
      <c r="K261" s="65" t="str">
        <f t="shared" si="9"/>
        <v>✅ On Best Plan</v>
      </c>
      <c r="L261" s="65" t="str">
        <f>IFERROR(INDEX('Docketed Comments'!F:F,MATCH(A261,'Docketed Comments'!H:H,0)),"")</f>
        <v>Form letter</v>
      </c>
      <c r="M261" s="137" t="str">
        <f>IFERROR(HYPERLINK(INDEX('Docketed Comments'!G:G,MATCH(A261,'Docketed Comments'!H:H,0)),"📄 View Docket"),"")</f>
        <v>📄 View Docket</v>
      </c>
      <c r="N261" s="135">
        <f>IFERROR(INDEX('Docketed Comments'!N:N,MATCH(A261,'Docketed Comments'!H:H,0)),"")</f>
        <v>0</v>
      </c>
      <c r="O261" s="135" t="str">
        <f>IFERROR(INDEX('Docketed Comments'!L:L,MATCH(A261,'Docketed Comments'!H:H,0)),"")</f>
        <v>Yes</v>
      </c>
      <c r="P261" s="136">
        <f t="shared" si="8"/>
        <v>0</v>
      </c>
      <c r="Q261" s="140" t="s">
        <v>5809</v>
      </c>
      <c r="R261" s="144">
        <v>0</v>
      </c>
    </row>
    <row r="262" spans="1:18" ht="21.95" customHeight="1">
      <c r="A262" s="71" t="s">
        <v>647</v>
      </c>
      <c r="B262" s="69" t="s">
        <v>111</v>
      </c>
      <c r="C262" s="70">
        <v>46018</v>
      </c>
      <c r="D262" s="69" t="s">
        <v>4888</v>
      </c>
      <c r="E262" s="69"/>
      <c r="F262" s="65"/>
      <c r="G262" s="65"/>
      <c r="H262" s="65" t="str">
        <f>IFERROR(INDEX('Docketed Comments'!C:C,MATCH(A262,'Docketed Comments'!H:H,0))&amp;", "&amp;INDEX('Docketed Comments'!B:B,MATCH(A262,'Docketed Comments'!H:H,0)),"")</f>
        <v>Tanner, Hupka</v>
      </c>
      <c r="I262" s="65" t="str">
        <f>IFERROR(INDEX('Docketed Comments'!D:D,MATCH(A262,'Docketed Comments'!H:H,0)),"")</f>
        <v>Unknown</v>
      </c>
      <c r="J262" s="65" t="str">
        <f>IFERROR(INDEX('Docketed Comments'!I:I,MATCH(A262,'Docketed Comments'!H:H,0)),"")</f>
        <v>R-BASIC</v>
      </c>
      <c r="K262" s="65" t="str">
        <f t="shared" si="9"/>
        <v>✅ On Best Plan</v>
      </c>
      <c r="L262" s="65" t="str">
        <f>IFERROR(INDEX('Docketed Comments'!F:F,MATCH(A262,'Docketed Comments'!H:H,0)),"")</f>
        <v>Form letter</v>
      </c>
      <c r="M262" s="137" t="str">
        <f>IFERROR(HYPERLINK(INDEX('Docketed Comments'!G:G,MATCH(A262,'Docketed Comments'!H:H,0)),"📄 View Docket"),"")</f>
        <v>📄 View Docket</v>
      </c>
      <c r="N262" s="135">
        <f>IFERROR(INDEX('Docketed Comments'!N:N,MATCH(A262,'Docketed Comments'!H:H,0)),"")</f>
        <v>664.06</v>
      </c>
      <c r="O262" s="135" t="str">
        <f>IFERROR(INDEX('Docketed Comments'!L:L,MATCH(A262,'Docketed Comments'!H:H,0)),"")</f>
        <v>Yes</v>
      </c>
      <c r="P262" s="136">
        <f t="shared" si="8"/>
        <v>0</v>
      </c>
      <c r="Q262" s="140" t="s">
        <v>5809</v>
      </c>
      <c r="R262" s="144">
        <v>0</v>
      </c>
    </row>
    <row r="263" spans="1:18" ht="21.95" customHeight="1">
      <c r="A263" s="71" t="s">
        <v>1196</v>
      </c>
      <c r="B263" s="69" t="s">
        <v>111</v>
      </c>
      <c r="C263" s="70">
        <v>46039</v>
      </c>
      <c r="D263" s="69" t="s">
        <v>4888</v>
      </c>
      <c r="E263" s="69"/>
      <c r="F263" s="65"/>
      <c r="G263" s="65"/>
      <c r="H263" s="65" t="str">
        <f>IFERROR(INDEX('Docketed Comments'!C:C,MATCH(A263,'Docketed Comments'!H:H,0))&amp;", "&amp;INDEX('Docketed Comments'!B:B,MATCH(A263,'Docketed Comments'!H:H,0)),"")</f>
        <v>Kyle, Gregersen</v>
      </c>
      <c r="I263" s="65" t="str">
        <f>IFERROR(INDEX('Docketed Comments'!D:D,MATCH(A263,'Docketed Comments'!H:H,0)),"")</f>
        <v>Surprise</v>
      </c>
      <c r="J263" s="65" t="str">
        <f>IFERROR(INDEX('Docketed Comments'!I:I,MATCH(A263,'Docketed Comments'!H:H,0)),"")</f>
        <v>R-2</v>
      </c>
      <c r="K263" s="65" t="str">
        <f t="shared" si="9"/>
        <v>⚠ Frozen Rate</v>
      </c>
      <c r="L263" s="65" t="str">
        <f>IFERROR(INDEX('Docketed Comments'!F:F,MATCH(A263,'Docketed Comments'!H:H,0)),"")</f>
        <v>Opposed</v>
      </c>
      <c r="M263" s="137" t="str">
        <f>IFERROR(HYPERLINK(INDEX('Docketed Comments'!G:G,MATCH(A263,'Docketed Comments'!H:H,0)),"📄 View Docket"),"")</f>
        <v>📄 View Docket</v>
      </c>
      <c r="N263" s="135">
        <f>IFERROR(INDEX('Docketed Comments'!N:N,MATCH(A263,'Docketed Comments'!H:H,0)),"")</f>
        <v>1773.15</v>
      </c>
      <c r="O263" s="135" t="str">
        <f>IFERROR(INDEX('Docketed Comments'!L:L,MATCH(A263,'Docketed Comments'!H:H,0)),"")</f>
        <v>Frozen Rate</v>
      </c>
      <c r="P263" s="136">
        <f t="shared" si="8"/>
        <v>0</v>
      </c>
      <c r="Q263" s="140" t="s">
        <v>5809</v>
      </c>
      <c r="R263" s="144">
        <v>0</v>
      </c>
    </row>
    <row r="264" spans="1:18" ht="21.95" customHeight="1">
      <c r="A264" s="71" t="s">
        <v>1198</v>
      </c>
      <c r="B264" s="69" t="s">
        <v>111</v>
      </c>
      <c r="C264" s="70">
        <v>46039</v>
      </c>
      <c r="D264" s="69" t="s">
        <v>4888</v>
      </c>
      <c r="E264" s="69"/>
      <c r="F264" s="65"/>
      <c r="G264" s="65"/>
      <c r="H264" s="65" t="str">
        <f>IFERROR(INDEX('Docketed Comments'!C:C,MATCH(A264,'Docketed Comments'!H:H,0))&amp;", "&amp;INDEX('Docketed Comments'!B:B,MATCH(A264,'Docketed Comments'!H:H,0)),"")</f>
        <v>Elizabeth, Hileman</v>
      </c>
      <c r="I264" s="65" t="str">
        <f>IFERROR(INDEX('Docketed Comments'!D:D,MATCH(A264,'Docketed Comments'!H:H,0)),"")</f>
        <v>Goodyear</v>
      </c>
      <c r="J264" s="65" t="str">
        <f>IFERROR(INDEX('Docketed Comments'!I:I,MATCH(A264,'Docketed Comments'!H:H,0)),"")</f>
        <v>R-2</v>
      </c>
      <c r="K264" s="65" t="str">
        <f t="shared" si="9"/>
        <v>⚠ Frozen Rate</v>
      </c>
      <c r="L264" s="65" t="str">
        <f>IFERROR(INDEX('Docketed Comments'!F:F,MATCH(A264,'Docketed Comments'!H:H,0)),"")</f>
        <v>Opposed</v>
      </c>
      <c r="M264" s="137" t="str">
        <f>IFERROR(HYPERLINK(INDEX('Docketed Comments'!G:G,MATCH(A264,'Docketed Comments'!H:H,0)),"📄 View Docket"),"")</f>
        <v>📄 View Docket</v>
      </c>
      <c r="N264" s="135">
        <f>IFERROR(INDEX('Docketed Comments'!N:N,MATCH(A264,'Docketed Comments'!H:H,0)),"")</f>
        <v>3130.07</v>
      </c>
      <c r="O264" s="135" t="str">
        <f>IFERROR(INDEX('Docketed Comments'!L:L,MATCH(A264,'Docketed Comments'!H:H,0)),"")</f>
        <v>Frozen Rate</v>
      </c>
      <c r="P264" s="136">
        <f t="shared" si="8"/>
        <v>0</v>
      </c>
      <c r="Q264" s="140" t="s">
        <v>5809</v>
      </c>
      <c r="R264" s="144">
        <v>0</v>
      </c>
    </row>
    <row r="265" spans="1:18" ht="21.95" customHeight="1">
      <c r="A265" s="71" t="s">
        <v>1213</v>
      </c>
      <c r="B265" s="69" t="s">
        <v>111</v>
      </c>
      <c r="C265" s="70">
        <v>46039</v>
      </c>
      <c r="D265" s="69" t="s">
        <v>4865</v>
      </c>
      <c r="E265" s="69" t="s">
        <v>4897</v>
      </c>
      <c r="F265" s="65"/>
      <c r="G265" s="65"/>
      <c r="H265" s="65" t="str">
        <f>IFERROR(INDEX('Docketed Comments'!C:C,MATCH(A265,'Docketed Comments'!H:H,0))&amp;", "&amp;INDEX('Docketed Comments'!B:B,MATCH(A265,'Docketed Comments'!H:H,0)),"")</f>
        <v>Pamela, Taylor</v>
      </c>
      <c r="I265" s="65" t="str">
        <f>IFERROR(INDEX('Docketed Comments'!D:D,MATCH(A265,'Docketed Comments'!H:H,0)),"")</f>
        <v>Avondale</v>
      </c>
      <c r="J265" s="65" t="str">
        <f>IFERROR(INDEX('Docketed Comments'!I:I,MATCH(A265,'Docketed Comments'!H:H,0)),"")</f>
        <v>R3-47</v>
      </c>
      <c r="K265" s="65" t="str">
        <f t="shared" si="9"/>
        <v>✅ On Best Plan</v>
      </c>
      <c r="L265" s="65" t="str">
        <f>IFERROR(INDEX('Docketed Comments'!F:F,MATCH(A265,'Docketed Comments'!H:H,0)),"")</f>
        <v>Opposed</v>
      </c>
      <c r="M265" s="137" t="str">
        <f>IFERROR(HYPERLINK(INDEX('Docketed Comments'!G:G,MATCH(A265,'Docketed Comments'!H:H,0)),"📄 View Docket"),"")</f>
        <v>📄 View Docket</v>
      </c>
      <c r="N265" s="135">
        <f>IFERROR(INDEX('Docketed Comments'!N:N,MATCH(A265,'Docketed Comments'!H:H,0)),"")</f>
        <v>870.88</v>
      </c>
      <c r="O265" s="135" t="str">
        <f>IFERROR(INDEX('Docketed Comments'!L:L,MATCH(A265,'Docketed Comments'!H:H,0)),"")</f>
        <v>Yes</v>
      </c>
      <c r="P265" s="136">
        <f t="shared" si="8"/>
        <v>0</v>
      </c>
      <c r="Q265" s="140" t="s">
        <v>5809</v>
      </c>
      <c r="R265" s="144">
        <v>0</v>
      </c>
    </row>
    <row r="266" spans="1:18" ht="21.95" customHeight="1">
      <c r="A266" s="71" t="s">
        <v>5091</v>
      </c>
      <c r="B266" s="69" t="s">
        <v>111</v>
      </c>
      <c r="C266" s="70">
        <v>46053</v>
      </c>
      <c r="D266" s="69" t="s">
        <v>4865</v>
      </c>
      <c r="E266" s="69"/>
      <c r="F266" s="65" t="s">
        <v>5704</v>
      </c>
      <c r="G266" s="65"/>
      <c r="H266" s="65" t="str">
        <f>IFERROR(INDEX('Docketed Comments'!C:C,MATCH(A266,'Docketed Comments'!H:H,0))&amp;", "&amp;INDEX('Docketed Comments'!B:B,MATCH(A266,'Docketed Comments'!H:H,0)),"")</f>
        <v>Sean, Richey</v>
      </c>
      <c r="I266" s="65" t="str">
        <f>IFERROR(INDEX('Docketed Comments'!D:D,MATCH(A266,'Docketed Comments'!H:H,0)),"")</f>
        <v>Phoenix</v>
      </c>
      <c r="J266" s="65" t="str">
        <f>IFERROR(INDEX('Docketed Comments'!I:I,MATCH(A266,'Docketed Comments'!H:H,0)),"")</f>
        <v>R3-47</v>
      </c>
      <c r="K266" s="65" t="str">
        <f t="shared" si="9"/>
        <v>✅ On Best Plan</v>
      </c>
      <c r="L266" s="65" t="str">
        <f>IFERROR(INDEX('Docketed Comments'!F:F,MATCH(A266,'Docketed Comments'!H:H,0)),"")</f>
        <v>Getting ridiculous</v>
      </c>
      <c r="M266" s="137" t="str">
        <f>IFERROR(HYPERLINK(INDEX('Docketed Comments'!G:G,MATCH(A266,'Docketed Comments'!H:H,0)),"📄 View Docket"),"")</f>
        <v>📄 View Docket</v>
      </c>
      <c r="N266" s="135">
        <f>IFERROR(INDEX('Docketed Comments'!N:N,MATCH(A266,'Docketed Comments'!H:H,0)),"")</f>
        <v>414.43</v>
      </c>
      <c r="O266" s="135" t="str">
        <f>IFERROR(INDEX('Docketed Comments'!L:L,MATCH(A266,'Docketed Comments'!H:H,0)),"")</f>
        <v>Yes</v>
      </c>
      <c r="P266" s="136">
        <f t="shared" si="8"/>
        <v>0</v>
      </c>
      <c r="Q266" s="140" t="s">
        <v>5809</v>
      </c>
      <c r="R266" s="144">
        <v>0</v>
      </c>
    </row>
    <row r="267" spans="1:18" ht="21.95" customHeight="1">
      <c r="A267" s="71" t="s">
        <v>5092</v>
      </c>
      <c r="B267" s="69" t="s">
        <v>111</v>
      </c>
      <c r="C267" s="70">
        <v>45997</v>
      </c>
      <c r="D267" s="69" t="s">
        <v>4888</v>
      </c>
      <c r="E267" s="69"/>
      <c r="F267" s="65" t="s">
        <v>4890</v>
      </c>
      <c r="G267" s="65"/>
      <c r="H267" s="65" t="str">
        <f>IFERROR(INDEX('Docketed Comments'!C:C,MATCH(A267,'Docketed Comments'!H:H,0))&amp;", "&amp;INDEX('Docketed Comments'!B:B,MATCH(A267,'Docketed Comments'!H:H,0)),"")</f>
        <v>Lani, Syring</v>
      </c>
      <c r="I267" s="65" t="str">
        <f>IFERROR(INDEX('Docketed Comments'!D:D,MATCH(A267,'Docketed Comments'!H:H,0)),"")</f>
        <v>Surprise</v>
      </c>
      <c r="J267" s="65" t="str">
        <f>IFERROR(INDEX('Docketed Comments'!I:I,MATCH(A267,'Docketed Comments'!H:H,0)),"")</f>
        <v>RTOUE47</v>
      </c>
      <c r="K267" s="65" t="str">
        <f t="shared" si="9"/>
        <v>✅ On Best Plan</v>
      </c>
      <c r="L267" s="65" t="str">
        <f>IFERROR(INDEX('Docketed Comments'!F:F,MATCH(A267,'Docketed Comments'!H:H,0)),"")</f>
        <v>Form letter</v>
      </c>
      <c r="M267" s="137" t="str">
        <f>IFERROR(HYPERLINK(INDEX('Docketed Comments'!G:G,MATCH(A267,'Docketed Comments'!H:H,0)),"📄 View Docket"),"")</f>
        <v>📄 View Docket</v>
      </c>
      <c r="N267" s="135">
        <f>IFERROR(INDEX('Docketed Comments'!N:N,MATCH(A267,'Docketed Comments'!H:H,0)),"")</f>
        <v>436.03</v>
      </c>
      <c r="O267" s="135" t="str">
        <f>IFERROR(INDEX('Docketed Comments'!L:L,MATCH(A267,'Docketed Comments'!H:H,0)),"")</f>
        <v>Yes</v>
      </c>
      <c r="P267" s="136">
        <f t="shared" si="8"/>
        <v>0</v>
      </c>
      <c r="Q267" s="140" t="s">
        <v>5809</v>
      </c>
      <c r="R267" s="144">
        <v>0</v>
      </c>
    </row>
    <row r="268" spans="1:18" ht="21.95" customHeight="1">
      <c r="A268" s="71" t="s">
        <v>5093</v>
      </c>
      <c r="B268" s="69" t="s">
        <v>4887</v>
      </c>
      <c r="C268" s="70">
        <v>46053</v>
      </c>
      <c r="D268" s="69" t="s">
        <v>4888</v>
      </c>
      <c r="E268" s="69"/>
      <c r="F268" s="65" t="s">
        <v>5701</v>
      </c>
      <c r="G268" s="65"/>
      <c r="H268" s="65" t="str">
        <f>IFERROR(INDEX('Docketed Comments'!C:C,MATCH(A268,'Docketed Comments'!H:H,0))&amp;", "&amp;INDEX('Docketed Comments'!B:B,MATCH(A268,'Docketed Comments'!H:H,0)),"")</f>
        <v>Fatima, Scott</v>
      </c>
      <c r="I268" s="65" t="str">
        <f>IFERROR(INDEX('Docketed Comments'!D:D,MATCH(A268,'Docketed Comments'!H:H,0)),"")</f>
        <v>Phoenix</v>
      </c>
      <c r="J268" s="65" t="str">
        <f>IFERROR(INDEX('Docketed Comments'!I:I,MATCH(A268,'Docketed Comments'!H:H,0)),"")</f>
        <v>R-BASIC</v>
      </c>
      <c r="K268" s="65" t="str">
        <f t="shared" si="9"/>
        <v>✅ On Best Plan</v>
      </c>
      <c r="L268" s="65" t="str">
        <f>IFERROR(INDEX('Docketed Comments'!F:F,MATCH(A268,'Docketed Comments'!H:H,0)),"")</f>
        <v>Strongly opposed</v>
      </c>
      <c r="M268" s="137" t="str">
        <f>IFERROR(HYPERLINK(INDEX('Docketed Comments'!G:G,MATCH(A268,'Docketed Comments'!H:H,0)),"📄 View Docket"),"")</f>
        <v>📄 View Docket</v>
      </c>
      <c r="N268" s="135">
        <f>IFERROR(INDEX('Docketed Comments'!N:N,MATCH(A268,'Docketed Comments'!H:H,0)),"")</f>
        <v>349.29</v>
      </c>
      <c r="O268" s="135" t="str">
        <f>IFERROR(INDEX('Docketed Comments'!L:L,MATCH(A268,'Docketed Comments'!H:H,0)),"")</f>
        <v>Yes</v>
      </c>
      <c r="P268" s="136">
        <f t="shared" si="8"/>
        <v>0</v>
      </c>
      <c r="Q268" s="140" t="s">
        <v>5809</v>
      </c>
      <c r="R268" s="144">
        <v>0</v>
      </c>
    </row>
    <row r="269" spans="1:18" ht="21.95" customHeight="1">
      <c r="A269" s="71" t="s">
        <v>5094</v>
      </c>
      <c r="B269" s="69" t="s">
        <v>4887</v>
      </c>
      <c r="C269" s="70">
        <v>46046</v>
      </c>
      <c r="D269" s="69" t="s">
        <v>4888</v>
      </c>
      <c r="E269" s="69"/>
      <c r="F269" s="65" t="s">
        <v>5701</v>
      </c>
      <c r="G269" s="65"/>
      <c r="H269" s="65" t="str">
        <f>IFERROR(INDEX('Docketed Comments'!C:C,MATCH(A269,'Docketed Comments'!H:H,0))&amp;", "&amp;INDEX('Docketed Comments'!B:B,MATCH(A269,'Docketed Comments'!H:H,0)),"")</f>
        <v>Dani , Herrin</v>
      </c>
      <c r="I269" s="65" t="str">
        <f>IFERROR(INDEX('Docketed Comments'!D:D,MATCH(A269,'Docketed Comments'!H:H,0)),"")</f>
        <v>Tempe</v>
      </c>
      <c r="J269" s="65" t="str">
        <f>IFERROR(INDEX('Docketed Comments'!I:I,MATCH(A269,'Docketed Comments'!H:H,0)),"")</f>
        <v>RTOUE47</v>
      </c>
      <c r="K269" s="65" t="str">
        <f t="shared" si="9"/>
        <v>✅ On Best Plan</v>
      </c>
      <c r="L269" s="65" t="str">
        <f>IFERROR(INDEX('Docketed Comments'!F:F,MATCH(A269,'Docketed Comments'!H:H,0)),"")</f>
        <v>Form letter</v>
      </c>
      <c r="M269" s="137" t="str">
        <f>IFERROR(HYPERLINK(INDEX('Docketed Comments'!G:G,MATCH(A269,'Docketed Comments'!H:H,0)),"📄 View Docket"),"")</f>
        <v>📄 View Docket</v>
      </c>
      <c r="N269" s="135">
        <f>IFERROR(INDEX('Docketed Comments'!N:N,MATCH(A269,'Docketed Comments'!H:H,0)),"")</f>
        <v>422.52</v>
      </c>
      <c r="O269" s="135" t="str">
        <f>IFERROR(INDEX('Docketed Comments'!L:L,MATCH(A269,'Docketed Comments'!H:H,0)),"")</f>
        <v>Yes</v>
      </c>
      <c r="P269" s="136">
        <f t="shared" si="8"/>
        <v>0</v>
      </c>
      <c r="Q269" s="140" t="s">
        <v>5809</v>
      </c>
      <c r="R269" s="144">
        <v>0</v>
      </c>
    </row>
    <row r="270" spans="1:18" ht="21.95" customHeight="1">
      <c r="A270" s="71" t="s">
        <v>5095</v>
      </c>
      <c r="B270" s="69" t="s">
        <v>4887</v>
      </c>
      <c r="C270" s="70">
        <v>46046</v>
      </c>
      <c r="D270" s="69" t="s">
        <v>4865</v>
      </c>
      <c r="E270" s="69" t="s">
        <v>4898</v>
      </c>
      <c r="F270" s="65"/>
      <c r="G270" s="65"/>
      <c r="H270" s="65" t="str">
        <f>IFERROR(INDEX('Docketed Comments'!C:C,MATCH(A270,'Docketed Comments'!H:H,0))&amp;", "&amp;INDEX('Docketed Comments'!B:B,MATCH(A270,'Docketed Comments'!H:H,0)),"")</f>
        <v>Paul, Jaeger</v>
      </c>
      <c r="I270" s="65" t="str">
        <f>IFERROR(INDEX('Docketed Comments'!D:D,MATCH(A270,'Docketed Comments'!H:H,0)),"")</f>
        <v>Yuma</v>
      </c>
      <c r="J270" s="65" t="str">
        <f>IFERROR(INDEX('Docketed Comments'!I:I,MATCH(A270,'Docketed Comments'!H:H,0)),"")</f>
        <v>RCPw/RTOUE47</v>
      </c>
      <c r="K270" s="65" t="str">
        <f t="shared" si="9"/>
        <v>✅ On Best Plan</v>
      </c>
      <c r="L270" s="65" t="str">
        <f>IFERROR(INDEX('Docketed Comments'!F:F,MATCH(A270,'Docketed Comments'!H:H,0)),"")</f>
        <v>Opposed</v>
      </c>
      <c r="M270" s="137" t="str">
        <f>IFERROR(HYPERLINK(INDEX('Docketed Comments'!G:G,MATCH(A270,'Docketed Comments'!H:H,0)),"📄 View Docket"),"")</f>
        <v>📄 View Docket</v>
      </c>
      <c r="N270" s="135">
        <f>IFERROR(INDEX('Docketed Comments'!N:N,MATCH(A270,'Docketed Comments'!H:H,0)),"")</f>
        <v>122.88</v>
      </c>
      <c r="O270" s="135" t="str">
        <f>IFERROR(INDEX('Docketed Comments'!L:L,MATCH(A270,'Docketed Comments'!H:H,0)),"")</f>
        <v>Yes</v>
      </c>
      <c r="P270" s="136">
        <f t="shared" si="8"/>
        <v>0</v>
      </c>
      <c r="Q270" s="140" t="s">
        <v>5809</v>
      </c>
      <c r="R270" s="144">
        <v>0</v>
      </c>
    </row>
    <row r="271" spans="1:18" ht="21.95" customHeight="1">
      <c r="A271" s="71" t="s">
        <v>5096</v>
      </c>
      <c r="B271" s="69" t="s">
        <v>4887</v>
      </c>
      <c r="C271" s="70">
        <v>46039</v>
      </c>
      <c r="D271" s="69" t="s">
        <v>4888</v>
      </c>
      <c r="E271" s="69"/>
      <c r="F271" s="65"/>
      <c r="G271" s="65"/>
      <c r="H271" s="65" t="str">
        <f>IFERROR(INDEX('Docketed Comments'!C:C,MATCH(A271,'Docketed Comments'!H:H,0))&amp;", "&amp;INDEX('Docketed Comments'!B:B,MATCH(A271,'Docketed Comments'!H:H,0)),"")</f>
        <v>Evelin, Martinez</v>
      </c>
      <c r="I271" s="65" t="str">
        <f>IFERROR(INDEX('Docketed Comments'!D:D,MATCH(A271,'Docketed Comments'!H:H,0)),"")</f>
        <v>Somerton</v>
      </c>
      <c r="J271" s="65" t="str">
        <f>IFERROR(INDEX('Docketed Comments'!I:I,MATCH(A271,'Docketed Comments'!H:H,0)),"")</f>
        <v>R3-47</v>
      </c>
      <c r="K271" s="65" t="str">
        <f t="shared" si="9"/>
        <v>✅ On Best Plan</v>
      </c>
      <c r="L271" s="65" t="str">
        <f>IFERROR(INDEX('Docketed Comments'!F:F,MATCH(A271,'Docketed Comments'!H:H,0)),"")</f>
        <v>Unaffordable and unfair</v>
      </c>
      <c r="M271" s="137" t="str">
        <f>IFERROR(HYPERLINK(INDEX('Docketed Comments'!G:G,MATCH(A271,'Docketed Comments'!H:H,0)),"📄 View Docket"),"")</f>
        <v>📄 View Docket</v>
      </c>
      <c r="N271" s="135">
        <f>IFERROR(INDEX('Docketed Comments'!N:N,MATCH(A271,'Docketed Comments'!H:H,0)),"")</f>
        <v>1530.91</v>
      </c>
      <c r="O271" s="135" t="str">
        <f>IFERROR(INDEX('Docketed Comments'!L:L,MATCH(A271,'Docketed Comments'!H:H,0)),"")</f>
        <v>Yes</v>
      </c>
      <c r="P271" s="136">
        <f t="shared" si="8"/>
        <v>0</v>
      </c>
      <c r="Q271" s="140" t="s">
        <v>5809</v>
      </c>
      <c r="R271" s="144">
        <v>0</v>
      </c>
    </row>
    <row r="272" spans="1:18" ht="21.95" customHeight="1">
      <c r="A272" s="71" t="s">
        <v>5097</v>
      </c>
      <c r="B272" s="69" t="s">
        <v>4887</v>
      </c>
      <c r="C272" s="70">
        <v>46025</v>
      </c>
      <c r="D272" s="69" t="s">
        <v>4865</v>
      </c>
      <c r="E272" s="69"/>
      <c r="F272" s="65" t="s">
        <v>5726</v>
      </c>
      <c r="G272" s="65"/>
      <c r="H272" s="65" t="str">
        <f>IFERROR(INDEX('Docketed Comments'!C:C,MATCH(A272,'Docketed Comments'!H:H,0))&amp;", "&amp;INDEX('Docketed Comments'!B:B,MATCH(A272,'Docketed Comments'!H:H,0)),"")</f>
        <v>Cecilia, Carroll</v>
      </c>
      <c r="I272" s="65" t="str">
        <f>IFERROR(INDEX('Docketed Comments'!D:D,MATCH(A272,'Docketed Comments'!H:H,0)),"")</f>
        <v>Waddell</v>
      </c>
      <c r="J272" s="65" t="str">
        <f>IFERROR(INDEX('Docketed Comments'!I:I,MATCH(A272,'Docketed Comments'!H:H,0)),"")</f>
        <v>R3-47</v>
      </c>
      <c r="K272" s="65" t="str">
        <f t="shared" si="9"/>
        <v>✅ On Best Plan</v>
      </c>
      <c r="L272" s="65" t="str">
        <f>IFERROR(INDEX('Docketed Comments'!F:F,MATCH(A272,'Docketed Comments'!H:H,0)),"")</f>
        <v>Can't afford higher bills</v>
      </c>
      <c r="M272" s="137" t="str">
        <f>IFERROR(HYPERLINK(INDEX('Docketed Comments'!G:G,MATCH(A272,'Docketed Comments'!H:H,0)),"📄 View Docket"),"")</f>
        <v>📄 View Docket</v>
      </c>
      <c r="N272" s="135">
        <f>IFERROR(INDEX('Docketed Comments'!N:N,MATCH(A272,'Docketed Comments'!H:H,0)),"")</f>
        <v>189.57</v>
      </c>
      <c r="O272" s="135" t="str">
        <f>IFERROR(INDEX('Docketed Comments'!L:L,MATCH(A272,'Docketed Comments'!H:H,0)),"")</f>
        <v>Yes</v>
      </c>
      <c r="P272" s="136">
        <f t="shared" si="8"/>
        <v>0</v>
      </c>
      <c r="Q272" s="140" t="s">
        <v>5809</v>
      </c>
      <c r="R272" s="144">
        <v>0</v>
      </c>
    </row>
    <row r="273" spans="1:18" ht="21.95" customHeight="1">
      <c r="A273" s="71" t="s">
        <v>2357</v>
      </c>
      <c r="B273" s="69" t="s">
        <v>4887</v>
      </c>
      <c r="C273" s="70">
        <v>46025</v>
      </c>
      <c r="D273" s="69" t="s">
        <v>4888</v>
      </c>
      <c r="E273" s="69"/>
      <c r="F273" s="65" t="s">
        <v>4938</v>
      </c>
      <c r="G273" s="65"/>
      <c r="H273" s="65" t="str">
        <f>IFERROR(INDEX('Docketed Comments'!C:C,MATCH(A273,'Docketed Comments'!H:H,0))&amp;", "&amp;INDEX('Docketed Comments'!B:B,MATCH(A273,'Docketed Comments'!H:H,0)),"")</f>
        <v>Lisa, Bernhardt</v>
      </c>
      <c r="I273" s="65" t="str">
        <f>IFERROR(INDEX('Docketed Comments'!D:D,MATCH(A273,'Docketed Comments'!H:H,0)),"")</f>
        <v>Phoenix</v>
      </c>
      <c r="J273" s="65" t="str">
        <f>IFERROR(INDEX('Docketed Comments'!I:I,MATCH(A273,'Docketed Comments'!H:H,0)),"")</f>
        <v>RCPw/RTOUE47</v>
      </c>
      <c r="K273" s="65" t="str">
        <f t="shared" si="9"/>
        <v>✅ On Best Plan</v>
      </c>
      <c r="L273" s="65" t="str">
        <f>IFERROR(INDEX('Docketed Comments'!F:F,MATCH(A273,'Docketed Comments'!H:H,0)),"")</f>
        <v>Opposed</v>
      </c>
      <c r="M273" s="137" t="str">
        <f>IFERROR(HYPERLINK(INDEX('Docketed Comments'!G:G,MATCH(A273,'Docketed Comments'!H:H,0)),"📄 View Docket"),"")</f>
        <v>📄 View Docket</v>
      </c>
      <c r="N273" s="135">
        <f>IFERROR(INDEX('Docketed Comments'!N:N,MATCH(A273,'Docketed Comments'!H:H,0)),"")</f>
        <v>1068.19</v>
      </c>
      <c r="O273" s="135" t="str">
        <f>IFERROR(INDEX('Docketed Comments'!L:L,MATCH(A273,'Docketed Comments'!H:H,0)),"")</f>
        <v>Y</v>
      </c>
      <c r="P273" s="136">
        <f t="shared" si="8"/>
        <v>0</v>
      </c>
      <c r="Q273" s="140" t="s">
        <v>5809</v>
      </c>
      <c r="R273" s="144">
        <v>0</v>
      </c>
    </row>
    <row r="274" spans="1:18" ht="21.95" customHeight="1">
      <c r="A274" s="71" t="s">
        <v>2375</v>
      </c>
      <c r="B274" s="69" t="s">
        <v>4887</v>
      </c>
      <c r="C274" s="70">
        <v>46025</v>
      </c>
      <c r="D274" s="69" t="s">
        <v>4888</v>
      </c>
      <c r="E274" s="69"/>
      <c r="F274" s="65" t="s">
        <v>4938</v>
      </c>
      <c r="G274" s="65"/>
      <c r="H274" s="65" t="str">
        <f>IFERROR(INDEX('Docketed Comments'!C:C,MATCH(A274,'Docketed Comments'!H:H,0))&amp;", "&amp;INDEX('Docketed Comments'!B:B,MATCH(A274,'Docketed Comments'!H:H,0)),"")</f>
        <v>Danielle, Coschigano</v>
      </c>
      <c r="I274" s="65" t="str">
        <f>IFERROR(INDEX('Docketed Comments'!D:D,MATCH(A274,'Docketed Comments'!H:H,0)),"")</f>
        <v>New River</v>
      </c>
      <c r="J274" s="65" t="str">
        <f>IFERROR(INDEX('Docketed Comments'!I:I,MATCH(A274,'Docketed Comments'!H:H,0)),"")</f>
        <v>RCPw/R3-47</v>
      </c>
      <c r="K274" s="65" t="str">
        <f t="shared" si="9"/>
        <v>✅ On Best Plan</v>
      </c>
      <c r="L274" s="65" t="str">
        <f>IFERROR(INDEX('Docketed Comments'!F:F,MATCH(A274,'Docketed Comments'!H:H,0)),"")</f>
        <v>Form letter</v>
      </c>
      <c r="M274" s="137" t="str">
        <f>IFERROR(HYPERLINK(INDEX('Docketed Comments'!G:G,MATCH(A274,'Docketed Comments'!H:H,0)),"📄 View Docket"),"")</f>
        <v>📄 View Docket</v>
      </c>
      <c r="N274" s="135">
        <f>IFERROR(INDEX('Docketed Comments'!N:N,MATCH(A274,'Docketed Comments'!H:H,0)),"")</f>
        <v>548.12</v>
      </c>
      <c r="O274" s="135" t="str">
        <f>IFERROR(INDEX('Docketed Comments'!L:L,MATCH(A274,'Docketed Comments'!H:H,0)),"")</f>
        <v>Y</v>
      </c>
      <c r="P274" s="136">
        <f t="shared" si="8"/>
        <v>0</v>
      </c>
      <c r="Q274" s="140" t="s">
        <v>5809</v>
      </c>
      <c r="R274" s="144">
        <v>0</v>
      </c>
    </row>
    <row r="275" spans="1:18" ht="21.95" customHeight="1">
      <c r="A275" s="71" t="s">
        <v>5098</v>
      </c>
      <c r="B275" s="69" t="s">
        <v>4887</v>
      </c>
      <c r="C275" s="70">
        <v>45997</v>
      </c>
      <c r="D275" s="69" t="s">
        <v>4888</v>
      </c>
      <c r="E275" s="69"/>
      <c r="F275" s="65" t="s">
        <v>5740</v>
      </c>
      <c r="G275" s="65"/>
      <c r="H275" s="65" t="str">
        <f>IFERROR(INDEX('Docketed Comments'!C:C,MATCH(A275,'Docketed Comments'!H:H,0))&amp;", "&amp;INDEX('Docketed Comments'!B:B,MATCH(A275,'Docketed Comments'!H:H,0)),"")</f>
        <v>Thomas, Hendricks</v>
      </c>
      <c r="I275" s="65" t="str">
        <f>IFERROR(INDEX('Docketed Comments'!D:D,MATCH(A275,'Docketed Comments'!H:H,0)),"")</f>
        <v>Joseph City</v>
      </c>
      <c r="J275" s="65" t="str">
        <f>IFERROR(INDEX('Docketed Comments'!I:I,MATCH(A275,'Docketed Comments'!H:H,0)),"")</f>
        <v>RCPw/RTOUE47</v>
      </c>
      <c r="K275" s="65" t="str">
        <f t="shared" si="9"/>
        <v>✅ On Best Plan</v>
      </c>
      <c r="L275" s="65" t="str">
        <f>IFERROR(INDEX('Docketed Comments'!F:F,MATCH(A275,'Docketed Comments'!H:H,0)),"")</f>
        <v>Opposed-Why am I forced to APS and not someone else?</v>
      </c>
      <c r="M275" s="137" t="str">
        <f>IFERROR(HYPERLINK(INDEX('Docketed Comments'!G:G,MATCH(A275,'Docketed Comments'!H:H,0)),"📄 View Docket"),"")</f>
        <v>📄 View Docket</v>
      </c>
      <c r="N275" s="135">
        <f>IFERROR(INDEX('Docketed Comments'!N:N,MATCH(A275,'Docketed Comments'!H:H,0)),"")</f>
        <v>361.43</v>
      </c>
      <c r="O275" s="135" t="str">
        <f>IFERROR(INDEX('Docketed Comments'!L:L,MATCH(A275,'Docketed Comments'!H:H,0)),"")</f>
        <v>Yes</v>
      </c>
      <c r="P275" s="136">
        <f t="shared" si="8"/>
        <v>0</v>
      </c>
      <c r="Q275" s="140" t="s">
        <v>5809</v>
      </c>
      <c r="R275" s="144">
        <v>0</v>
      </c>
    </row>
    <row r="276" spans="1:18" ht="21.95" customHeight="1">
      <c r="A276" s="71" t="s">
        <v>5099</v>
      </c>
      <c r="B276" s="69" t="s">
        <v>4887</v>
      </c>
      <c r="C276" s="70">
        <v>46081</v>
      </c>
      <c r="D276" s="69" t="s">
        <v>4888</v>
      </c>
      <c r="E276" s="69"/>
      <c r="F276" s="65" t="s">
        <v>4938</v>
      </c>
      <c r="G276" s="65"/>
      <c r="H276" s="65" t="str">
        <f>IFERROR(INDEX('Docketed Comments'!C:C,MATCH(A276,'Docketed Comments'!H:H,0))&amp;", "&amp;INDEX('Docketed Comments'!B:B,MATCH(A276,'Docketed Comments'!H:H,0)),"")</f>
        <v>Eli, Rodriguez</v>
      </c>
      <c r="I276" s="65" t="str">
        <f>IFERROR(INDEX('Docketed Comments'!D:D,MATCH(A276,'Docketed Comments'!H:H,0)),"")</f>
        <v>Phoenix</v>
      </c>
      <c r="J276" s="65" t="str">
        <f>IFERROR(INDEX('Docketed Comments'!I:I,MATCH(A276,'Docketed Comments'!H:H,0)),"")</f>
        <v>R3-47</v>
      </c>
      <c r="K276" s="65" t="str">
        <f t="shared" si="9"/>
        <v>✅ On Best Plan</v>
      </c>
      <c r="L276" s="65" t="str">
        <f>IFERROR(INDEX('Docketed Comments'!F:F,MATCH(A276,'Docketed Comments'!H:H,0)),"")</f>
        <v>Opposed- Going to contact Attorney Gen. to allow SRP serv</v>
      </c>
      <c r="M276" s="137" t="str">
        <f>IFERROR(HYPERLINK(INDEX('Docketed Comments'!G:G,MATCH(A276,'Docketed Comments'!H:H,0)),"📄 View Docket"),"")</f>
        <v>📄 View Docket</v>
      </c>
      <c r="N276" s="135">
        <f>IFERROR(INDEX('Docketed Comments'!N:N,MATCH(A276,'Docketed Comments'!H:H,0)),"")</f>
        <v>0</v>
      </c>
      <c r="O276" s="135" t="str">
        <f>IFERROR(INDEX('Docketed Comments'!L:L,MATCH(A276,'Docketed Comments'!H:H,0)),"")</f>
        <v>Yes</v>
      </c>
      <c r="P276" s="136">
        <f t="shared" si="8"/>
        <v>0</v>
      </c>
      <c r="Q276" s="140" t="s">
        <v>5809</v>
      </c>
      <c r="R276" s="144">
        <v>0</v>
      </c>
    </row>
    <row r="277" spans="1:18" ht="21.95" customHeight="1">
      <c r="A277" s="71" t="s">
        <v>2667</v>
      </c>
      <c r="B277" s="69" t="s">
        <v>4887</v>
      </c>
      <c r="C277" s="70">
        <v>46060</v>
      </c>
      <c r="D277" s="69" t="s">
        <v>4888</v>
      </c>
      <c r="E277" s="69"/>
      <c r="F277" s="65" t="s">
        <v>5761</v>
      </c>
      <c r="G277" s="65"/>
      <c r="H277" s="65" t="str">
        <f>IFERROR(INDEX('Docketed Comments'!C:C,MATCH(A277,'Docketed Comments'!H:H,0))&amp;", "&amp;INDEX('Docketed Comments'!B:B,MATCH(A277,'Docketed Comments'!H:H,0)),"")</f>
        <v>Justin, Dagerman</v>
      </c>
      <c r="I277" s="65" t="str">
        <f>IFERROR(INDEX('Docketed Comments'!D:D,MATCH(A277,'Docketed Comments'!H:H,0)),"")</f>
        <v>Phoenix</v>
      </c>
      <c r="J277" s="65" t="str">
        <f>IFERROR(INDEX('Docketed Comments'!I:I,MATCH(A277,'Docketed Comments'!H:H,0)),"")</f>
        <v>EPR-6w/E-12</v>
      </c>
      <c r="K277" s="65" t="str">
        <f t="shared" si="9"/>
        <v>⚠ Frozen Rate</v>
      </c>
      <c r="L277" s="65" t="str">
        <f>IFERROR(INDEX('Docketed Comments'!F:F,MATCH(A277,'Docketed Comments'!H:H,0)),"")</f>
        <v>Opposed-Energy is a necessity not luxury</v>
      </c>
      <c r="M277" s="137" t="str">
        <f>IFERROR(HYPERLINK(INDEX('Docketed Comments'!G:G,MATCH(A277,'Docketed Comments'!H:H,0)),"📄 View Docket"),"")</f>
        <v>📄 View Docket</v>
      </c>
      <c r="N277" s="135">
        <f>IFERROR(INDEX('Docketed Comments'!N:N,MATCH(A277,'Docketed Comments'!H:H,0)),"")</f>
        <v>719.22</v>
      </c>
      <c r="O277" s="135" t="str">
        <f>IFERROR(INDEX('Docketed Comments'!L:L,MATCH(A277,'Docketed Comments'!H:H,0)),"")</f>
        <v>Frozen Rate</v>
      </c>
      <c r="P277" s="136">
        <f t="shared" si="8"/>
        <v>0</v>
      </c>
      <c r="Q277" s="140" t="s">
        <v>5809</v>
      </c>
      <c r="R277" s="144">
        <v>0</v>
      </c>
    </row>
    <row r="278" spans="1:18" ht="21.95" customHeight="1">
      <c r="A278" s="71" t="s">
        <v>2724</v>
      </c>
      <c r="B278" s="69" t="s">
        <v>4887</v>
      </c>
      <c r="C278" s="70">
        <v>45997</v>
      </c>
      <c r="D278" s="69"/>
      <c r="E278" s="69"/>
      <c r="F278" s="65" t="s">
        <v>5744</v>
      </c>
      <c r="G278" s="65"/>
      <c r="H278" s="65" t="str">
        <f>IFERROR(INDEX('Docketed Comments'!C:C,MATCH(A278,'Docketed Comments'!H:H,0))&amp;", "&amp;INDEX('Docketed Comments'!B:B,MATCH(A278,'Docketed Comments'!H:H,0)),"")</f>
        <v>Brittney, Phay</v>
      </c>
      <c r="I278" s="65" t="str">
        <f>IFERROR(INDEX('Docketed Comments'!D:D,MATCH(A278,'Docketed Comments'!H:H,0)),"")</f>
        <v>Goodyear</v>
      </c>
      <c r="J278" s="65" t="str">
        <f>IFERROR(INDEX('Docketed Comments'!I:I,MATCH(A278,'Docketed Comments'!H:H,0)),"")</f>
        <v>R3-47</v>
      </c>
      <c r="K278" s="65" t="str">
        <f t="shared" si="9"/>
        <v>✅ On Best Plan</v>
      </c>
      <c r="L278" s="65" t="str">
        <f>IFERROR(INDEX('Docketed Comments'!F:F,MATCH(A278,'Docketed Comments'!H:H,0)),"")</f>
        <v>Opposed-protect rate payers and reject this</v>
      </c>
      <c r="M278" s="137" t="str">
        <f>IFERROR(HYPERLINK(INDEX('Docketed Comments'!G:G,MATCH(A278,'Docketed Comments'!H:H,0)),"📄 View Docket"),"")</f>
        <v>📄 View Docket</v>
      </c>
      <c r="N278" s="135">
        <f>IFERROR(INDEX('Docketed Comments'!N:N,MATCH(A278,'Docketed Comments'!H:H,0)),"")</f>
        <v>747.64</v>
      </c>
      <c r="O278" s="135" t="str">
        <f>IFERROR(INDEX('Docketed Comments'!L:L,MATCH(A278,'Docketed Comments'!H:H,0)),"")</f>
        <v>Yes</v>
      </c>
      <c r="P278" s="136">
        <f t="shared" si="8"/>
        <v>0</v>
      </c>
      <c r="Q278" s="140" t="s">
        <v>5809</v>
      </c>
      <c r="R278" s="144">
        <v>0</v>
      </c>
    </row>
    <row r="279" spans="1:18" ht="21.95" customHeight="1">
      <c r="A279" s="71" t="s">
        <v>2770</v>
      </c>
      <c r="B279" s="69" t="s">
        <v>4887</v>
      </c>
      <c r="C279" s="70">
        <v>46039</v>
      </c>
      <c r="D279" s="69" t="s">
        <v>4865</v>
      </c>
      <c r="E279" s="69" t="s">
        <v>4898</v>
      </c>
      <c r="F279" s="65" t="s">
        <v>5765</v>
      </c>
      <c r="G279" s="65"/>
      <c r="H279" s="65" t="str">
        <f>IFERROR(INDEX('Docketed Comments'!C:C,MATCH(A279,'Docketed Comments'!H:H,0))&amp;", "&amp;INDEX('Docketed Comments'!B:B,MATCH(A279,'Docketed Comments'!H:H,0)),"")</f>
        <v>Christopher, Peralta</v>
      </c>
      <c r="I279" s="65" t="str">
        <f>IFERROR(INDEX('Docketed Comments'!D:D,MATCH(A279,'Docketed Comments'!H:H,0)),"")</f>
        <v>Gilbert</v>
      </c>
      <c r="J279" s="65" t="str">
        <f>IFERROR(INDEX('Docketed Comments'!I:I,MATCH(A279,'Docketed Comments'!H:H,0)),"")</f>
        <v>R3-47</v>
      </c>
      <c r="K279" s="65" t="str">
        <f t="shared" si="9"/>
        <v>✅ On Best Plan</v>
      </c>
      <c r="L279" s="65" t="str">
        <f>IFERROR(INDEX('Docketed Comments'!F:F,MATCH(A279,'Docketed Comments'!H:H,0)),"")</f>
        <v>Opposed-We need full disclosure on spending</v>
      </c>
      <c r="M279" s="137" t="str">
        <f>IFERROR(HYPERLINK(INDEX('Docketed Comments'!G:G,MATCH(A279,'Docketed Comments'!H:H,0)),"📄 View Docket"),"")</f>
        <v>📄 View Docket</v>
      </c>
      <c r="N279" s="135">
        <f>IFERROR(INDEX('Docketed Comments'!N:N,MATCH(A279,'Docketed Comments'!H:H,0)),"")</f>
        <v>507.13</v>
      </c>
      <c r="O279" s="135" t="str">
        <f>IFERROR(INDEX('Docketed Comments'!L:L,MATCH(A279,'Docketed Comments'!H:H,0)),"")</f>
        <v>Y</v>
      </c>
      <c r="P279" s="136">
        <f t="shared" si="8"/>
        <v>0</v>
      </c>
      <c r="Q279" s="140" t="s">
        <v>5809</v>
      </c>
      <c r="R279" s="144">
        <v>0</v>
      </c>
    </row>
    <row r="280" spans="1:18" ht="21.95" customHeight="1">
      <c r="A280" s="71" t="s">
        <v>5100</v>
      </c>
      <c r="B280" s="69" t="s">
        <v>4887</v>
      </c>
      <c r="C280" s="70">
        <v>46039</v>
      </c>
      <c r="D280" s="69" t="s">
        <v>4865</v>
      </c>
      <c r="E280" s="69"/>
      <c r="F280" s="65" t="s">
        <v>5769</v>
      </c>
      <c r="G280" s="65"/>
      <c r="H280" s="65" t="str">
        <f>IFERROR(INDEX('Docketed Comments'!C:C,MATCH(A280,'Docketed Comments'!H:H,0))&amp;", "&amp;INDEX('Docketed Comments'!B:B,MATCH(A280,'Docketed Comments'!H:H,0)),"")</f>
        <v>Cheyenne, Rooen</v>
      </c>
      <c r="I280" s="65" t="str">
        <f>IFERROR(INDEX('Docketed Comments'!D:D,MATCH(A280,'Docketed Comments'!H:H,0)),"")</f>
        <v>Surprise</v>
      </c>
      <c r="J280" s="65" t="str">
        <f>IFERROR(INDEX('Docketed Comments'!I:I,MATCH(A280,'Docketed Comments'!H:H,0)),"")</f>
        <v>RCPw/R3-47</v>
      </c>
      <c r="K280" s="65" t="str">
        <f t="shared" si="9"/>
        <v>✅ On Best Plan</v>
      </c>
      <c r="L280" s="65" t="str">
        <f>IFERROR(INDEX('Docketed Comments'!F:F,MATCH(A280,'Docketed Comments'!H:H,0)),"")</f>
        <v>I cannot afford this</v>
      </c>
      <c r="M280" s="137" t="str">
        <f>IFERROR(HYPERLINK(INDEX('Docketed Comments'!G:G,MATCH(A280,'Docketed Comments'!H:H,0)),"📄 View Docket"),"")</f>
        <v>📄 View Docket</v>
      </c>
      <c r="N280" s="135">
        <f>IFERROR(INDEX('Docketed Comments'!N:N,MATCH(A280,'Docketed Comments'!H:H,0)),"")</f>
        <v>309.36</v>
      </c>
      <c r="O280" s="135" t="str">
        <f>IFERROR(INDEX('Docketed Comments'!L:L,MATCH(A280,'Docketed Comments'!H:H,0)),"")</f>
        <v>Yes</v>
      </c>
      <c r="P280" s="136">
        <f t="shared" si="8"/>
        <v>0</v>
      </c>
      <c r="Q280" s="140" t="s">
        <v>5809</v>
      </c>
      <c r="R280" s="144">
        <v>0</v>
      </c>
    </row>
    <row r="281" spans="1:18" ht="21.95" customHeight="1">
      <c r="A281" s="71" t="s">
        <v>5101</v>
      </c>
      <c r="B281" s="69" t="s">
        <v>4887</v>
      </c>
      <c r="C281" s="70">
        <v>46039</v>
      </c>
      <c r="D281" s="69" t="s">
        <v>4865</v>
      </c>
      <c r="E281" s="69" t="s">
        <v>4897</v>
      </c>
      <c r="F281" s="65" t="s">
        <v>5745</v>
      </c>
      <c r="G281" s="65"/>
      <c r="H281" s="65" t="str">
        <f>IFERROR(INDEX('Docketed Comments'!C:C,MATCH(A281,'Docketed Comments'!H:H,0))&amp;", "&amp;INDEX('Docketed Comments'!B:B,MATCH(A281,'Docketed Comments'!H:H,0)),"")</f>
        <v>Veronica, Valdivia</v>
      </c>
      <c r="I281" s="65" t="str">
        <f>IFERROR(INDEX('Docketed Comments'!D:D,MATCH(A281,'Docketed Comments'!H:H,0)),"")</f>
        <v>Buckeye</v>
      </c>
      <c r="J281" s="65" t="str">
        <f>IFERROR(INDEX('Docketed Comments'!I:I,MATCH(A281,'Docketed Comments'!H:H,0)),"")</f>
        <v>R3-47</v>
      </c>
      <c r="K281" s="65" t="str">
        <f t="shared" si="9"/>
        <v>✅ On Best Plan</v>
      </c>
      <c r="L281" s="65" t="str">
        <f>IFERROR(INDEX('Docketed Comments'!F:F,MATCH(A281,'Docketed Comments'!H:H,0)),"")</f>
        <v>Why put everyone in a worse situation</v>
      </c>
      <c r="M281" s="137" t="str">
        <f>IFERROR(HYPERLINK(INDEX('Docketed Comments'!G:G,MATCH(A281,'Docketed Comments'!H:H,0)),"📄 View Docket"),"")</f>
        <v>📄 View Docket</v>
      </c>
      <c r="N281" s="135">
        <f>IFERROR(INDEX('Docketed Comments'!N:N,MATCH(A281,'Docketed Comments'!H:H,0)),"")</f>
        <v>1027.99</v>
      </c>
      <c r="O281" s="135" t="str">
        <f>IFERROR(INDEX('Docketed Comments'!L:L,MATCH(A281,'Docketed Comments'!H:H,0)),"")</f>
        <v>Yes</v>
      </c>
      <c r="P281" s="136">
        <f t="shared" si="8"/>
        <v>0</v>
      </c>
      <c r="Q281" s="140" t="s">
        <v>5809</v>
      </c>
      <c r="R281" s="144">
        <v>0</v>
      </c>
    </row>
    <row r="282" spans="1:18" ht="21.95" customHeight="1">
      <c r="A282" s="71" t="s">
        <v>5102</v>
      </c>
      <c r="B282" s="69" t="s">
        <v>4887</v>
      </c>
      <c r="C282" s="70">
        <v>46039</v>
      </c>
      <c r="D282" s="69" t="s">
        <v>4888</v>
      </c>
      <c r="E282" s="69"/>
      <c r="F282" s="65" t="s">
        <v>5738</v>
      </c>
      <c r="G282" s="65"/>
      <c r="H282" s="65" t="str">
        <f>IFERROR(INDEX('Docketed Comments'!C:C,MATCH(A282,'Docketed Comments'!H:H,0))&amp;", "&amp;INDEX('Docketed Comments'!B:B,MATCH(A282,'Docketed Comments'!H:H,0)),"")</f>
        <v>Shelreece, Ross</v>
      </c>
      <c r="I282" s="65" t="str">
        <f>IFERROR(INDEX('Docketed Comments'!D:D,MATCH(A282,'Docketed Comments'!H:H,0)),"")</f>
        <v>Buckeye</v>
      </c>
      <c r="J282" s="65" t="str">
        <f>IFERROR(INDEX('Docketed Comments'!I:I,MATCH(A282,'Docketed Comments'!H:H,0)),"")</f>
        <v>R3-47</v>
      </c>
      <c r="K282" s="65" t="str">
        <f t="shared" si="9"/>
        <v>✅ On Best Plan</v>
      </c>
      <c r="L282" s="65" t="str">
        <f>IFERROR(INDEX('Docketed Comments'!F:F,MATCH(A282,'Docketed Comments'!H:H,0)),"")</f>
        <v xml:space="preserve">People can barely afford electricity as is now </v>
      </c>
      <c r="M282" s="137" t="str">
        <f>IFERROR(HYPERLINK(INDEX('Docketed Comments'!G:G,MATCH(A282,'Docketed Comments'!H:H,0)),"📄 View Docket"),"")</f>
        <v>📄 View Docket</v>
      </c>
      <c r="N282" s="135">
        <f>IFERROR(INDEX('Docketed Comments'!N:N,MATCH(A282,'Docketed Comments'!H:H,0)),"")</f>
        <v>771.64</v>
      </c>
      <c r="O282" s="135" t="str">
        <f>IFERROR(INDEX('Docketed Comments'!L:L,MATCH(A282,'Docketed Comments'!H:H,0)),"")</f>
        <v>Yes</v>
      </c>
      <c r="P282" s="136">
        <f t="shared" si="8"/>
        <v>0</v>
      </c>
      <c r="Q282" s="140" t="s">
        <v>5809</v>
      </c>
      <c r="R282" s="144">
        <v>0</v>
      </c>
    </row>
    <row r="283" spans="1:18" ht="21.95" customHeight="1">
      <c r="A283" s="71" t="s">
        <v>5103</v>
      </c>
      <c r="B283" s="69" t="s">
        <v>4887</v>
      </c>
      <c r="C283" s="70">
        <v>46039</v>
      </c>
      <c r="D283" s="69" t="s">
        <v>4888</v>
      </c>
      <c r="E283" s="69"/>
      <c r="F283" s="65" t="s">
        <v>5770</v>
      </c>
      <c r="G283" s="65"/>
      <c r="H283" s="65" t="str">
        <f>IFERROR(INDEX('Docketed Comments'!C:C,MATCH(A283,'Docketed Comments'!H:H,0))&amp;", "&amp;INDEX('Docketed Comments'!B:B,MATCH(A283,'Docketed Comments'!H:H,0)),"")</f>
        <v>Alison, Gerblick</v>
      </c>
      <c r="I283" s="65" t="str">
        <f>IFERROR(INDEX('Docketed Comments'!D:D,MATCH(A283,'Docketed Comments'!H:H,0)),"")</f>
        <v>Glendale</v>
      </c>
      <c r="J283" s="65" t="str">
        <f>IFERROR(INDEX('Docketed Comments'!I:I,MATCH(A283,'Docketed Comments'!H:H,0)),"")</f>
        <v>R-2</v>
      </c>
      <c r="K283" s="65" t="str">
        <f t="shared" si="9"/>
        <v>⚠ Frozen Rate</v>
      </c>
      <c r="L283" s="65" t="str">
        <f>IFERROR(INDEX('Docketed Comments'!F:F,MATCH(A283,'Docketed Comments'!H:H,0)),"")</f>
        <v>Opposed-AC is a necessity not a luxury for survival</v>
      </c>
      <c r="M283" s="137" t="str">
        <f>IFERROR(HYPERLINK(INDEX('Docketed Comments'!G:G,MATCH(A283,'Docketed Comments'!H:H,0)),"📄 View Docket"),"")</f>
        <v>📄 View Docket</v>
      </c>
      <c r="N283" s="135">
        <f>IFERROR(INDEX('Docketed Comments'!N:N,MATCH(A283,'Docketed Comments'!H:H,0)),"")</f>
        <v>368.4</v>
      </c>
      <c r="O283" s="135" t="str">
        <f>IFERROR(INDEX('Docketed Comments'!L:L,MATCH(A283,'Docketed Comments'!H:H,0)),"")</f>
        <v>Frozen Rate</v>
      </c>
      <c r="P283" s="136">
        <f t="shared" si="8"/>
        <v>0</v>
      </c>
      <c r="Q283" s="140" t="s">
        <v>5809</v>
      </c>
      <c r="R283" s="144">
        <v>0</v>
      </c>
    </row>
    <row r="284" spans="1:18" ht="21.95" customHeight="1">
      <c r="A284" s="71" t="s">
        <v>5104</v>
      </c>
      <c r="B284" s="69" t="s">
        <v>4887</v>
      </c>
      <c r="C284" s="70">
        <v>46032</v>
      </c>
      <c r="D284" s="69" t="s">
        <v>4888</v>
      </c>
      <c r="E284" s="69"/>
      <c r="F284" s="65" t="s">
        <v>4890</v>
      </c>
      <c r="G284" s="65"/>
      <c r="H284" s="65" t="str">
        <f>IFERROR(INDEX('Docketed Comments'!C:C,MATCH(A284,'Docketed Comments'!H:H,0))&amp;", "&amp;INDEX('Docketed Comments'!B:B,MATCH(A284,'Docketed Comments'!H:H,0)),"")</f>
        <v>Blake, Lynch</v>
      </c>
      <c r="I284" s="65" t="str">
        <f>IFERROR(INDEX('Docketed Comments'!D:D,MATCH(A284,'Docketed Comments'!H:H,0)),"")</f>
        <v>Unknown</v>
      </c>
      <c r="J284" s="65" t="str">
        <f>IFERROR(INDEX('Docketed Comments'!I:I,MATCH(A284,'Docketed Comments'!H:H,0)),"")</f>
        <v>R-2</v>
      </c>
      <c r="K284" s="65" t="str">
        <f t="shared" si="9"/>
        <v>⚠ Frozen Rate</v>
      </c>
      <c r="L284" s="65" t="str">
        <f>IFERROR(INDEX('Docketed Comments'!F:F,MATCH(A284,'Docketed Comments'!H:H,0)),"")</f>
        <v xml:space="preserve">Opposed-Why are you letting aps increase their rates </v>
      </c>
      <c r="M284" s="137" t="str">
        <f>IFERROR(HYPERLINK(INDEX('Docketed Comments'!G:G,MATCH(A284,'Docketed Comments'!H:H,0)),"📄 View Docket"),"")</f>
        <v>📄 View Docket</v>
      </c>
      <c r="N284" s="135">
        <f>IFERROR(INDEX('Docketed Comments'!N:N,MATCH(A284,'Docketed Comments'!H:H,0)),"")</f>
        <v>170.45</v>
      </c>
      <c r="O284" s="135" t="str">
        <f>IFERROR(INDEX('Docketed Comments'!L:L,MATCH(A284,'Docketed Comments'!H:H,0)),"")</f>
        <v>Frozen Rate</v>
      </c>
      <c r="P284" s="136">
        <f t="shared" si="8"/>
        <v>0</v>
      </c>
      <c r="Q284" s="140" t="s">
        <v>5809</v>
      </c>
      <c r="R284" s="144">
        <v>0</v>
      </c>
    </row>
    <row r="285" spans="1:18" ht="21.95" customHeight="1">
      <c r="A285" s="71" t="s">
        <v>3008</v>
      </c>
      <c r="B285" s="69" t="s">
        <v>4887</v>
      </c>
      <c r="C285" s="70">
        <v>45997</v>
      </c>
      <c r="D285" s="69" t="s">
        <v>4888</v>
      </c>
      <c r="E285" s="69"/>
      <c r="F285" s="65" t="s">
        <v>4890</v>
      </c>
      <c r="G285" s="65"/>
      <c r="H285" s="65" t="str">
        <f>IFERROR(INDEX('Docketed Comments'!C:C,MATCH(A285,'Docketed Comments'!H:H,0))&amp;", "&amp;INDEX('Docketed Comments'!B:B,MATCH(A285,'Docketed Comments'!H:H,0)),"")</f>
        <v>Angelina, Arbizu</v>
      </c>
      <c r="I285" s="65" t="str">
        <f>IFERROR(INDEX('Docketed Comments'!D:D,MATCH(A285,'Docketed Comments'!H:H,0)),"")</f>
        <v>Phoenix</v>
      </c>
      <c r="J285" s="65" t="str">
        <f>IFERROR(INDEX('Docketed Comments'!I:I,MATCH(A285,'Docketed Comments'!H:H,0)),"")</f>
        <v>EPR-6w/ET-2</v>
      </c>
      <c r="K285" s="65" t="str">
        <f t="shared" si="9"/>
        <v>⚠ Frozen Rate</v>
      </c>
      <c r="L285" s="65" t="str">
        <f>IFERROR(INDEX('Docketed Comments'!F:F,MATCH(A285,'Docketed Comments'!H:H,0)),"")</f>
        <v>Form Letter: Enough is enough! You must reject the latest 14% rate hikes by APS and TEP</v>
      </c>
      <c r="M285" s="137" t="str">
        <f>IFERROR(HYPERLINK(INDEX('Docketed Comments'!G:G,MATCH(A285,'Docketed Comments'!H:H,0)),"📄 View Docket"),"")</f>
        <v>📄 View Docket</v>
      </c>
      <c r="N285" s="135">
        <f>IFERROR(INDEX('Docketed Comments'!N:N,MATCH(A285,'Docketed Comments'!H:H,0)),"")</f>
        <v>288.29000000000002</v>
      </c>
      <c r="O285" s="135" t="str">
        <f>IFERROR(INDEX('Docketed Comments'!L:L,MATCH(A285,'Docketed Comments'!H:H,0)),"")</f>
        <v>Frozen Rate</v>
      </c>
      <c r="P285" s="136">
        <f t="shared" si="8"/>
        <v>0</v>
      </c>
      <c r="Q285" s="140" t="s">
        <v>5809</v>
      </c>
      <c r="R285" s="144">
        <v>0</v>
      </c>
    </row>
    <row r="286" spans="1:18" ht="21.95" customHeight="1">
      <c r="A286" s="71" t="s">
        <v>3162</v>
      </c>
      <c r="B286" s="69" t="s">
        <v>4887</v>
      </c>
      <c r="C286" s="70">
        <v>46032</v>
      </c>
      <c r="D286" s="69"/>
      <c r="E286" s="69" t="s">
        <v>4898</v>
      </c>
      <c r="F286" s="65" t="s">
        <v>5773</v>
      </c>
      <c r="G286" s="65"/>
      <c r="H286" s="65" t="str">
        <f>IFERROR(INDEX('Docketed Comments'!C:C,MATCH(A286,'Docketed Comments'!H:H,0))&amp;", "&amp;INDEX('Docketed Comments'!B:B,MATCH(A286,'Docketed Comments'!H:H,0)),"")</f>
        <v>Petty, Toro</v>
      </c>
      <c r="I286" s="65" t="str">
        <f>IFERROR(INDEX('Docketed Comments'!D:D,MATCH(A286,'Docketed Comments'!H:H,0)),"")</f>
        <v>Buckeye</v>
      </c>
      <c r="J286" s="65" t="str">
        <f>IFERROR(INDEX('Docketed Comments'!I:I,MATCH(A286,'Docketed Comments'!H:H,0)),"")</f>
        <v>RCPw/RTOUE47</v>
      </c>
      <c r="K286" s="65" t="str">
        <f t="shared" si="9"/>
        <v>✅ On Best Plan</v>
      </c>
      <c r="L286" s="65" t="str">
        <f>IFERROR(INDEX('Docketed Comments'!F:F,MATCH(A286,'Docketed Comments'!H:H,0)),"")</f>
        <v>I object to this rate increase due to the excessive executive pay</v>
      </c>
      <c r="M286" s="137" t="str">
        <f>IFERROR(HYPERLINK(INDEX('Docketed Comments'!G:G,MATCH(A286,'Docketed Comments'!H:H,0)),"📄 View Docket"),"")</f>
        <v>📄 View Docket</v>
      </c>
      <c r="N286" s="135">
        <f>IFERROR(INDEX('Docketed Comments'!N:N,MATCH(A286,'Docketed Comments'!H:H,0)),"")</f>
        <v>384.67</v>
      </c>
      <c r="O286" s="135" t="str">
        <f>IFERROR(INDEX('Docketed Comments'!L:L,MATCH(A286,'Docketed Comments'!H:H,0)),"")</f>
        <v>Y</v>
      </c>
      <c r="P286" s="136">
        <f t="shared" si="8"/>
        <v>0</v>
      </c>
      <c r="Q286" s="140" t="s">
        <v>5809</v>
      </c>
      <c r="R286" s="144">
        <v>0</v>
      </c>
    </row>
    <row r="287" spans="1:18" ht="21.95" customHeight="1">
      <c r="A287" s="71" t="s">
        <v>3224</v>
      </c>
      <c r="B287" s="69" t="s">
        <v>4887</v>
      </c>
      <c r="C287" s="70">
        <v>46039</v>
      </c>
      <c r="D287" s="69" t="s">
        <v>4888</v>
      </c>
      <c r="E287" s="69"/>
      <c r="F287" s="65"/>
      <c r="G287" s="65"/>
      <c r="H287" s="65" t="str">
        <f>IFERROR(INDEX('Docketed Comments'!C:C,MATCH(A287,'Docketed Comments'!H:H,0))&amp;", "&amp;INDEX('Docketed Comments'!B:B,MATCH(A287,'Docketed Comments'!H:H,0)),"")</f>
        <v>Noel, Ortiz</v>
      </c>
      <c r="I287" s="65" t="str">
        <f>IFERROR(INDEX('Docketed Comments'!D:D,MATCH(A287,'Docketed Comments'!H:H,0)),"")</f>
        <v>Phoenix</v>
      </c>
      <c r="J287" s="65" t="str">
        <f>IFERROR(INDEX('Docketed Comments'!I:I,MATCH(A287,'Docketed Comments'!H:H,0)),"")</f>
        <v>R-BASIC</v>
      </c>
      <c r="K287" s="65" t="str">
        <f t="shared" si="9"/>
        <v>✅ On Best Plan</v>
      </c>
      <c r="L287" s="65" t="str">
        <f>IFERROR(INDEX('Docketed Comments'!F:F,MATCH(A287,'Docketed Comments'!H:H,0)),"")</f>
        <v>Form Letter: Enough is enough! You must reject the latest 14% rate hikes by APS and TEP</v>
      </c>
      <c r="M287" s="137" t="str">
        <f>IFERROR(HYPERLINK(INDEX('Docketed Comments'!G:G,MATCH(A287,'Docketed Comments'!H:H,0)),"📄 View Docket"),"")</f>
        <v>📄 View Docket</v>
      </c>
      <c r="N287" s="135">
        <f>IFERROR(INDEX('Docketed Comments'!N:N,MATCH(A287,'Docketed Comments'!H:H,0)),"")</f>
        <v>302.06</v>
      </c>
      <c r="O287" s="135" t="str">
        <f>IFERROR(INDEX('Docketed Comments'!L:L,MATCH(A287,'Docketed Comments'!H:H,0)),"")</f>
        <v>Yes</v>
      </c>
      <c r="P287" s="136">
        <f t="shared" si="8"/>
        <v>0</v>
      </c>
      <c r="Q287" s="140" t="s">
        <v>5809</v>
      </c>
      <c r="R287" s="144">
        <v>0</v>
      </c>
    </row>
    <row r="288" spans="1:18" ht="21.95" customHeight="1">
      <c r="A288" s="71" t="s">
        <v>3296</v>
      </c>
      <c r="B288" s="69" t="s">
        <v>4887</v>
      </c>
      <c r="C288" s="70">
        <v>46032</v>
      </c>
      <c r="D288" s="69"/>
      <c r="E288" s="69" t="s">
        <v>4909</v>
      </c>
      <c r="F288" s="65" t="s">
        <v>5774</v>
      </c>
      <c r="G288" s="65"/>
      <c r="H288" s="65" t="str">
        <f>IFERROR(INDEX('Docketed Comments'!C:C,MATCH(A288,'Docketed Comments'!H:H,0))&amp;", "&amp;INDEX('Docketed Comments'!B:B,MATCH(A288,'Docketed Comments'!H:H,0)),"")</f>
        <v>Cari, Thome</v>
      </c>
      <c r="I288" s="65" t="str">
        <f>IFERROR(INDEX('Docketed Comments'!D:D,MATCH(A288,'Docketed Comments'!H:H,0)),"")</f>
        <v>Buckeye</v>
      </c>
      <c r="J288" s="65" t="str">
        <f>IFERROR(INDEX('Docketed Comments'!I:I,MATCH(A288,'Docketed Comments'!H:H,0)),"")</f>
        <v>R3-47</v>
      </c>
      <c r="K288" s="65" t="str">
        <f t="shared" si="9"/>
        <v>✅ On Best Plan</v>
      </c>
      <c r="L288" s="65" t="str">
        <f>IFERROR(INDEX('Docketed Comments'!F:F,MATCH(A288,'Docketed Comments'!H:H,0)),"")</f>
        <v>Opposed to another rate hike - they have frequently asked for rate increases</v>
      </c>
      <c r="M288" s="137" t="str">
        <f>IFERROR(HYPERLINK(INDEX('Docketed Comments'!G:G,MATCH(A288,'Docketed Comments'!H:H,0)),"📄 View Docket"),"")</f>
        <v>📄 View Docket</v>
      </c>
      <c r="N288" s="135">
        <f>IFERROR(INDEX('Docketed Comments'!N:N,MATCH(A288,'Docketed Comments'!H:H,0)),"")</f>
        <v>1209</v>
      </c>
      <c r="O288" s="135" t="str">
        <f>IFERROR(INDEX('Docketed Comments'!L:L,MATCH(A288,'Docketed Comments'!H:H,0)),"")</f>
        <v>Yes</v>
      </c>
      <c r="P288" s="136">
        <f t="shared" si="8"/>
        <v>0</v>
      </c>
      <c r="Q288" s="140" t="s">
        <v>5809</v>
      </c>
      <c r="R288" s="144">
        <v>0</v>
      </c>
    </row>
    <row r="289" spans="1:18" ht="21.95" customHeight="1">
      <c r="A289" s="71" t="s">
        <v>3305</v>
      </c>
      <c r="B289" s="69" t="s">
        <v>4887</v>
      </c>
      <c r="C289" s="70">
        <v>45997</v>
      </c>
      <c r="D289" s="69" t="s">
        <v>4888</v>
      </c>
      <c r="E289" s="69"/>
      <c r="F289" s="65"/>
      <c r="G289" s="65"/>
      <c r="H289" s="65" t="str">
        <f>IFERROR(INDEX('Docketed Comments'!C:C,MATCH(A289,'Docketed Comments'!H:H,0))&amp;", "&amp;INDEX('Docketed Comments'!B:B,MATCH(A289,'Docketed Comments'!H:H,0)),"")</f>
        <v>Magan, Boyd</v>
      </c>
      <c r="I289" s="65" t="str">
        <f>IFERROR(INDEX('Docketed Comments'!D:D,MATCH(A289,'Docketed Comments'!H:H,0)),"")</f>
        <v>Tonopah</v>
      </c>
      <c r="J289" s="65" t="str">
        <f>IFERROR(INDEX('Docketed Comments'!I:I,MATCH(A289,'Docketed Comments'!H:H,0)),"")</f>
        <v>R3-47</v>
      </c>
      <c r="K289" s="65" t="str">
        <f t="shared" si="9"/>
        <v>✅ On Best Plan</v>
      </c>
      <c r="L289" s="65" t="str">
        <f>IFERROR(INDEX('Docketed Comments'!F:F,MATCH(A289,'Docketed Comments'!H:H,0)),"")</f>
        <v>It makes no sense that the rates are higher… Issues with energy water agreements (PV).</v>
      </c>
      <c r="M289" s="137" t="str">
        <f>IFERROR(HYPERLINK(INDEX('Docketed Comments'!G:G,MATCH(A289,'Docketed Comments'!H:H,0)),"📄 View Docket"),"")</f>
        <v>📄 View Docket</v>
      </c>
      <c r="N289" s="135">
        <f>IFERROR(INDEX('Docketed Comments'!N:N,MATCH(A289,'Docketed Comments'!H:H,0)),"")</f>
        <v>347.99</v>
      </c>
      <c r="O289" s="135" t="str">
        <f>IFERROR(INDEX('Docketed Comments'!L:L,MATCH(A289,'Docketed Comments'!H:H,0)),"")</f>
        <v>Yes</v>
      </c>
      <c r="P289" s="136">
        <f t="shared" si="8"/>
        <v>0</v>
      </c>
      <c r="Q289" s="140" t="s">
        <v>5809</v>
      </c>
      <c r="R289" s="144">
        <v>0</v>
      </c>
    </row>
    <row r="290" spans="1:18" ht="21.95" customHeight="1">
      <c r="A290" s="71" t="s">
        <v>3320</v>
      </c>
      <c r="B290" s="69" t="s">
        <v>4887</v>
      </c>
      <c r="C290" s="70">
        <v>46032</v>
      </c>
      <c r="D290" s="69" t="s">
        <v>4888</v>
      </c>
      <c r="E290" s="69"/>
      <c r="F290" s="65" t="s">
        <v>5775</v>
      </c>
      <c r="G290" s="65"/>
      <c r="H290" s="65" t="str">
        <f>IFERROR(INDEX('Docketed Comments'!C:C,MATCH(A290,'Docketed Comments'!H:H,0))&amp;", "&amp;INDEX('Docketed Comments'!B:B,MATCH(A290,'Docketed Comments'!H:H,0)),"")</f>
        <v>Esmeralda, Jeronimo</v>
      </c>
      <c r="I290" s="65" t="str">
        <f>IFERROR(INDEX('Docketed Comments'!D:D,MATCH(A290,'Docketed Comments'!H:H,0)),"")</f>
        <v>Phoenix</v>
      </c>
      <c r="J290" s="65" t="str">
        <f>IFERROR(INDEX('Docketed Comments'!I:I,MATCH(A290,'Docketed Comments'!H:H,0)),"")</f>
        <v>RTOUE47</v>
      </c>
      <c r="K290" s="65" t="str">
        <f t="shared" si="9"/>
        <v>✅ On Best Plan</v>
      </c>
      <c r="L290" s="65" t="str">
        <f>IFERROR(INDEX('Docketed Comments'!F:F,MATCH(A290,'Docketed Comments'!H:H,0)),"")</f>
        <v>Form Letter: Enough is enough! You must reject the latest 14% rate hikes by APS lda TEP</v>
      </c>
      <c r="M290" s="137" t="str">
        <f>IFERROR(HYPERLINK(INDEX('Docketed Comments'!G:G,MATCH(A290,'Docketed Comments'!H:H,0)),"📄 View Docket"),"")</f>
        <v>📄 View Docket</v>
      </c>
      <c r="N290" s="135">
        <f>IFERROR(INDEX('Docketed Comments'!N:N,MATCH(A290,'Docketed Comments'!H:H,0)),"")</f>
        <v>933.92</v>
      </c>
      <c r="O290" s="135" t="str">
        <f>IFERROR(INDEX('Docketed Comments'!L:L,MATCH(A290,'Docketed Comments'!H:H,0)),"")</f>
        <v>Yes</v>
      </c>
      <c r="P290" s="136">
        <f t="shared" si="8"/>
        <v>0</v>
      </c>
      <c r="Q290" s="140" t="s">
        <v>5809</v>
      </c>
      <c r="R290" s="144">
        <v>0</v>
      </c>
    </row>
    <row r="291" spans="1:18" ht="21.95" customHeight="1">
      <c r="A291" s="71" t="s">
        <v>5105</v>
      </c>
      <c r="B291" s="69" t="s">
        <v>4887</v>
      </c>
      <c r="C291" s="70">
        <v>46060</v>
      </c>
      <c r="D291" s="69" t="s">
        <v>4865</v>
      </c>
      <c r="E291" s="69" t="s">
        <v>4898</v>
      </c>
      <c r="F291" s="65" t="s">
        <v>5777</v>
      </c>
      <c r="G291" s="65"/>
      <c r="H291" s="65" t="str">
        <f>IFERROR(INDEX('Docketed Comments'!C:C,MATCH(A291,'Docketed Comments'!H:H,0))&amp;", "&amp;INDEX('Docketed Comments'!B:B,MATCH(A291,'Docketed Comments'!H:H,0)),"")</f>
        <v>Paige, Walberg</v>
      </c>
      <c r="I291" s="65" t="str">
        <f>IFERROR(INDEX('Docketed Comments'!D:D,MATCH(A291,'Docketed Comments'!H:H,0)),"")</f>
        <v>El Mirage</v>
      </c>
      <c r="J291" s="65" t="str">
        <f>IFERROR(INDEX('Docketed Comments'!I:I,MATCH(A291,'Docketed Comments'!H:H,0)),"")</f>
        <v>EPR6-ET-1</v>
      </c>
      <c r="K291" s="65" t="str">
        <f t="shared" si="9"/>
        <v>⚠ Frozen Rate</v>
      </c>
      <c r="L291" s="65" t="str">
        <f>IFERROR(INDEX('Docketed Comments'!F:F,MATCH(A291,'Docketed Comments'!H:H,0)),"")</f>
        <v xml:space="preserve">I am a middle class single mom on a teacher income. I don't qualilfy for assistance. </v>
      </c>
      <c r="M291" s="137" t="str">
        <f>IFERROR(HYPERLINK(INDEX('Docketed Comments'!G:G,MATCH(A291,'Docketed Comments'!H:H,0)),"📄 View Docket"),"")</f>
        <v>📄 View Docket</v>
      </c>
      <c r="N291" s="135">
        <f>IFERROR(INDEX('Docketed Comments'!N:N,MATCH(A291,'Docketed Comments'!H:H,0)),"")</f>
        <v>425.23</v>
      </c>
      <c r="O291" s="135" t="str">
        <f>IFERROR(INDEX('Docketed Comments'!L:L,MATCH(A291,'Docketed Comments'!H:H,0)),"")</f>
        <v>Frozen Rate</v>
      </c>
      <c r="P291" s="136">
        <f t="shared" si="8"/>
        <v>0</v>
      </c>
      <c r="Q291" s="140" t="s">
        <v>5809</v>
      </c>
      <c r="R291" s="144">
        <v>0</v>
      </c>
    </row>
    <row r="292" spans="1:18" ht="21.95" customHeight="1">
      <c r="A292" s="71" t="s">
        <v>3621</v>
      </c>
      <c r="B292" s="69"/>
      <c r="C292" s="70"/>
      <c r="D292" s="69"/>
      <c r="E292" s="69"/>
      <c r="F292" s="65"/>
      <c r="G292" s="65" t="s">
        <v>5810</v>
      </c>
      <c r="H292" s="65" t="str">
        <f>IFERROR(INDEX('Docketed Comments'!C:C,MATCH(A292,'Docketed Comments'!H:H,0))&amp;", "&amp;INDEX('Docketed Comments'!B:B,MATCH(A292,'Docketed Comments'!H:H,0)),"")</f>
        <v>Marsha, Clark</v>
      </c>
      <c r="I292" s="65" t="str">
        <f>IFERROR(INDEX('Docketed Comments'!D:D,MATCH(A292,'Docketed Comments'!H:H,0)),"")</f>
        <v>Casa Grande</v>
      </c>
      <c r="J292" s="65" t="str">
        <f>IFERROR(INDEX('Docketed Comments'!I:I,MATCH(A292,'Docketed Comments'!H:H,0)),"")</f>
        <v>R3-47</v>
      </c>
      <c r="K292" s="65" t="str">
        <f t="shared" si="9"/>
        <v>✅ On Best Plan</v>
      </c>
      <c r="L292" s="65" t="str">
        <f>IFERROR(INDEX('Docketed Comments'!F:F,MATCH(A292,'Docketed Comments'!H:H,0)),"")</f>
        <v>Form Letter: Enough is enough! You must reject the latest 14% rate hikes by APS e TEP</v>
      </c>
      <c r="M292" s="137" t="str">
        <f>IFERROR(HYPERLINK(INDEX('Docketed Comments'!G:G,MATCH(A292,'Docketed Comments'!H:H,0)),"📄 View Docket"),"")</f>
        <v>📄 View Docket</v>
      </c>
      <c r="N292" s="135">
        <f>IFERROR(INDEX('Docketed Comments'!N:N,MATCH(A292,'Docketed Comments'!H:H,0)),"")</f>
        <v>832.08</v>
      </c>
      <c r="O292" s="135" t="str">
        <f>IFERROR(INDEX('Docketed Comments'!L:L,MATCH(A292,'Docketed Comments'!H:H,0)),"")</f>
        <v>Yes</v>
      </c>
      <c r="P292" s="136">
        <f t="shared" si="8"/>
        <v>0</v>
      </c>
      <c r="Q292" s="140"/>
      <c r="R292" s="144">
        <v>1</v>
      </c>
    </row>
    <row r="293" spans="1:18" ht="21.95" customHeight="1">
      <c r="A293" s="71" t="s">
        <v>5106</v>
      </c>
      <c r="B293" s="69"/>
      <c r="C293" s="70"/>
      <c r="D293" s="69"/>
      <c r="E293" s="69"/>
      <c r="F293" s="65"/>
      <c r="G293" s="65" t="s">
        <v>5810</v>
      </c>
      <c r="H293" s="65" t="str">
        <f>IFERROR(INDEX('Docketed Comments'!C:C,MATCH(A293,'Docketed Comments'!H:H,0))&amp;", "&amp;INDEX('Docketed Comments'!B:B,MATCH(A293,'Docketed Comments'!H:H,0)),"")</f>
        <v>Karen, Burkhart</v>
      </c>
      <c r="I293" s="65" t="str">
        <f>IFERROR(INDEX('Docketed Comments'!D:D,MATCH(A293,'Docketed Comments'!H:H,0)),"")</f>
        <v>Peoria</v>
      </c>
      <c r="J293" s="65" t="str">
        <f>IFERROR(INDEX('Docketed Comments'!I:I,MATCH(A293,'Docketed Comments'!H:H,0)),"")</f>
        <v>R3-47</v>
      </c>
      <c r="K293" s="65" t="str">
        <f t="shared" si="9"/>
        <v>✅ On Best Plan</v>
      </c>
      <c r="L293" s="65" t="str">
        <f>IFERROR(INDEX('Docketed Comments'!F:F,MATCH(A293,'Docketed Comments'!H:H,0)),"")</f>
        <v>Pretty soon, my electric bill will be HALF of what I pay in mortgage. Normal people are struggling.</v>
      </c>
      <c r="M293" s="137" t="str">
        <f>IFERROR(HYPERLINK(INDEX('Docketed Comments'!G:G,MATCH(A293,'Docketed Comments'!H:H,0)),"📄 View Docket"),"")</f>
        <v>📄 View Docket</v>
      </c>
      <c r="N293" s="135">
        <f>IFERROR(INDEX('Docketed Comments'!N:N,MATCH(A293,'Docketed Comments'!H:H,0)),"")</f>
        <v>811.15</v>
      </c>
      <c r="O293" s="135" t="str">
        <f>IFERROR(INDEX('Docketed Comments'!L:L,MATCH(A293,'Docketed Comments'!H:H,0)),"")</f>
        <v>Yes</v>
      </c>
      <c r="P293" s="136">
        <f t="shared" si="8"/>
        <v>0</v>
      </c>
      <c r="Q293" s="140"/>
      <c r="R293" s="144">
        <v>1</v>
      </c>
    </row>
    <row r="294" spans="1:18" ht="21.95" customHeight="1">
      <c r="A294" s="71" t="s">
        <v>4051</v>
      </c>
      <c r="B294" s="69"/>
      <c r="C294" s="70"/>
      <c r="D294" s="69"/>
      <c r="E294" s="69"/>
      <c r="F294" s="65"/>
      <c r="G294" s="65" t="s">
        <v>5810</v>
      </c>
      <c r="H294" s="65" t="str">
        <f>IFERROR(INDEX('Docketed Comments'!C:C,MATCH(A294,'Docketed Comments'!H:H,0))&amp;", "&amp;INDEX('Docketed Comments'!B:B,MATCH(A294,'Docketed Comments'!H:H,0)),"")</f>
        <v>Tammy, Aho</v>
      </c>
      <c r="I294" s="65" t="str">
        <f>IFERROR(INDEX('Docketed Comments'!D:D,MATCH(A294,'Docketed Comments'!H:H,0)),"")</f>
        <v>Phoenix</v>
      </c>
      <c r="J294" s="65" t="str">
        <f>IFERROR(INDEX('Docketed Comments'!I:I,MATCH(A294,'Docketed Comments'!H:H,0)),"")</f>
        <v>R3-47</v>
      </c>
      <c r="K294" s="65" t="str">
        <f t="shared" si="9"/>
        <v>✅ On Best Plan</v>
      </c>
      <c r="L294" s="65" t="str">
        <f>IFERROR(INDEX('Docketed Comments'!F:F,MATCH(A294,'Docketed Comments'!H:H,0)),"")</f>
        <v>I'm currently 3 months behind and I've called every publlis assistance agency for help. Rate hikes will for sure 100% cut my electric off for my family. When is enough enough???</v>
      </c>
      <c r="M294" s="137" t="str">
        <f>IFERROR(HYPERLINK(INDEX('Docketed Comments'!G:G,MATCH(A294,'Docketed Comments'!H:H,0)),"📄 View Docket"),"")</f>
        <v>📄 View Docket</v>
      </c>
      <c r="N294" s="135">
        <f>IFERROR(INDEX('Docketed Comments'!N:N,MATCH(A294,'Docketed Comments'!H:H,0)),"")</f>
        <v>2316.81</v>
      </c>
      <c r="O294" s="135" t="str">
        <f>IFERROR(INDEX('Docketed Comments'!L:L,MATCH(A294,'Docketed Comments'!H:H,0)),"")</f>
        <v>Yes</v>
      </c>
      <c r="P294" s="136">
        <f t="shared" si="8"/>
        <v>0</v>
      </c>
      <c r="Q294" s="140"/>
      <c r="R294" s="144">
        <v>1</v>
      </c>
    </row>
    <row r="295" spans="1:18" ht="21.95" customHeight="1">
      <c r="A295" s="71" t="s">
        <v>4068</v>
      </c>
      <c r="B295" s="69"/>
      <c r="C295" s="70"/>
      <c r="D295" s="69"/>
      <c r="E295" s="69"/>
      <c r="F295" s="65"/>
      <c r="G295" s="65" t="s">
        <v>5810</v>
      </c>
      <c r="H295" s="65" t="str">
        <f>IFERROR(INDEX('Docketed Comments'!C:C,MATCH(A295,'Docketed Comments'!H:H,0))&amp;", "&amp;INDEX('Docketed Comments'!B:B,MATCH(A295,'Docketed Comments'!H:H,0)),"")</f>
        <v>Benjamin, Cortez</v>
      </c>
      <c r="I295" s="65" t="str">
        <f>IFERROR(INDEX('Docketed Comments'!D:D,MATCH(A295,'Docketed Comments'!H:H,0)),"")</f>
        <v>Sun City West</v>
      </c>
      <c r="J295" s="65" t="str">
        <f>IFERROR(INDEX('Docketed Comments'!I:I,MATCH(A295,'Docketed Comments'!H:H,0)),"")</f>
        <v>RCPw/RTOUE47</v>
      </c>
      <c r="K295" s="65" t="str">
        <f t="shared" si="9"/>
        <v>✅ On Best Plan</v>
      </c>
      <c r="L295" s="65" t="str">
        <f>IFERROR(INDEX('Docketed Comments'!F:F,MATCH(A295,'Docketed Comments'!H:H,0)),"")</f>
        <v>They already got a hike no more greed please</v>
      </c>
      <c r="M295" s="137" t="str">
        <f>IFERROR(HYPERLINK(INDEX('Docketed Comments'!G:G,MATCH(A295,'Docketed Comments'!H:H,0)),"📄 View Docket"),"")</f>
        <v>📄 View Docket</v>
      </c>
      <c r="N295" s="135">
        <f>IFERROR(INDEX('Docketed Comments'!N:N,MATCH(A295,'Docketed Comments'!H:H,0)),"")</f>
        <v>72.2</v>
      </c>
      <c r="O295" s="135" t="str">
        <f>IFERROR(INDEX('Docketed Comments'!L:L,MATCH(A295,'Docketed Comments'!H:H,0)),"")</f>
        <v>Yes</v>
      </c>
      <c r="P295" s="136">
        <f t="shared" si="8"/>
        <v>0</v>
      </c>
      <c r="Q295" s="140"/>
      <c r="R295" s="144">
        <v>1</v>
      </c>
    </row>
    <row r="296" spans="1:18" ht="21.95" customHeight="1">
      <c r="A296" s="71" t="s">
        <v>4084</v>
      </c>
      <c r="B296" s="69"/>
      <c r="C296" s="70"/>
      <c r="D296" s="69"/>
      <c r="E296" s="69"/>
      <c r="F296" s="65"/>
      <c r="G296" s="65" t="s">
        <v>5810</v>
      </c>
      <c r="H296" s="65" t="str">
        <f>IFERROR(INDEX('Docketed Comments'!C:C,MATCH(A296,'Docketed Comments'!H:H,0))&amp;", "&amp;INDEX('Docketed Comments'!B:B,MATCH(A296,'Docketed Comments'!H:H,0)),"")</f>
        <v>David, Bingham</v>
      </c>
      <c r="I296" s="65" t="str">
        <f>IFERROR(INDEX('Docketed Comments'!D:D,MATCH(A296,'Docketed Comments'!H:H,0)),"")</f>
        <v>Arizona City</v>
      </c>
      <c r="J296" s="65" t="str">
        <f>IFERROR(INDEX('Docketed Comments'!I:I,MATCH(A296,'Docketed Comments'!H:H,0)),"")</f>
        <v>R3-47</v>
      </c>
      <c r="K296" s="65" t="str">
        <f t="shared" si="9"/>
        <v>✅ On Best Plan</v>
      </c>
      <c r="L296" s="65" t="str">
        <f>IFERROR(INDEX('Docketed Comments'!F:F,MATCH(A296,'Docketed Comments'!H:H,0)),"")</f>
        <v>Why does the commission always side with APS ? When will you side with poor and retired citizens</v>
      </c>
      <c r="M296" s="137" t="str">
        <f>IFERROR(HYPERLINK(INDEX('Docketed Comments'!G:G,MATCH(A296,'Docketed Comments'!H:H,0)),"📄 View Docket"),"")</f>
        <v>📄 View Docket</v>
      </c>
      <c r="N296" s="135">
        <f>IFERROR(INDEX('Docketed Comments'!N:N,MATCH(A296,'Docketed Comments'!H:H,0)),"")</f>
        <v>309.8</v>
      </c>
      <c r="O296" s="135" t="str">
        <f>IFERROR(INDEX('Docketed Comments'!L:L,MATCH(A296,'Docketed Comments'!H:H,0)),"")</f>
        <v>Yes</v>
      </c>
      <c r="P296" s="136">
        <f t="shared" si="8"/>
        <v>0</v>
      </c>
      <c r="Q296" s="140"/>
      <c r="R296" s="144">
        <v>1</v>
      </c>
    </row>
    <row r="297" spans="1:18" ht="21.95" customHeight="1">
      <c r="A297" s="71" t="s">
        <v>4087</v>
      </c>
      <c r="B297" s="69"/>
      <c r="C297" s="70"/>
      <c r="D297" s="69"/>
      <c r="E297" s="69"/>
      <c r="F297" s="65"/>
      <c r="G297" s="65" t="s">
        <v>5810</v>
      </c>
      <c r="H297" s="65" t="str">
        <f>IFERROR(INDEX('Docketed Comments'!C:C,MATCH(A297,'Docketed Comments'!H:H,0))&amp;", "&amp;INDEX('Docketed Comments'!B:B,MATCH(A297,'Docketed Comments'!H:H,0)),"")</f>
        <v>Yolanda, Cordova</v>
      </c>
      <c r="I297" s="65" t="str">
        <f>IFERROR(INDEX('Docketed Comments'!D:D,MATCH(A297,'Docketed Comments'!H:H,0)),"")</f>
        <v>Phoenix</v>
      </c>
      <c r="J297" s="65" t="str">
        <f>IFERROR(INDEX('Docketed Comments'!I:I,MATCH(A297,'Docketed Comments'!H:H,0)),"")</f>
        <v>R-XS</v>
      </c>
      <c r="K297" s="65" t="str">
        <f t="shared" si="9"/>
        <v>✅ On Best Plan</v>
      </c>
      <c r="L297" s="65" t="str">
        <f>IFERROR(INDEX('Docketed Comments'!F:F,MATCH(A297,'Docketed Comments'!H:H,0)),"")</f>
        <v>struggling to stay a float and you're trying to add another blow to our lives, NO WAY! Stop this madness and let us be able to feed our families</v>
      </c>
      <c r="M297" s="137" t="str">
        <f>IFERROR(HYPERLINK(INDEX('Docketed Comments'!G:G,MATCH(A297,'Docketed Comments'!H:H,0)),"📄 View Docket"),"")</f>
        <v>📄 View Docket</v>
      </c>
      <c r="N297" s="135">
        <f>IFERROR(INDEX('Docketed Comments'!N:N,MATCH(A297,'Docketed Comments'!H:H,0)),"")</f>
        <v>202.33</v>
      </c>
      <c r="O297" s="135" t="str">
        <f>IFERROR(INDEX('Docketed Comments'!L:L,MATCH(A297,'Docketed Comments'!H:H,0)),"")</f>
        <v>Yes</v>
      </c>
      <c r="P297" s="136">
        <f t="shared" si="8"/>
        <v>0</v>
      </c>
      <c r="Q297" s="140"/>
      <c r="R297" s="144">
        <v>1</v>
      </c>
    </row>
    <row r="298" spans="1:18" ht="21.95" customHeight="1">
      <c r="A298" s="71" t="s">
        <v>4112</v>
      </c>
      <c r="B298" s="69"/>
      <c r="C298" s="70"/>
      <c r="D298" s="69"/>
      <c r="E298" s="69"/>
      <c r="F298" s="65"/>
      <c r="G298" s="65" t="s">
        <v>5810</v>
      </c>
      <c r="H298" s="65" t="str">
        <f>IFERROR(INDEX('Docketed Comments'!C:C,MATCH(A298,'Docketed Comments'!H:H,0))&amp;", "&amp;INDEX('Docketed Comments'!B:B,MATCH(A298,'Docketed Comments'!H:H,0)),"")</f>
        <v>Trudy, Hopper</v>
      </c>
      <c r="I298" s="65" t="str">
        <f>IFERROR(INDEX('Docketed Comments'!D:D,MATCH(A298,'Docketed Comments'!H:H,0)),"")</f>
        <v>Phoenix</v>
      </c>
      <c r="J298" s="65" t="str">
        <f>IFERROR(INDEX('Docketed Comments'!I:I,MATCH(A298,'Docketed Comments'!H:H,0)),"")</f>
        <v>R-2</v>
      </c>
      <c r="K298" s="65" t="str">
        <f t="shared" si="9"/>
        <v>⚠ Frozen Plan</v>
      </c>
      <c r="L298" s="65" t="str">
        <f>IFERROR(INDEX('Docketed Comments'!F:F,MATCH(A298,'Docketed Comments'!H:H,0)),"")</f>
        <v xml:space="preserve"> I'm on a payment plan now. Paying back the money owed during summer. (Which I can't afford) I still have 2-3 more payments</v>
      </c>
      <c r="M298" s="137" t="str">
        <f>IFERROR(HYPERLINK(INDEX('Docketed Comments'!G:G,MATCH(A298,'Docketed Comments'!H:H,0)),"📄 View Docket"),"")</f>
        <v>📄 View Docket</v>
      </c>
      <c r="N298" s="135">
        <f>IFERROR(INDEX('Docketed Comments'!N:N,MATCH(A298,'Docketed Comments'!H:H,0)),"")</f>
        <v>125.36</v>
      </c>
      <c r="O298" s="135" t="str">
        <f>IFERROR(INDEX('Docketed Comments'!L:L,MATCH(A298,'Docketed Comments'!H:H,0)),"")</f>
        <v>Frozen Plan</v>
      </c>
      <c r="P298" s="136">
        <f t="shared" si="8"/>
        <v>0</v>
      </c>
      <c r="Q298" s="140"/>
      <c r="R298" s="144">
        <v>1</v>
      </c>
    </row>
    <row r="299" spans="1:18" ht="21.95" customHeight="1">
      <c r="A299" s="71" t="s">
        <v>4131</v>
      </c>
      <c r="B299" s="69"/>
      <c r="C299" s="70"/>
      <c r="D299" s="69"/>
      <c r="E299" s="69"/>
      <c r="F299" s="65"/>
      <c r="G299" s="65" t="s">
        <v>5811</v>
      </c>
      <c r="H299" s="65" t="str">
        <f>IFERROR(INDEX('Docketed Comments'!C:C,MATCH(A299,'Docketed Comments'!H:H,0))&amp;", "&amp;INDEX('Docketed Comments'!B:B,MATCH(A299,'Docketed Comments'!H:H,0)),"")</f>
        <v>Theadora, Romero</v>
      </c>
      <c r="I299" s="65" t="str">
        <f>IFERROR(INDEX('Docketed Comments'!D:D,MATCH(A299,'Docketed Comments'!H:H,0)),"")</f>
        <v>Phoenix</v>
      </c>
      <c r="J299" s="65" t="str">
        <f>IFERROR(INDEX('Docketed Comments'!I:I,MATCH(A299,'Docketed Comments'!H:H,0)),"")</f>
        <v>R-XS</v>
      </c>
      <c r="K299" s="65" t="str">
        <f t="shared" si="9"/>
        <v>✅ On Best Plan</v>
      </c>
      <c r="L299" s="65" t="str">
        <f>IFERROR(INDEX('Docketed Comments'!F:F,MATCH(A299,'Docketed Comments'!H:H,0)),"")</f>
        <v>They are charging at least half of the APS charges in taxes on top of the usage charges. That's wrong.</v>
      </c>
      <c r="M299" s="137" t="str">
        <f>IFERROR(HYPERLINK(INDEX('Docketed Comments'!G:G,MATCH(A299,'Docketed Comments'!H:H,0)),"📄 View Docket"),"")</f>
        <v>📄 View Docket</v>
      </c>
      <c r="N299" s="135">
        <f>IFERROR(INDEX('Docketed Comments'!N:N,MATCH(A299,'Docketed Comments'!H:H,0)),"")</f>
        <v>0</v>
      </c>
      <c r="O299" s="135" t="str">
        <f>IFERROR(INDEX('Docketed Comments'!L:L,MATCH(A299,'Docketed Comments'!H:H,0)),"")</f>
        <v>Yes</v>
      </c>
      <c r="P299" s="136">
        <f t="shared" si="8"/>
        <v>0</v>
      </c>
      <c r="Q299" s="140"/>
      <c r="R299" s="144">
        <v>1</v>
      </c>
    </row>
    <row r="300" spans="1:18" ht="21.95" customHeight="1">
      <c r="A300" s="71" t="s">
        <v>4161</v>
      </c>
      <c r="B300" s="69"/>
      <c r="C300" s="70"/>
      <c r="D300" s="69"/>
      <c r="E300" s="69"/>
      <c r="F300" s="65"/>
      <c r="G300" s="65" t="s">
        <v>5810</v>
      </c>
      <c r="H300" s="65" t="str">
        <f>IFERROR(INDEX('Docketed Comments'!C:C,MATCH(A300,'Docketed Comments'!H:H,0))&amp;", "&amp;INDEX('Docketed Comments'!B:B,MATCH(A300,'Docketed Comments'!H:H,0)),"")</f>
        <v>Joseph, McAnney</v>
      </c>
      <c r="I300" s="65" t="str">
        <f>IFERROR(INDEX('Docketed Comments'!D:D,MATCH(A300,'Docketed Comments'!H:H,0)),"")</f>
        <v>Congress</v>
      </c>
      <c r="J300" s="65" t="str">
        <f>IFERROR(INDEX('Docketed Comments'!I:I,MATCH(A300,'Docketed Comments'!H:H,0)),"")</f>
        <v>RCPw/RTOUE47</v>
      </c>
      <c r="K300" s="65" t="str">
        <f t="shared" si="9"/>
        <v>✅ On Best Plan</v>
      </c>
      <c r="L300" s="65" t="str">
        <f>IFERROR(INDEX('Docketed Comments'!F:F,MATCH(A300,'Docketed Comments'!H:H,0)),"")</f>
        <v>APS already charges exorbitant fees for poor quality services. We as consumers cannot afford higher prices</v>
      </c>
      <c r="M300" s="137" t="str">
        <f>IFERROR(HYPERLINK(INDEX('Docketed Comments'!G:G,MATCH(A300,'Docketed Comments'!H:H,0)),"📄 View Docket"),"")</f>
        <v>📄 View Docket</v>
      </c>
      <c r="N300" s="135">
        <f>IFERROR(INDEX('Docketed Comments'!N:N,MATCH(A300,'Docketed Comments'!H:H,0)),"")</f>
        <v>472.66</v>
      </c>
      <c r="O300" s="135" t="str">
        <f>IFERROR(INDEX('Docketed Comments'!L:L,MATCH(A300,'Docketed Comments'!H:H,0)),"")</f>
        <v>Yes</v>
      </c>
      <c r="P300" s="136">
        <f t="shared" si="8"/>
        <v>0</v>
      </c>
      <c r="Q300" s="140"/>
      <c r="R300" s="144">
        <v>1</v>
      </c>
    </row>
    <row r="301" spans="1:18" ht="21.95" customHeight="1">
      <c r="A301" s="71" t="s">
        <v>4174</v>
      </c>
      <c r="B301" s="69"/>
      <c r="C301" s="70"/>
      <c r="D301" s="69"/>
      <c r="E301" s="69"/>
      <c r="F301" s="65"/>
      <c r="G301" s="65" t="s">
        <v>5810</v>
      </c>
      <c r="H301" s="65" t="str">
        <f>IFERROR(INDEX('Docketed Comments'!C:C,MATCH(A301,'Docketed Comments'!H:H,0))&amp;", "&amp;INDEX('Docketed Comments'!B:B,MATCH(A301,'Docketed Comments'!H:H,0)),"")</f>
        <v>Rebecca, Corlew</v>
      </c>
      <c r="I301" s="65" t="str">
        <f>IFERROR(INDEX('Docketed Comments'!D:D,MATCH(A301,'Docketed Comments'!H:H,0)),"")</f>
        <v>Phoenix</v>
      </c>
      <c r="J301" s="65" t="str">
        <f>IFERROR(INDEX('Docketed Comments'!I:I,MATCH(A301,'Docketed Comments'!H:H,0)),"")</f>
        <v>R3-47</v>
      </c>
      <c r="K301" s="65" t="str">
        <f t="shared" si="9"/>
        <v>✅ On Best Plan</v>
      </c>
      <c r="L301" s="65" t="str">
        <f>IFERROR(INDEX('Docketed Comments'!F:F,MATCH(A301,'Docketed Comments'!H:H,0)),"")</f>
        <v>We can no longer afford it I will need to sell and move if this continues Can you please give seniors a discount??</v>
      </c>
      <c r="M301" s="137" t="str">
        <f>IFERROR(HYPERLINK(INDEX('Docketed Comments'!G:G,MATCH(A301,'Docketed Comments'!H:H,0)),"📄 View Docket"),"")</f>
        <v>📄 View Docket</v>
      </c>
      <c r="N301" s="135">
        <f>IFERROR(INDEX('Docketed Comments'!N:N,MATCH(A301,'Docketed Comments'!H:H,0)),"")</f>
        <v>178.5</v>
      </c>
      <c r="O301" s="135" t="str">
        <f>IFERROR(INDEX('Docketed Comments'!L:L,MATCH(A301,'Docketed Comments'!H:H,0)),"")</f>
        <v>Yes</v>
      </c>
      <c r="P301" s="136">
        <f t="shared" si="8"/>
        <v>0</v>
      </c>
      <c r="Q301" s="140"/>
      <c r="R301" s="144">
        <v>1</v>
      </c>
    </row>
    <row r="302" spans="1:18" ht="21.95" customHeight="1">
      <c r="A302" s="71" t="s">
        <v>4242</v>
      </c>
      <c r="B302" s="69"/>
      <c r="C302" s="70"/>
      <c r="D302" s="69"/>
      <c r="E302" s="69"/>
      <c r="F302" s="65"/>
      <c r="G302" s="65" t="s">
        <v>5810</v>
      </c>
      <c r="H302" s="65" t="str">
        <f>IFERROR(INDEX('Docketed Comments'!C:C,MATCH(A302,'Docketed Comments'!H:H,0))&amp;", "&amp;INDEX('Docketed Comments'!B:B,MATCH(A302,'Docketed Comments'!H:H,0)),"")</f>
        <v>Jay, Kleiner</v>
      </c>
      <c r="I302" s="65" t="str">
        <f>IFERROR(INDEX('Docketed Comments'!D:D,MATCH(A302,'Docketed Comments'!H:H,0)),"")</f>
        <v>Surprise</v>
      </c>
      <c r="J302" s="65" t="str">
        <f>IFERROR(INDEX('Docketed Comments'!I:I,MATCH(A302,'Docketed Comments'!H:H,0)),"")</f>
        <v>R3-47</v>
      </c>
      <c r="K302" s="65" t="str">
        <f t="shared" si="9"/>
        <v>✅ On Best Plan</v>
      </c>
      <c r="L302" s="65" t="str">
        <f>IFERROR(INDEX('Docketed Comments'!F:F,MATCH(A302,'Docketed Comments'!H:H,0)),"")</f>
        <v>I am sick and tired of APS ripping me off every time you turn around the rates are going up because they can't manage their business</v>
      </c>
      <c r="M302" s="137" t="str">
        <f>IFERROR(HYPERLINK(INDEX('Docketed Comments'!G:G,MATCH(A302,'Docketed Comments'!H:H,0)),"📄 View Docket"),"")</f>
        <v>📄 View Docket</v>
      </c>
      <c r="N302" s="135">
        <f>IFERROR(INDEX('Docketed Comments'!N:N,MATCH(A302,'Docketed Comments'!H:H,0)),"")</f>
        <v>563.04</v>
      </c>
      <c r="O302" s="135" t="str">
        <f>IFERROR(INDEX('Docketed Comments'!L:L,MATCH(A302,'Docketed Comments'!H:H,0)),"")</f>
        <v>Yes</v>
      </c>
      <c r="P302" s="136">
        <f t="shared" si="8"/>
        <v>0</v>
      </c>
      <c r="Q302" s="140"/>
      <c r="R302" s="144">
        <v>1</v>
      </c>
    </row>
    <row r="303" spans="1:18" ht="21.95" customHeight="1">
      <c r="A303" s="71" t="s">
        <v>4269</v>
      </c>
      <c r="B303" s="69"/>
      <c r="C303" s="70"/>
      <c r="D303" s="69"/>
      <c r="E303" s="69"/>
      <c r="F303" s="65"/>
      <c r="G303" s="65" t="s">
        <v>5810</v>
      </c>
      <c r="H303" s="65" t="str">
        <f>IFERROR(INDEX('Docketed Comments'!C:C,MATCH(A303,'Docketed Comments'!H:H,0))&amp;", "&amp;INDEX('Docketed Comments'!B:B,MATCH(A303,'Docketed Comments'!H:H,0)),"")</f>
        <v>James, Cassidy</v>
      </c>
      <c r="I303" s="65" t="str">
        <f>IFERROR(INDEX('Docketed Comments'!D:D,MATCH(A303,'Docketed Comments'!H:H,0)),"")</f>
        <v>Phoenix</v>
      </c>
      <c r="J303" s="65" t="str">
        <f>IFERROR(INDEX('Docketed Comments'!I:I,MATCH(A303,'Docketed Comments'!H:H,0)),"")</f>
        <v>RTOUE47</v>
      </c>
      <c r="K303" s="65" t="str">
        <f t="shared" si="9"/>
        <v>✅ On Best Plan</v>
      </c>
      <c r="L303" s="65" t="str">
        <f>IFERROR(INDEX('Docketed Comments'!F:F,MATCH(A303,'Docketed Comments'!H:H,0)),"")</f>
        <v>In my opinion APS rates are already crippling high for a lot of people</v>
      </c>
      <c r="M303" s="137" t="str">
        <f>IFERROR(HYPERLINK(INDEX('Docketed Comments'!G:G,MATCH(A303,'Docketed Comments'!H:H,0)),"📄 View Docket"),"")</f>
        <v>📄 View Docket</v>
      </c>
      <c r="N303" s="135">
        <f>IFERROR(INDEX('Docketed Comments'!N:N,MATCH(A303,'Docketed Comments'!H:H,0)),"")</f>
        <v>4114.0200000000004</v>
      </c>
      <c r="O303" s="135" t="str">
        <f>IFERROR(INDEX('Docketed Comments'!L:L,MATCH(A303,'Docketed Comments'!H:H,0)),"")</f>
        <v>Yes</v>
      </c>
      <c r="P303" s="136">
        <f t="shared" si="8"/>
        <v>0</v>
      </c>
      <c r="Q303" s="140"/>
      <c r="R303" s="144">
        <v>1</v>
      </c>
    </row>
    <row r="304" spans="1:18" ht="21.95" customHeight="1">
      <c r="A304" s="71" t="s">
        <v>4354</v>
      </c>
      <c r="B304" s="69"/>
      <c r="C304" s="70"/>
      <c r="D304" s="69"/>
      <c r="E304" s="69"/>
      <c r="F304" s="65"/>
      <c r="G304" s="65" t="s">
        <v>5810</v>
      </c>
      <c r="H304" s="65" t="str">
        <f>IFERROR(INDEX('Docketed Comments'!C:C,MATCH(A304,'Docketed Comments'!H:H,0))&amp;", "&amp;INDEX('Docketed Comments'!B:B,MATCH(A304,'Docketed Comments'!H:H,0)),"")</f>
        <v>Thomas, Hatfield</v>
      </c>
      <c r="I304" s="65" t="str">
        <f>IFERROR(INDEX('Docketed Comments'!D:D,MATCH(A304,'Docketed Comments'!H:H,0)),"")</f>
        <v>Payson</v>
      </c>
      <c r="J304" s="65" t="str">
        <f>IFERROR(INDEX('Docketed Comments'!I:I,MATCH(A304,'Docketed Comments'!H:H,0)),"")</f>
        <v>R3-47</v>
      </c>
      <c r="K304" s="65" t="str">
        <f t="shared" si="9"/>
        <v>✅ On Best Plan</v>
      </c>
      <c r="L304" s="65" t="str">
        <f>IFERROR(INDEX('Docketed Comments'!F:F,MATCH(A304,'Docketed Comments'!H:H,0)),"")</f>
        <v>lm a handicapped senior with medical problems and I live on sandi so I have no money for a increase</v>
      </c>
      <c r="M304" s="137" t="str">
        <f>IFERROR(HYPERLINK(INDEX('Docketed Comments'!G:G,MATCH(A304,'Docketed Comments'!H:H,0)),"📄 View Docket"),"")</f>
        <v>📄 View Docket</v>
      </c>
      <c r="N304" s="135">
        <f>IFERROR(INDEX('Docketed Comments'!N:N,MATCH(A304,'Docketed Comments'!H:H,0)),"")</f>
        <v>502.83</v>
      </c>
      <c r="O304" s="135" t="str">
        <f>IFERROR(INDEX('Docketed Comments'!L:L,MATCH(A304,'Docketed Comments'!H:H,0)),"")</f>
        <v>Yes</v>
      </c>
      <c r="P304" s="136">
        <f t="shared" si="8"/>
        <v>0</v>
      </c>
      <c r="Q304" s="140"/>
      <c r="R304" s="144">
        <v>1</v>
      </c>
    </row>
    <row r="305" spans="1:18" ht="21.95" customHeight="1">
      <c r="A305" s="71" t="s">
        <v>4357</v>
      </c>
      <c r="B305" s="69"/>
      <c r="C305" s="70"/>
      <c r="D305" s="69"/>
      <c r="E305" s="69"/>
      <c r="F305" s="65"/>
      <c r="G305" s="65" t="s">
        <v>5810</v>
      </c>
      <c r="H305" s="65" t="str">
        <f>IFERROR(INDEX('Docketed Comments'!C:C,MATCH(A305,'Docketed Comments'!H:H,0))&amp;", "&amp;INDEX('Docketed Comments'!B:B,MATCH(A305,'Docketed Comments'!H:H,0)),"")</f>
        <v>Kimberly, Zazzi</v>
      </c>
      <c r="I305" s="65" t="str">
        <f>IFERROR(INDEX('Docketed Comments'!D:D,MATCH(A305,'Docketed Comments'!H:H,0)),"")</f>
        <v>Surprise</v>
      </c>
      <c r="J305" s="65" t="str">
        <f>IFERROR(INDEX('Docketed Comments'!I:I,MATCH(A305,'Docketed Comments'!H:H,0)),"")</f>
        <v>R3-47</v>
      </c>
      <c r="K305" s="65" t="str">
        <f t="shared" si="9"/>
        <v>✅ On Best Plan</v>
      </c>
      <c r="L305" s="65" t="str">
        <f>IFERROR(INDEX('Docketed Comments'!F:F,MATCH(A305,'Docketed Comments'!H:H,0)),"")</f>
        <v>My APS bill is so high . I struggle every month just to get it paid.</v>
      </c>
      <c r="M305" s="137" t="str">
        <f>IFERROR(HYPERLINK(INDEX('Docketed Comments'!G:G,MATCH(A305,'Docketed Comments'!H:H,0)),"📄 View Docket"),"")</f>
        <v>📄 View Docket</v>
      </c>
      <c r="N305" s="135">
        <f>IFERROR(INDEX('Docketed Comments'!N:N,MATCH(A305,'Docketed Comments'!H:H,0)),"")</f>
        <v>2005.59</v>
      </c>
      <c r="O305" s="135" t="str">
        <f>IFERROR(INDEX('Docketed Comments'!L:L,MATCH(A305,'Docketed Comments'!H:H,0)),"")</f>
        <v>Yes</v>
      </c>
      <c r="P305" s="136">
        <f t="shared" si="8"/>
        <v>0</v>
      </c>
      <c r="Q305" s="140"/>
      <c r="R305" s="144">
        <v>1</v>
      </c>
    </row>
    <row r="306" spans="1:18" ht="21.95" customHeight="1">
      <c r="A306" s="71" t="s">
        <v>4392</v>
      </c>
      <c r="B306" s="69"/>
      <c r="C306" s="70"/>
      <c r="D306" s="69"/>
      <c r="E306" s="69"/>
      <c r="F306" s="65"/>
      <c r="G306" s="65" t="s">
        <v>5810</v>
      </c>
      <c r="H306" s="65" t="str">
        <f>IFERROR(INDEX('Docketed Comments'!C:C,MATCH(A306,'Docketed Comments'!H:H,0))&amp;", "&amp;INDEX('Docketed Comments'!B:B,MATCH(A306,'Docketed Comments'!H:H,0)),"")</f>
        <v>Heather, Stewart</v>
      </c>
      <c r="I306" s="65" t="str">
        <f>IFERROR(INDEX('Docketed Comments'!D:D,MATCH(A306,'Docketed Comments'!H:H,0)),"")</f>
        <v>Phoenix</v>
      </c>
      <c r="J306" s="65" t="str">
        <f>IFERROR(INDEX('Docketed Comments'!I:I,MATCH(A306,'Docketed Comments'!H:H,0)),"")</f>
        <v>R3-47</v>
      </c>
      <c r="K306" s="65" t="str">
        <f t="shared" si="9"/>
        <v>✅ On Best Plan</v>
      </c>
      <c r="L306" s="65" t="str">
        <f>IFERROR(INDEX('Docketed Comments'!F:F,MATCH(A306,'Docketed Comments'!H:H,0)),"")</f>
        <v>They dent need a rate increase. They make millions in profits. Consumers deserve a rate cut!</v>
      </c>
      <c r="M306" s="137" t="str">
        <f>IFERROR(HYPERLINK(INDEX('Docketed Comments'!G:G,MATCH(A306,'Docketed Comments'!H:H,0)),"📄 View Docket"),"")</f>
        <v>📄 View Docket</v>
      </c>
      <c r="N306" s="135">
        <f>IFERROR(INDEX('Docketed Comments'!N:N,MATCH(A306,'Docketed Comments'!H:H,0)),"")</f>
        <v>393.41</v>
      </c>
      <c r="O306" s="135" t="str">
        <f>IFERROR(INDEX('Docketed Comments'!L:L,MATCH(A306,'Docketed Comments'!H:H,0)),"")</f>
        <v>Yes</v>
      </c>
      <c r="P306" s="136">
        <f t="shared" si="8"/>
        <v>0</v>
      </c>
      <c r="Q306" s="140"/>
      <c r="R306" s="144">
        <v>1</v>
      </c>
    </row>
    <row r="307" spans="1:18" ht="21.95" customHeight="1">
      <c r="A307" s="71" t="s">
        <v>4450</v>
      </c>
      <c r="B307" s="69"/>
      <c r="C307" s="70"/>
      <c r="D307" s="69"/>
      <c r="E307" s="69"/>
      <c r="F307" s="65"/>
      <c r="G307" s="65" t="s">
        <v>5810</v>
      </c>
      <c r="H307" s="65" t="str">
        <f>IFERROR(INDEX('Docketed Comments'!C:C,MATCH(A307,'Docketed Comments'!H:H,0))&amp;", "&amp;INDEX('Docketed Comments'!B:B,MATCH(A307,'Docketed Comments'!H:H,0)),"")</f>
        <v>Charlene (Mark), Denning</v>
      </c>
      <c r="I307" s="65" t="str">
        <f>IFERROR(INDEX('Docketed Comments'!D:D,MATCH(A307,'Docketed Comments'!H:H,0)),"")</f>
        <v>Chino Valley</v>
      </c>
      <c r="J307" s="65" t="str">
        <f>IFERROR(INDEX('Docketed Comments'!I:I,MATCH(A307,'Docketed Comments'!H:H,0)),"")</f>
        <v>R3-47</v>
      </c>
      <c r="K307" s="65" t="str">
        <f t="shared" si="9"/>
        <v>✅ On Best Plan</v>
      </c>
      <c r="L307" s="65" t="str">
        <f>IFERROR(INDEX('Docketed Comments'!F:F,MATCH(A307,'Docketed Comments'!H:H,0)),"")</f>
        <v>HAVE NO MONEY TO LIVE ON. An a.p.s. keep sucking and sucking more money out of us elderly and disable.</v>
      </c>
      <c r="M307" s="137" t="str">
        <f>IFERROR(HYPERLINK(INDEX('Docketed Comments'!G:G,MATCH(A307,'Docketed Comments'!H:H,0)),"📄 View Docket"),"")</f>
        <v>📄 View Docket</v>
      </c>
      <c r="N307" s="135">
        <f>IFERROR(INDEX('Docketed Comments'!N:N,MATCH(A307,'Docketed Comments'!H:H,0)),"")</f>
        <v>1048.1600000000001</v>
      </c>
      <c r="O307" s="135" t="str">
        <f>IFERROR(INDEX('Docketed Comments'!L:L,MATCH(A307,'Docketed Comments'!H:H,0)),"")</f>
        <v>Yes</v>
      </c>
      <c r="P307" s="136">
        <f t="shared" si="8"/>
        <v>0</v>
      </c>
      <c r="Q307" s="140"/>
      <c r="R307" s="144">
        <v>1</v>
      </c>
    </row>
    <row r="308" spans="1:18" ht="21.95" customHeight="1">
      <c r="A308" s="71" t="s">
        <v>5107</v>
      </c>
      <c r="B308" s="69"/>
      <c r="C308" s="70"/>
      <c r="D308" s="69"/>
      <c r="E308" s="69"/>
      <c r="F308" s="65"/>
      <c r="G308" s="65" t="s">
        <v>5810</v>
      </c>
      <c r="H308" s="65" t="str">
        <f>IFERROR(INDEX('Docketed Comments'!C:C,MATCH(A308,'Docketed Comments'!H:H,0))&amp;", "&amp;INDEX('Docketed Comments'!B:B,MATCH(A308,'Docketed Comments'!H:H,0)),"")</f>
        <v>Antoinette, Larson</v>
      </c>
      <c r="I308" s="65" t="str">
        <f>IFERROR(INDEX('Docketed Comments'!D:D,MATCH(A308,'Docketed Comments'!H:H,0)),"")</f>
        <v>Phoenix</v>
      </c>
      <c r="J308" s="65" t="str">
        <f>IFERROR(INDEX('Docketed Comments'!I:I,MATCH(A308,'Docketed Comments'!H:H,0)),"")</f>
        <v>R3-47</v>
      </c>
      <c r="K308" s="65" t="str">
        <f t="shared" si="9"/>
        <v>✅ On Best Plan</v>
      </c>
      <c r="L308" s="65" t="str">
        <f>IFERROR(INDEX('Docketed Comments'!F:F,MATCH(A308,'Docketed Comments'!H:H,0)),"")</f>
        <v>As someone who works n education, I am often home during the summer months and the ever rising costs for utilities sting quite a</v>
      </c>
      <c r="M308" s="137" t="str">
        <f>IFERROR(HYPERLINK(INDEX('Docketed Comments'!G:G,MATCH(A308,'Docketed Comments'!H:H,0)),"📄 View Docket"),"")</f>
        <v>📄 View Docket</v>
      </c>
      <c r="N308" s="135">
        <f>IFERROR(INDEX('Docketed Comments'!N:N,MATCH(A308,'Docketed Comments'!H:H,0)),"")</f>
        <v>450.33</v>
      </c>
      <c r="O308" s="135" t="str">
        <f>IFERROR(INDEX('Docketed Comments'!L:L,MATCH(A308,'Docketed Comments'!H:H,0)),"")</f>
        <v>Yes</v>
      </c>
      <c r="P308" s="136">
        <f t="shared" si="8"/>
        <v>0</v>
      </c>
      <c r="Q308" s="140"/>
      <c r="R308" s="144">
        <v>1</v>
      </c>
    </row>
    <row r="309" spans="1:18" ht="21.95" customHeight="1">
      <c r="A309" s="71" t="s">
        <v>5108</v>
      </c>
      <c r="B309" s="69"/>
      <c r="C309" s="70"/>
      <c r="D309" s="69"/>
      <c r="E309" s="69"/>
      <c r="F309" s="65"/>
      <c r="G309" s="65" t="s">
        <v>5810</v>
      </c>
      <c r="H309" s="65" t="str">
        <f>IFERROR(INDEX('Docketed Comments'!C:C,MATCH(A309,'Docketed Comments'!H:H,0))&amp;", "&amp;INDEX('Docketed Comments'!B:B,MATCH(A309,'Docketed Comments'!H:H,0)),"")</f>
        <v>Andrea, Holmes</v>
      </c>
      <c r="I309" s="65" t="str">
        <f>IFERROR(INDEX('Docketed Comments'!D:D,MATCH(A309,'Docketed Comments'!H:H,0)),"")</f>
        <v>Goodyear</v>
      </c>
      <c r="J309" s="65" t="str">
        <f>IFERROR(INDEX('Docketed Comments'!I:I,MATCH(A309,'Docketed Comments'!H:H,0)),"")</f>
        <v>EPR6w/ET-2</v>
      </c>
      <c r="K309" s="65" t="str">
        <f t="shared" si="9"/>
        <v>⚠ Frozen Plan</v>
      </c>
      <c r="L309" s="65" t="str">
        <f>IFERROR(INDEX('Docketed Comments'!F:F,MATCH(A309,'Docketed Comments'!H:H,0)),"")</f>
        <v>we need to stop this because we cannot afford these rate hikes. We are on fixed incomes.</v>
      </c>
      <c r="M309" s="137" t="str">
        <f>IFERROR(HYPERLINK(INDEX('Docketed Comments'!G:G,MATCH(A309,'Docketed Comments'!H:H,0)),"📄 View Docket"),"")</f>
        <v>📄 View Docket</v>
      </c>
      <c r="N309" s="135">
        <f>IFERROR(INDEX('Docketed Comments'!N:N,MATCH(A309,'Docketed Comments'!H:H,0)),"")</f>
        <v>5.37</v>
      </c>
      <c r="O309" s="135" t="str">
        <f>IFERROR(INDEX('Docketed Comments'!L:L,MATCH(A309,'Docketed Comments'!H:H,0)),"")</f>
        <v>Frozen Plan</v>
      </c>
      <c r="P309" s="136">
        <f t="shared" si="8"/>
        <v>0</v>
      </c>
      <c r="Q309" s="140"/>
      <c r="R309" s="144">
        <v>1</v>
      </c>
    </row>
    <row r="310" spans="1:18" ht="21.95" customHeight="1">
      <c r="A310" s="71" t="s">
        <v>5109</v>
      </c>
      <c r="B310" s="69" t="s">
        <v>111</v>
      </c>
      <c r="C310" s="70">
        <v>46060</v>
      </c>
      <c r="D310" s="69" t="s">
        <v>4888</v>
      </c>
      <c r="E310" s="69"/>
      <c r="F310" s="65"/>
      <c r="G310" s="65"/>
      <c r="H310" s="65" t="str">
        <f>IFERROR(INDEX('Docketed Comments'!C:C,MATCH(A310,'Docketed Comments'!H:H,0))&amp;", "&amp;INDEX('Docketed Comments'!B:B,MATCH(A310,'Docketed Comments'!H:H,0)),"")</f>
        <v>Tina, Nuccio</v>
      </c>
      <c r="I310" s="65" t="str">
        <f>IFERROR(INDEX('Docketed Comments'!D:D,MATCH(A310,'Docketed Comments'!H:H,0)),"")</f>
        <v>Cave Creek</v>
      </c>
      <c r="J310" s="65" t="str">
        <f>IFERROR(INDEX('Docketed Comments'!I:I,MATCH(A310,'Docketed Comments'!H:H,0)),"")</f>
        <v>R3-47</v>
      </c>
      <c r="K310" s="65" t="str">
        <f t="shared" si="9"/>
        <v>✅ On Best Plan</v>
      </c>
      <c r="L310" s="65" t="str">
        <f>IFERROR(INDEX('Docketed Comments'!F:F,MATCH(A310,'Docketed Comments'!H:H,0)),"")</f>
        <v>Opposed</v>
      </c>
      <c r="M310" s="137" t="str">
        <f>IFERROR(HYPERLINK(INDEX('Docketed Comments'!G:G,MATCH(A310,'Docketed Comments'!H:H,0)),"📄 View Docket"),"")</f>
        <v>📄 View Docket</v>
      </c>
      <c r="N310" s="135" t="str">
        <f>IFERROR(INDEX('Docketed Comments'!N:N,MATCH(A310,'Docketed Comments'!H:H,0)),"")</f>
        <v>No</v>
      </c>
      <c r="O310" s="135" t="str">
        <f>IFERROR(INDEX('Docketed Comments'!L:L,MATCH(A310,'Docketed Comments'!H:H,0)),"")</f>
        <v>Yes</v>
      </c>
      <c r="P310" s="136">
        <f t="shared" si="8"/>
        <v>0</v>
      </c>
      <c r="Q310" s="140" t="s">
        <v>5809</v>
      </c>
      <c r="R310" s="144">
        <v>0</v>
      </c>
    </row>
    <row r="311" spans="1:18" ht="21.95" customHeight="1">
      <c r="A311" s="71" t="s">
        <v>5110</v>
      </c>
      <c r="B311" s="69"/>
      <c r="C311" s="70"/>
      <c r="D311" s="69"/>
      <c r="E311" s="69"/>
      <c r="F311" s="65"/>
      <c r="G311" s="65" t="s">
        <v>5811</v>
      </c>
      <c r="H311" s="65" t="str">
        <f>IFERROR(INDEX('Docketed Comments'!C:C,MATCH(A311,'Docketed Comments'!H:H,0))&amp;", "&amp;INDEX('Docketed Comments'!B:B,MATCH(A311,'Docketed Comments'!H:H,0)),"")</f>
        <v>Dean, Henkel</v>
      </c>
      <c r="I311" s="65" t="str">
        <f>IFERROR(INDEX('Docketed Comments'!D:D,MATCH(A311,'Docketed Comments'!H:H,0)),"")</f>
        <v>Unknown</v>
      </c>
      <c r="J311" s="65" t="str">
        <f>IFERROR(INDEX('Docketed Comments'!I:I,MATCH(A311,'Docketed Comments'!H:H,0)),"")</f>
        <v>R-XS</v>
      </c>
      <c r="K311" s="65" t="str">
        <f t="shared" si="9"/>
        <v>✅ On Best Plan</v>
      </c>
      <c r="L311" s="65" t="str">
        <f>IFERROR(INDEX('Docketed Comments'!F:F,MATCH(A311,'Docketed Comments'!H:H,0)),"")</f>
        <v>Opposed</v>
      </c>
      <c r="M311" s="137" t="str">
        <f>IFERROR(HYPERLINK(INDEX('Docketed Comments'!G:G,MATCH(A311,'Docketed Comments'!H:H,0)),"📄 View Docket"),"")</f>
        <v>📄 View Docket</v>
      </c>
      <c r="N311" s="135" t="str">
        <f>IFERROR(INDEX('Docketed Comments'!N:N,MATCH(A311,'Docketed Comments'!H:H,0)),"")</f>
        <v>No</v>
      </c>
      <c r="O311" s="135" t="str">
        <f>IFERROR(INDEX('Docketed Comments'!L:L,MATCH(A311,'Docketed Comments'!H:H,0)),"")</f>
        <v>Yes</v>
      </c>
      <c r="P311" s="136">
        <f t="shared" si="8"/>
        <v>0</v>
      </c>
      <c r="Q311" s="140"/>
      <c r="R311" s="144">
        <v>1</v>
      </c>
    </row>
    <row r="312" spans="1:18" ht="21.95" customHeight="1">
      <c r="A312" s="71" t="s">
        <v>5111</v>
      </c>
      <c r="B312" s="69"/>
      <c r="C312" s="70"/>
      <c r="D312" s="69"/>
      <c r="E312" s="69"/>
      <c r="F312" s="65"/>
      <c r="G312" s="65" t="s">
        <v>5811</v>
      </c>
      <c r="H312" s="65" t="str">
        <f>IFERROR(INDEX('Docketed Comments'!C:C,MATCH(A312,'Docketed Comments'!H:H,0))&amp;", "&amp;INDEX('Docketed Comments'!B:B,MATCH(A312,'Docketed Comments'!H:H,0)),"")</f>
        <v>Jessica, Witte</v>
      </c>
      <c r="I312" s="65" t="str">
        <f>IFERROR(INDEX('Docketed Comments'!D:D,MATCH(A312,'Docketed Comments'!H:H,0)),"")</f>
        <v>Scottsdale</v>
      </c>
      <c r="J312" s="65" t="str">
        <f>IFERROR(INDEX('Docketed Comments'!I:I,MATCH(A312,'Docketed Comments'!H:H,0)),"")</f>
        <v>R-BASIC</v>
      </c>
      <c r="K312" s="65" t="str">
        <f t="shared" si="9"/>
        <v>✅ On Best Plan</v>
      </c>
      <c r="L312" s="65" t="str">
        <f>IFERROR(INDEX('Docketed Comments'!F:F,MATCH(A312,'Docketed Comments'!H:H,0)),"")</f>
        <v>Opposed</v>
      </c>
      <c r="M312" s="137" t="str">
        <f>IFERROR(HYPERLINK(INDEX('Docketed Comments'!G:G,MATCH(A312,'Docketed Comments'!H:H,0)),"📄 View Docket"),"")</f>
        <v>📄 View Docket</v>
      </c>
      <c r="N312" s="135" t="str">
        <f>IFERROR(INDEX('Docketed Comments'!N:N,MATCH(A312,'Docketed Comments'!H:H,0)),"")</f>
        <v>No</v>
      </c>
      <c r="O312" s="135" t="str">
        <f>IFERROR(INDEX('Docketed Comments'!L:L,MATCH(A312,'Docketed Comments'!H:H,0)),"")</f>
        <v>Yes</v>
      </c>
      <c r="P312" s="136">
        <f t="shared" si="8"/>
        <v>0</v>
      </c>
      <c r="Q312" s="140"/>
      <c r="R312" s="144">
        <v>1</v>
      </c>
    </row>
    <row r="313" spans="1:18" ht="21.95" customHeight="1">
      <c r="A313" s="71" t="s">
        <v>5112</v>
      </c>
      <c r="B313" s="69"/>
      <c r="C313" s="70"/>
      <c r="D313" s="69"/>
      <c r="E313" s="69"/>
      <c r="F313" s="65"/>
      <c r="G313" s="65" t="s">
        <v>5811</v>
      </c>
      <c r="H313" s="65" t="str">
        <f>IFERROR(INDEX('Docketed Comments'!C:C,MATCH(A313,'Docketed Comments'!H:H,0))&amp;", "&amp;INDEX('Docketed Comments'!B:B,MATCH(A313,'Docketed Comments'!H:H,0)),"")</f>
        <v>Heather, Wheatley</v>
      </c>
      <c r="I313" s="65" t="str">
        <f>IFERROR(INDEX('Docketed Comments'!D:D,MATCH(A313,'Docketed Comments'!H:H,0)),"")</f>
        <v>Surprise</v>
      </c>
      <c r="J313" s="65" t="str">
        <f>IFERROR(INDEX('Docketed Comments'!I:I,MATCH(A313,'Docketed Comments'!H:H,0)),"")</f>
        <v>R3-47</v>
      </c>
      <c r="K313" s="65" t="str">
        <f t="shared" si="9"/>
        <v>✅ On Best Plan</v>
      </c>
      <c r="L313" s="65" t="str">
        <f>IFERROR(INDEX('Docketed Comments'!F:F,MATCH(A313,'Docketed Comments'!H:H,0)),"")</f>
        <v>Opposed</v>
      </c>
      <c r="M313" s="137" t="str">
        <f>IFERROR(HYPERLINK(INDEX('Docketed Comments'!G:G,MATCH(A313,'Docketed Comments'!H:H,0)),"📄 View Docket"),"")</f>
        <v>📄 View Docket</v>
      </c>
      <c r="N313" s="135" t="str">
        <f>IFERROR(INDEX('Docketed Comments'!N:N,MATCH(A313,'Docketed Comments'!H:H,0)),"")</f>
        <v>No</v>
      </c>
      <c r="O313" s="135" t="str">
        <f>IFERROR(INDEX('Docketed Comments'!L:L,MATCH(A313,'Docketed Comments'!H:H,0)),"")</f>
        <v>Yes</v>
      </c>
      <c r="P313" s="136">
        <f t="shared" si="8"/>
        <v>0</v>
      </c>
      <c r="Q313" s="140"/>
      <c r="R313" s="144">
        <v>1</v>
      </c>
    </row>
    <row r="314" spans="1:18" ht="21.95" customHeight="1">
      <c r="A314" s="71" t="s">
        <v>5113</v>
      </c>
      <c r="B314" s="69" t="s">
        <v>111</v>
      </c>
      <c r="C314" s="70">
        <v>46060</v>
      </c>
      <c r="D314" s="69" t="s">
        <v>4865</v>
      </c>
      <c r="E314" s="69"/>
      <c r="F314" s="65" t="s">
        <v>5692</v>
      </c>
      <c r="G314" s="65"/>
      <c r="H314" s="65" t="str">
        <f>IFERROR(INDEX('Docketed Comments'!C:C,MATCH(A314,'Docketed Comments'!H:H,0))&amp;", "&amp;INDEX('Docketed Comments'!B:B,MATCH(A314,'Docketed Comments'!H:H,0)),"")</f>
        <v>Mark, Millbranth</v>
      </c>
      <c r="I314" s="65" t="str">
        <f>IFERROR(INDEX('Docketed Comments'!D:D,MATCH(A314,'Docketed Comments'!H:H,0)),"")</f>
        <v>Scottsdale</v>
      </c>
      <c r="J314" s="65" t="str">
        <f>IFERROR(INDEX('Docketed Comments'!I:I,MATCH(A314,'Docketed Comments'!H:H,0)),"")</f>
        <v>R3-47</v>
      </c>
      <c r="K314" s="65" t="str">
        <f t="shared" si="9"/>
        <v>✅ On Best Plan</v>
      </c>
      <c r="L314" s="65" t="str">
        <f>IFERROR(INDEX('Docketed Comments'!F:F,MATCH(A314,'Docketed Comments'!H:H,0)),"")</f>
        <v>Opposed</v>
      </c>
      <c r="M314" s="137" t="str">
        <f>IFERROR(HYPERLINK(INDEX('Docketed Comments'!G:G,MATCH(A314,'Docketed Comments'!H:H,0)),"📄 View Docket"),"")</f>
        <v>📄 View Docket</v>
      </c>
      <c r="N314" s="135" t="str">
        <f>IFERROR(INDEX('Docketed Comments'!N:N,MATCH(A314,'Docketed Comments'!H:H,0)),"")</f>
        <v>No</v>
      </c>
      <c r="O314" s="135" t="str">
        <f>IFERROR(INDEX('Docketed Comments'!L:L,MATCH(A314,'Docketed Comments'!H:H,0)),"")</f>
        <v>Yes</v>
      </c>
      <c r="P314" s="136">
        <f t="shared" si="8"/>
        <v>0</v>
      </c>
      <c r="Q314" s="140" t="s">
        <v>5809</v>
      </c>
      <c r="R314" s="144">
        <v>0</v>
      </c>
    </row>
    <row r="315" spans="1:18" ht="21.95" customHeight="1">
      <c r="A315" s="71" t="s">
        <v>151</v>
      </c>
      <c r="B315" s="69" t="s">
        <v>111</v>
      </c>
      <c r="C315" s="70">
        <v>46060</v>
      </c>
      <c r="D315" s="69" t="s">
        <v>4888</v>
      </c>
      <c r="E315" s="69"/>
      <c r="F315" s="65" t="s">
        <v>5694</v>
      </c>
      <c r="G315" s="65"/>
      <c r="H315" s="65" t="str">
        <f>IFERROR(INDEX('Docketed Comments'!C:C,MATCH(A315,'Docketed Comments'!H:H,0))&amp;", "&amp;INDEX('Docketed Comments'!B:B,MATCH(A315,'Docketed Comments'!H:H,0)),"")</f>
        <v>Amber, Delgado</v>
      </c>
      <c r="I315" s="65" t="str">
        <f>IFERROR(INDEX('Docketed Comments'!D:D,MATCH(A315,'Docketed Comments'!H:H,0)),"")</f>
        <v>Unknown</v>
      </c>
      <c r="J315" s="65" t="str">
        <f>IFERROR(INDEX('Docketed Comments'!I:I,MATCH(A315,'Docketed Comments'!H:H,0)),"")</f>
        <v>R3-47</v>
      </c>
      <c r="K315" s="65" t="str">
        <f t="shared" si="9"/>
        <v>✅ On Best Plan</v>
      </c>
      <c r="L315" s="65" t="str">
        <f>IFERROR(INDEX('Docketed Comments'!F:F,MATCH(A315,'Docketed Comments'!H:H,0)),"")</f>
        <v>Opposed</v>
      </c>
      <c r="M315" s="137" t="str">
        <f>IFERROR(HYPERLINK(INDEX('Docketed Comments'!G:G,MATCH(A315,'Docketed Comments'!H:H,0)),"📄 View Docket"),"")</f>
        <v>📄 View Docket</v>
      </c>
      <c r="N315" s="135" t="str">
        <f>IFERROR(INDEX('Docketed Comments'!N:N,MATCH(A315,'Docketed Comments'!H:H,0)),"")</f>
        <v>No</v>
      </c>
      <c r="O315" s="135" t="str">
        <f>IFERROR(INDEX('Docketed Comments'!L:L,MATCH(A315,'Docketed Comments'!H:H,0)),"")</f>
        <v>Yes</v>
      </c>
      <c r="P315" s="136">
        <f t="shared" si="8"/>
        <v>0</v>
      </c>
      <c r="Q315" s="140" t="s">
        <v>5809</v>
      </c>
      <c r="R315" s="144">
        <v>0</v>
      </c>
    </row>
    <row r="316" spans="1:18" ht="21.95" customHeight="1">
      <c r="A316" s="71" t="s">
        <v>5114</v>
      </c>
      <c r="B316" s="69" t="s">
        <v>111</v>
      </c>
      <c r="C316" s="70">
        <v>46060</v>
      </c>
      <c r="D316" s="69" t="s">
        <v>4865</v>
      </c>
      <c r="E316" s="69"/>
      <c r="F316" s="65" t="s">
        <v>5690</v>
      </c>
      <c r="G316" s="65"/>
      <c r="H316" s="65" t="str">
        <f>IFERROR(INDEX('Docketed Comments'!C:C,MATCH(A316,'Docketed Comments'!H:H,0))&amp;", "&amp;INDEX('Docketed Comments'!B:B,MATCH(A316,'Docketed Comments'!H:H,0)),"")</f>
        <v>Teri, Merlino</v>
      </c>
      <c r="I316" s="65" t="str">
        <f>IFERROR(INDEX('Docketed Comments'!D:D,MATCH(A316,'Docketed Comments'!H:H,0)),"")</f>
        <v>Unknown</v>
      </c>
      <c r="J316" s="65" t="str">
        <f>IFERROR(INDEX('Docketed Comments'!I:I,MATCH(A316,'Docketed Comments'!H:H,0)),"")</f>
        <v>R3-47</v>
      </c>
      <c r="K316" s="65" t="str">
        <f t="shared" si="9"/>
        <v>✅ On Best Plan</v>
      </c>
      <c r="L316" s="65" t="str">
        <f>IFERROR(INDEX('Docketed Comments'!F:F,MATCH(A316,'Docketed Comments'!H:H,0)),"")</f>
        <v>Opposed</v>
      </c>
      <c r="M316" s="137" t="str">
        <f>IFERROR(HYPERLINK(INDEX('Docketed Comments'!G:G,MATCH(A316,'Docketed Comments'!H:H,0)),"📄 View Docket"),"")</f>
        <v>📄 View Docket</v>
      </c>
      <c r="N316" s="135" t="str">
        <f>IFERROR(INDEX('Docketed Comments'!N:N,MATCH(A316,'Docketed Comments'!H:H,0)),"")</f>
        <v>No</v>
      </c>
      <c r="O316" s="135" t="str">
        <f>IFERROR(INDEX('Docketed Comments'!L:L,MATCH(A316,'Docketed Comments'!H:H,0)),"")</f>
        <v>Yes</v>
      </c>
      <c r="P316" s="136">
        <f t="shared" si="8"/>
        <v>0</v>
      </c>
      <c r="Q316" s="140" t="s">
        <v>5809</v>
      </c>
      <c r="R316" s="144">
        <v>0</v>
      </c>
    </row>
    <row r="317" spans="1:18" ht="21.95" customHeight="1">
      <c r="A317" s="71" t="s">
        <v>179</v>
      </c>
      <c r="B317" s="69"/>
      <c r="C317" s="70"/>
      <c r="D317" s="69"/>
      <c r="E317" s="69"/>
      <c r="F317" s="65"/>
      <c r="G317" s="65" t="s">
        <v>5811</v>
      </c>
      <c r="H317" s="65" t="str">
        <f>IFERROR(INDEX('Docketed Comments'!C:C,MATCH(A317,'Docketed Comments'!H:H,0))&amp;", "&amp;INDEX('Docketed Comments'!B:B,MATCH(A317,'Docketed Comments'!H:H,0)),"")</f>
        <v>Danielle, van Dalen</v>
      </c>
      <c r="I317" s="65" t="str">
        <f>IFERROR(INDEX('Docketed Comments'!D:D,MATCH(A317,'Docketed Comments'!H:H,0)),"")</f>
        <v>Surprise</v>
      </c>
      <c r="J317" s="65" t="str">
        <f>IFERROR(INDEX('Docketed Comments'!I:I,MATCH(A317,'Docketed Comments'!H:H,0)),"")</f>
        <v>R-BASIC</v>
      </c>
      <c r="K317" s="65" t="str">
        <f t="shared" si="9"/>
        <v>✅ On Best Plan</v>
      </c>
      <c r="L317" s="65" t="str">
        <f>IFERROR(INDEX('Docketed Comments'!F:F,MATCH(A317,'Docketed Comments'!H:H,0)),"")</f>
        <v>Opposed</v>
      </c>
      <c r="M317" s="137" t="str">
        <f>IFERROR(HYPERLINK(INDEX('Docketed Comments'!G:G,MATCH(A317,'Docketed Comments'!H:H,0)),"📄 View Docket"),"")</f>
        <v>📄 View Docket</v>
      </c>
      <c r="N317" s="135" t="str">
        <f>IFERROR(INDEX('Docketed Comments'!N:N,MATCH(A317,'Docketed Comments'!H:H,0)),"")</f>
        <v>No</v>
      </c>
      <c r="O317" s="135" t="str">
        <f>IFERROR(INDEX('Docketed Comments'!L:L,MATCH(A317,'Docketed Comments'!H:H,0)),"")</f>
        <v>Yes</v>
      </c>
      <c r="P317" s="136">
        <f t="shared" si="8"/>
        <v>0</v>
      </c>
      <c r="Q317" s="140"/>
      <c r="R317" s="144">
        <v>1</v>
      </c>
    </row>
    <row r="318" spans="1:18" ht="21.95" customHeight="1">
      <c r="A318" s="71" t="s">
        <v>197</v>
      </c>
      <c r="B318" s="69" t="s">
        <v>111</v>
      </c>
      <c r="C318" s="70">
        <v>46060</v>
      </c>
      <c r="D318" s="69" t="s">
        <v>4865</v>
      </c>
      <c r="E318" s="69"/>
      <c r="F318" s="65" t="s">
        <v>5695</v>
      </c>
      <c r="G318" s="65"/>
      <c r="H318" s="65" t="str">
        <f>IFERROR(INDEX('Docketed Comments'!C:C,MATCH(A318,'Docketed Comments'!H:H,0))&amp;", "&amp;INDEX('Docketed Comments'!B:B,MATCH(A318,'Docketed Comments'!H:H,0)),"")</f>
        <v>Kristal, Porter</v>
      </c>
      <c r="I318" s="65" t="str">
        <f>IFERROR(INDEX('Docketed Comments'!D:D,MATCH(A318,'Docketed Comments'!H:H,0)),"")</f>
        <v>Peoria</v>
      </c>
      <c r="J318" s="65" t="str">
        <f>IFERROR(INDEX('Docketed Comments'!I:I,MATCH(A318,'Docketed Comments'!H:H,0)),"")</f>
        <v>R3-47</v>
      </c>
      <c r="K318" s="65" t="str">
        <f t="shared" si="9"/>
        <v>✅ On Best Plan</v>
      </c>
      <c r="L318" s="65" t="str">
        <f>IFERROR(INDEX('Docketed Comments'!F:F,MATCH(A318,'Docketed Comments'!H:H,0)),"")</f>
        <v xml:space="preserve">Opposed </v>
      </c>
      <c r="M318" s="137" t="str">
        <f>IFERROR(HYPERLINK(INDEX('Docketed Comments'!G:G,MATCH(A318,'Docketed Comments'!H:H,0)),"📄 View Docket"),"")</f>
        <v>📄 View Docket</v>
      </c>
      <c r="N318" s="135" t="str">
        <f>IFERROR(INDEX('Docketed Comments'!N:N,MATCH(A318,'Docketed Comments'!H:H,0)),"")</f>
        <v>No</v>
      </c>
      <c r="O318" s="135" t="str">
        <f>IFERROR(INDEX('Docketed Comments'!L:L,MATCH(A318,'Docketed Comments'!H:H,0)),"")</f>
        <v xml:space="preserve">Yes </v>
      </c>
      <c r="P318" s="136">
        <f t="shared" si="8"/>
        <v>0</v>
      </c>
      <c r="Q318" s="140" t="s">
        <v>5809</v>
      </c>
      <c r="R318" s="144">
        <v>0</v>
      </c>
    </row>
    <row r="319" spans="1:18" ht="21.95" customHeight="1">
      <c r="A319" s="71" t="s">
        <v>207</v>
      </c>
      <c r="B319" s="69" t="s">
        <v>4887</v>
      </c>
      <c r="C319" s="70">
        <v>46067</v>
      </c>
      <c r="D319" s="69" t="s">
        <v>4888</v>
      </c>
      <c r="E319" s="69"/>
      <c r="F319" s="65" t="s">
        <v>4930</v>
      </c>
      <c r="G319" s="65"/>
      <c r="H319" s="65" t="str">
        <f>IFERROR(INDEX('Docketed Comments'!C:C,MATCH(A319,'Docketed Comments'!H:H,0))&amp;", "&amp;INDEX('Docketed Comments'!B:B,MATCH(A319,'Docketed Comments'!H:H,0)),"")</f>
        <v>Charles, McGibbon</v>
      </c>
      <c r="I319" s="65" t="str">
        <f>IFERROR(INDEX('Docketed Comments'!D:D,MATCH(A319,'Docketed Comments'!H:H,0)),"")</f>
        <v>Chino Valley</v>
      </c>
      <c r="J319" s="65" t="str">
        <f>IFERROR(INDEX('Docketed Comments'!I:I,MATCH(A319,'Docketed Comments'!H:H,0)),"")</f>
        <v>R-XS</v>
      </c>
      <c r="K319" s="65" t="str">
        <f t="shared" si="9"/>
        <v>✅ On Best Plan</v>
      </c>
      <c r="L319" s="65" t="str">
        <f>IFERROR(INDEX('Docketed Comments'!F:F,MATCH(A319,'Docketed Comments'!H:H,0)),"")</f>
        <v>Opposed</v>
      </c>
      <c r="M319" s="137" t="str">
        <f>IFERROR(HYPERLINK(INDEX('Docketed Comments'!G:G,MATCH(A319,'Docketed Comments'!H:H,0)),"📄 View Docket"),"")</f>
        <v>📄 View Docket</v>
      </c>
      <c r="N319" s="135" t="str">
        <f>IFERROR(INDEX('Docketed Comments'!N:N,MATCH(A319,'Docketed Comments'!H:H,0)),"")</f>
        <v>No</v>
      </c>
      <c r="O319" s="135" t="str">
        <f>IFERROR(INDEX('Docketed Comments'!L:L,MATCH(A319,'Docketed Comments'!H:H,0)),"")</f>
        <v>Yes</v>
      </c>
      <c r="P319" s="136">
        <f t="shared" si="8"/>
        <v>0</v>
      </c>
      <c r="Q319" s="140" t="s">
        <v>5809</v>
      </c>
      <c r="R319" s="144">
        <v>0</v>
      </c>
    </row>
    <row r="320" spans="1:18" ht="21.95" customHeight="1">
      <c r="A320" s="71" t="s">
        <v>216</v>
      </c>
      <c r="B320" s="69" t="s">
        <v>111</v>
      </c>
      <c r="C320" s="70">
        <v>46060</v>
      </c>
      <c r="D320" s="69" t="s">
        <v>4888</v>
      </c>
      <c r="E320" s="69"/>
      <c r="F320" s="65" t="s">
        <v>5688</v>
      </c>
      <c r="G320" s="65"/>
      <c r="H320" s="65" t="str">
        <f>IFERROR(INDEX('Docketed Comments'!C:C,MATCH(A320,'Docketed Comments'!H:H,0))&amp;", "&amp;INDEX('Docketed Comments'!B:B,MATCH(A320,'Docketed Comments'!H:H,0)),"")</f>
        <v>Isabella, Sanchez</v>
      </c>
      <c r="I320" s="65" t="str">
        <f>IFERROR(INDEX('Docketed Comments'!D:D,MATCH(A320,'Docketed Comments'!H:H,0)),"")</f>
        <v>Phoenix</v>
      </c>
      <c r="J320" s="65" t="str">
        <f>IFERROR(INDEX('Docketed Comments'!I:I,MATCH(A320,'Docketed Comments'!H:H,0)),"")</f>
        <v>R-BASIC</v>
      </c>
      <c r="K320" s="65" t="str">
        <f t="shared" si="9"/>
        <v>✅ On Best Plan</v>
      </c>
      <c r="L320" s="65" t="str">
        <f>IFERROR(INDEX('Docketed Comments'!F:F,MATCH(A320,'Docketed Comments'!H:H,0)),"")</f>
        <v>Opposed</v>
      </c>
      <c r="M320" s="137" t="str">
        <f>IFERROR(HYPERLINK(INDEX('Docketed Comments'!G:G,MATCH(A320,'Docketed Comments'!H:H,0)),"📄 View Docket"),"")</f>
        <v>📄 View Docket</v>
      </c>
      <c r="N320" s="135" t="str">
        <f>IFERROR(INDEX('Docketed Comments'!N:N,MATCH(A320,'Docketed Comments'!H:H,0)),"")</f>
        <v>No</v>
      </c>
      <c r="O320" s="135" t="str">
        <f>IFERROR(INDEX('Docketed Comments'!L:L,MATCH(A320,'Docketed Comments'!H:H,0)),"")</f>
        <v>Yes</v>
      </c>
      <c r="P320" s="136">
        <f t="shared" si="8"/>
        <v>0</v>
      </c>
      <c r="Q320" s="140" t="s">
        <v>5809</v>
      </c>
      <c r="R320" s="144">
        <v>0</v>
      </c>
    </row>
    <row r="321" spans="1:18" ht="21.95" customHeight="1">
      <c r="A321" s="71" t="s">
        <v>236</v>
      </c>
      <c r="B321" s="69" t="s">
        <v>111</v>
      </c>
      <c r="C321" s="70">
        <v>46060</v>
      </c>
      <c r="D321" s="69" t="s">
        <v>4888</v>
      </c>
      <c r="E321" s="69"/>
      <c r="F321" s="65" t="s">
        <v>4890</v>
      </c>
      <c r="G321" s="65"/>
      <c r="H321" s="65" t="str">
        <f>IFERROR(INDEX('Docketed Comments'!C:C,MATCH(A321,'Docketed Comments'!H:H,0))&amp;", "&amp;INDEX('Docketed Comments'!B:B,MATCH(A321,'Docketed Comments'!H:H,0)),"")</f>
        <v>Revis, Underwood</v>
      </c>
      <c r="I321" s="65" t="str">
        <f>IFERROR(INDEX('Docketed Comments'!D:D,MATCH(A321,'Docketed Comments'!H:H,0)),"")</f>
        <v>Litchfield Park</v>
      </c>
      <c r="J321" s="65" t="str">
        <f>IFERROR(INDEX('Docketed Comments'!I:I,MATCH(A321,'Docketed Comments'!H:H,0)),"")</f>
        <v>EPR-6w/E-12</v>
      </c>
      <c r="K321" s="65" t="str">
        <f t="shared" si="9"/>
        <v>⚠ Info Not Avail</v>
      </c>
      <c r="L321" s="65" t="str">
        <f>IFERROR(INDEX('Docketed Comments'!F:F,MATCH(A321,'Docketed Comments'!H:H,0)),"")</f>
        <v>Opposed</v>
      </c>
      <c r="M321" s="137" t="str">
        <f>IFERROR(HYPERLINK(INDEX('Docketed Comments'!G:G,MATCH(A321,'Docketed Comments'!H:H,0)),"📄 View Docket"),"")</f>
        <v>📄 View Docket</v>
      </c>
      <c r="N321" s="135" t="str">
        <f>IFERROR(INDEX('Docketed Comments'!N:N,MATCH(A321,'Docketed Comments'!H:H,0)),"")</f>
        <v>No</v>
      </c>
      <c r="O321" s="135" t="str">
        <f>IFERROR(INDEX('Docketed Comments'!L:L,MATCH(A321,'Docketed Comments'!H:H,0)),"")</f>
        <v>Info Not Avail</v>
      </c>
      <c r="P321" s="136">
        <f t="shared" si="8"/>
        <v>0</v>
      </c>
      <c r="Q321" s="140" t="s">
        <v>5809</v>
      </c>
      <c r="R321" s="144">
        <v>0</v>
      </c>
    </row>
    <row r="322" spans="1:18" ht="21.95" customHeight="1">
      <c r="A322" s="71" t="s">
        <v>243</v>
      </c>
      <c r="B322" s="69"/>
      <c r="C322" s="70"/>
      <c r="D322" s="69"/>
      <c r="E322" s="69"/>
      <c r="F322" s="65"/>
      <c r="G322" s="65" t="s">
        <v>5811</v>
      </c>
      <c r="H322" s="65" t="str">
        <f>IFERROR(INDEX('Docketed Comments'!C:C,MATCH(A322,'Docketed Comments'!H:H,0))&amp;", "&amp;INDEX('Docketed Comments'!B:B,MATCH(A322,'Docketed Comments'!H:H,0)),"")</f>
        <v>Dennis, Hacker</v>
      </c>
      <c r="I322" s="65" t="str">
        <f>IFERROR(INDEX('Docketed Comments'!D:D,MATCH(A322,'Docketed Comments'!H:H,0)),"")</f>
        <v>Phoenix</v>
      </c>
      <c r="J322" s="65" t="str">
        <f>IFERROR(INDEX('Docketed Comments'!I:I,MATCH(A322,'Docketed Comments'!H:H,0)),"")</f>
        <v>RCPw/R3-47</v>
      </c>
      <c r="K322" s="65" t="str">
        <f t="shared" si="9"/>
        <v>✅ On Best Plan</v>
      </c>
      <c r="L322" s="65" t="str">
        <f>IFERROR(INDEX('Docketed Comments'!F:F,MATCH(A322,'Docketed Comments'!H:H,0)),"")</f>
        <v>Pole Attachments</v>
      </c>
      <c r="M322" s="137" t="str">
        <f>IFERROR(HYPERLINK(INDEX('Docketed Comments'!G:G,MATCH(A322,'Docketed Comments'!H:H,0)),"📄 View Docket"),"")</f>
        <v>📄 View Docket</v>
      </c>
      <c r="N322" s="135" t="str">
        <f>IFERROR(INDEX('Docketed Comments'!N:N,MATCH(A322,'Docketed Comments'!H:H,0)),"")</f>
        <v>No</v>
      </c>
      <c r="O322" s="135" t="str">
        <f>IFERROR(INDEX('Docketed Comments'!L:L,MATCH(A322,'Docketed Comments'!H:H,0)),"")</f>
        <v>Yes</v>
      </c>
      <c r="P322" s="136">
        <f t="shared" ref="P322:P385" si="10">IFERROR(IF(ISNUMBER(SEARCH("$",O322)),VALUE(SUBSTITUTE(SUBSTITUTE(MID(O322,FIND("$",O322)+1,FIND(")",O322)-FIND("$",O322)-1),",","")," ","")),VALUE(SUBSTITUTE(SUBSTITUTE(MID(O322,FIND("(",O322)+1,FIND(")",O322)-FIND("(",O322)-1),",","")," ",""))),0)</f>
        <v>0</v>
      </c>
      <c r="Q322" s="140"/>
      <c r="R322" s="144">
        <v>1</v>
      </c>
    </row>
    <row r="323" spans="1:18" ht="21.95" customHeight="1">
      <c r="A323" s="71" t="s">
        <v>5115</v>
      </c>
      <c r="B323" s="69"/>
      <c r="C323" s="70"/>
      <c r="D323" s="69"/>
      <c r="E323" s="69"/>
      <c r="F323" s="65"/>
      <c r="G323" s="65" t="s">
        <v>5811</v>
      </c>
      <c r="H323" s="65" t="str">
        <f>IFERROR(INDEX('Docketed Comments'!C:C,MATCH(A323,'Docketed Comments'!H:H,0))&amp;", "&amp;INDEX('Docketed Comments'!B:B,MATCH(A323,'Docketed Comments'!H:H,0)),"")</f>
        <v>Steven, Snyder</v>
      </c>
      <c r="I323" s="65" t="str">
        <f>IFERROR(INDEX('Docketed Comments'!D:D,MATCH(A323,'Docketed Comments'!H:H,0)),"")</f>
        <v>Prescott Valley</v>
      </c>
      <c r="J323" s="65" t="str">
        <f>IFERROR(INDEX('Docketed Comments'!I:I,MATCH(A323,'Docketed Comments'!H:H,0)),"")</f>
        <v>RCPw/R3-47</v>
      </c>
      <c r="K323" s="65" t="str">
        <f t="shared" ref="K323:K386" si="11">IFERROR(IF(OR(LEFT(O323,2)="No",LEFT(O323,3)="Not"),"❌ Not on Best Plan",IF(OR(O323="Yes",O323="Y",O323="Yes "),"✅ On Best Plan","⚠ "&amp;O323)),"")</f>
        <v>✅ On Best Plan</v>
      </c>
      <c r="L323" s="65" t="str">
        <f>IFERROR(INDEX('Docketed Comments'!F:F,MATCH(A323,'Docketed Comments'!H:H,0)),"")</f>
        <v>Opposed</v>
      </c>
      <c r="M323" s="137" t="str">
        <f>IFERROR(HYPERLINK(INDEX('Docketed Comments'!G:G,MATCH(A323,'Docketed Comments'!H:H,0)),"📄 View Docket"),"")</f>
        <v>📄 View Docket</v>
      </c>
      <c r="N323" s="135" t="str">
        <f>IFERROR(INDEX('Docketed Comments'!N:N,MATCH(A323,'Docketed Comments'!H:H,0)),"")</f>
        <v>No</v>
      </c>
      <c r="O323" s="135" t="str">
        <f>IFERROR(INDEX('Docketed Comments'!L:L,MATCH(A323,'Docketed Comments'!H:H,0)),"")</f>
        <v>Yes</v>
      </c>
      <c r="P323" s="136">
        <f t="shared" si="10"/>
        <v>0</v>
      </c>
      <c r="Q323" s="140"/>
      <c r="R323" s="144">
        <v>1</v>
      </c>
    </row>
    <row r="324" spans="1:18" ht="21.95" customHeight="1">
      <c r="A324" s="71" t="s">
        <v>281</v>
      </c>
      <c r="B324" s="69"/>
      <c r="C324" s="70"/>
      <c r="D324" s="69"/>
      <c r="E324" s="69"/>
      <c r="F324" s="65"/>
      <c r="G324" s="65" t="s">
        <v>5811</v>
      </c>
      <c r="H324" s="65" t="str">
        <f>IFERROR(INDEX('Docketed Comments'!C:C,MATCH(A324,'Docketed Comments'!H:H,0))&amp;", "&amp;INDEX('Docketed Comments'!B:B,MATCH(A324,'Docketed Comments'!H:H,0)),"")</f>
        <v>Karen, Sternberg</v>
      </c>
      <c r="I324" s="65" t="str">
        <f>IFERROR(INDEX('Docketed Comments'!D:D,MATCH(A324,'Docketed Comments'!H:H,0)),"")</f>
        <v>Sedona</v>
      </c>
      <c r="J324" s="65" t="str">
        <f>IFERROR(INDEX('Docketed Comments'!I:I,MATCH(A324,'Docketed Comments'!H:H,0)),"")</f>
        <v xml:space="preserve">R-XS </v>
      </c>
      <c r="K324" s="65" t="str">
        <f t="shared" si="11"/>
        <v>✅ On Best Plan</v>
      </c>
      <c r="L324" s="65" t="str">
        <f>IFERROR(INDEX('Docketed Comments'!F:F,MATCH(A324,'Docketed Comments'!H:H,0)),"")</f>
        <v>Comments are about water rates</v>
      </c>
      <c r="M324" s="137" t="str">
        <f>IFERROR(HYPERLINK(INDEX('Docketed Comments'!G:G,MATCH(A324,'Docketed Comments'!H:H,0)),"📄 View Docket"),"")</f>
        <v>📄 View Docket</v>
      </c>
      <c r="N324" s="135" t="str">
        <f>IFERROR(INDEX('Docketed Comments'!N:N,MATCH(A324,'Docketed Comments'!H:H,0)),"")</f>
        <v>No</v>
      </c>
      <c r="O324" s="135" t="str">
        <f>IFERROR(INDEX('Docketed Comments'!L:L,MATCH(A324,'Docketed Comments'!H:H,0)),"")</f>
        <v>Yes</v>
      </c>
      <c r="P324" s="136">
        <f t="shared" si="10"/>
        <v>0</v>
      </c>
      <c r="Q324" s="140"/>
      <c r="R324" s="144">
        <v>1</v>
      </c>
    </row>
    <row r="325" spans="1:18" ht="21.95" customHeight="1">
      <c r="A325" s="71" t="s">
        <v>5116</v>
      </c>
      <c r="B325" s="69"/>
      <c r="C325" s="70"/>
      <c r="D325" s="69"/>
      <c r="E325" s="69"/>
      <c r="F325" s="65"/>
      <c r="G325" s="65" t="s">
        <v>5811</v>
      </c>
      <c r="H325" s="65" t="str">
        <f>IFERROR(INDEX('Docketed Comments'!C:C,MATCH(A325,'Docketed Comments'!H:H,0))&amp;", "&amp;INDEX('Docketed Comments'!B:B,MATCH(A325,'Docketed Comments'!H:H,0)),"")</f>
        <v>Tiffany, Lovato</v>
      </c>
      <c r="I325" s="65" t="str">
        <f>IFERROR(INDEX('Docketed Comments'!D:D,MATCH(A325,'Docketed Comments'!H:H,0)),"")</f>
        <v>Surprise</v>
      </c>
      <c r="J325" s="65" t="str">
        <f>IFERROR(INDEX('Docketed Comments'!I:I,MATCH(A325,'Docketed Comments'!H:H,0)),"")</f>
        <v>R-BASIC</v>
      </c>
      <c r="K325" s="65" t="str">
        <f t="shared" si="11"/>
        <v>✅ On Best Plan</v>
      </c>
      <c r="L325" s="65" t="str">
        <f>IFERROR(INDEX('Docketed Comments'!F:F,MATCH(A325,'Docketed Comments'!H:H,0)),"")</f>
        <v>Opposed</v>
      </c>
      <c r="M325" s="137" t="str">
        <f>IFERROR(HYPERLINK(INDEX('Docketed Comments'!G:G,MATCH(A325,'Docketed Comments'!H:H,0)),"📄 View Docket"),"")</f>
        <v>📄 View Docket</v>
      </c>
      <c r="N325" s="135" t="str">
        <f>IFERROR(INDEX('Docketed Comments'!N:N,MATCH(A325,'Docketed Comments'!H:H,0)),"")</f>
        <v>No</v>
      </c>
      <c r="O325" s="135" t="str">
        <f>IFERROR(INDEX('Docketed Comments'!L:L,MATCH(A325,'Docketed Comments'!H:H,0)),"")</f>
        <v xml:space="preserve">Yes </v>
      </c>
      <c r="P325" s="136">
        <f t="shared" si="10"/>
        <v>0</v>
      </c>
      <c r="Q325" s="140"/>
      <c r="R325" s="144">
        <v>1</v>
      </c>
    </row>
    <row r="326" spans="1:18" ht="21.95" customHeight="1">
      <c r="A326" s="71" t="s">
        <v>5117</v>
      </c>
      <c r="B326" s="69" t="s">
        <v>111</v>
      </c>
      <c r="C326" s="70">
        <v>46067</v>
      </c>
      <c r="D326" s="69" t="s">
        <v>4865</v>
      </c>
      <c r="E326" s="69"/>
      <c r="F326" s="65" t="s">
        <v>4890</v>
      </c>
      <c r="G326" s="65"/>
      <c r="H326" s="65" t="str">
        <f>IFERROR(INDEX('Docketed Comments'!C:C,MATCH(A326,'Docketed Comments'!H:H,0))&amp;", "&amp;INDEX('Docketed Comments'!B:B,MATCH(A326,'Docketed Comments'!H:H,0)),"")</f>
        <v>David, Read</v>
      </c>
      <c r="I326" s="65" t="str">
        <f>IFERROR(INDEX('Docketed Comments'!D:D,MATCH(A326,'Docketed Comments'!H:H,0)),"")</f>
        <v xml:space="preserve">Peoria </v>
      </c>
      <c r="J326" s="65" t="str">
        <f>IFERROR(INDEX('Docketed Comments'!I:I,MATCH(A326,'Docketed Comments'!H:H,0)),"")</f>
        <v>RTOUE47</v>
      </c>
      <c r="K326" s="65" t="str">
        <f t="shared" si="11"/>
        <v>✅ On Best Plan</v>
      </c>
      <c r="L326" s="65" t="str">
        <f>IFERROR(INDEX('Docketed Comments'!F:F,MATCH(A326,'Docketed Comments'!H:H,0)),"")</f>
        <v>Opposed</v>
      </c>
      <c r="M326" s="137" t="str">
        <f>IFERROR(HYPERLINK(INDEX('Docketed Comments'!G:G,MATCH(A326,'Docketed Comments'!H:H,0)),"📄 View Docket"),"")</f>
        <v>📄 View Docket</v>
      </c>
      <c r="N326" s="135" t="str">
        <f>IFERROR(INDEX('Docketed Comments'!N:N,MATCH(A326,'Docketed Comments'!H:H,0)),"")</f>
        <v>No</v>
      </c>
      <c r="O326" s="135" t="str">
        <f>IFERROR(INDEX('Docketed Comments'!L:L,MATCH(A326,'Docketed Comments'!H:H,0)),"")</f>
        <v>Yes</v>
      </c>
      <c r="P326" s="136">
        <f t="shared" si="10"/>
        <v>0</v>
      </c>
      <c r="Q326" s="140" t="s">
        <v>5809</v>
      </c>
      <c r="R326" s="144">
        <v>0</v>
      </c>
    </row>
    <row r="327" spans="1:18" ht="21.95" customHeight="1">
      <c r="A327" s="71" t="s">
        <v>5118</v>
      </c>
      <c r="B327" s="69"/>
      <c r="C327" s="70"/>
      <c r="D327" s="69"/>
      <c r="E327" s="69"/>
      <c r="F327" s="65"/>
      <c r="G327" s="65" t="s">
        <v>5811</v>
      </c>
      <c r="H327" s="65" t="str">
        <f>IFERROR(INDEX('Docketed Comments'!C:C,MATCH(A327,'Docketed Comments'!H:H,0))&amp;", "&amp;INDEX('Docketed Comments'!B:B,MATCH(A327,'Docketed Comments'!H:H,0)),"")</f>
        <v>Nam, Huynh</v>
      </c>
      <c r="I327" s="65" t="str">
        <f>IFERROR(INDEX('Docketed Comments'!D:D,MATCH(A327,'Docketed Comments'!H:H,0)),"")</f>
        <v>Buckeye</v>
      </c>
      <c r="J327" s="65" t="str">
        <f>IFERROR(INDEX('Docketed Comments'!I:I,MATCH(A327,'Docketed Comments'!H:H,0)),"")</f>
        <v>R3-47</v>
      </c>
      <c r="K327" s="65" t="str">
        <f t="shared" si="11"/>
        <v>✅ On Best Plan</v>
      </c>
      <c r="L327" s="65" t="str">
        <f>IFERROR(INDEX('Docketed Comments'!F:F,MATCH(A327,'Docketed Comments'!H:H,0)),"")</f>
        <v>Opposed</v>
      </c>
      <c r="M327" s="137" t="str">
        <f>IFERROR(HYPERLINK(INDEX('Docketed Comments'!G:G,MATCH(A327,'Docketed Comments'!H:H,0)),"📄 View Docket"),"")</f>
        <v>📄 View Docket</v>
      </c>
      <c r="N327" s="135" t="str">
        <f>IFERROR(INDEX('Docketed Comments'!N:N,MATCH(A327,'Docketed Comments'!H:H,0)),"")</f>
        <v>No</v>
      </c>
      <c r="O327" s="135" t="str">
        <f>IFERROR(INDEX('Docketed Comments'!L:L,MATCH(A327,'Docketed Comments'!H:H,0)),"")</f>
        <v>Yes</v>
      </c>
      <c r="P327" s="136">
        <f t="shared" si="10"/>
        <v>0</v>
      </c>
      <c r="Q327" s="140"/>
      <c r="R327" s="144">
        <v>1</v>
      </c>
    </row>
    <row r="328" spans="1:18" ht="21.95" customHeight="1">
      <c r="A328" s="71" t="s">
        <v>5119</v>
      </c>
      <c r="B328" s="69"/>
      <c r="C328" s="70"/>
      <c r="D328" s="69"/>
      <c r="E328" s="69"/>
      <c r="F328" s="65"/>
      <c r="G328" s="65" t="s">
        <v>5811</v>
      </c>
      <c r="H328" s="65" t="str">
        <f>IFERROR(INDEX('Docketed Comments'!C:C,MATCH(A328,'Docketed Comments'!H:H,0))&amp;", "&amp;INDEX('Docketed Comments'!B:B,MATCH(A328,'Docketed Comments'!H:H,0)),"")</f>
        <v>Ethan, Wood</v>
      </c>
      <c r="I328" s="65" t="str">
        <f>IFERROR(INDEX('Docketed Comments'!D:D,MATCH(A328,'Docketed Comments'!H:H,0)),"")</f>
        <v>Phoenix</v>
      </c>
      <c r="J328" s="65" t="str">
        <f>IFERROR(INDEX('Docketed Comments'!I:I,MATCH(A328,'Docketed Comments'!H:H,0)),"")</f>
        <v>R3-47</v>
      </c>
      <c r="K328" s="65" t="str">
        <f t="shared" si="11"/>
        <v>✅ On Best Plan</v>
      </c>
      <c r="L328" s="65" t="str">
        <f>IFERROR(INDEX('Docketed Comments'!F:F,MATCH(A328,'Docketed Comments'!H:H,0)),"")</f>
        <v>Form letter</v>
      </c>
      <c r="M328" s="137" t="str">
        <f>IFERROR(HYPERLINK(INDEX('Docketed Comments'!G:G,MATCH(A328,'Docketed Comments'!H:H,0)),"📄 View Docket"),"")</f>
        <v>📄 View Docket</v>
      </c>
      <c r="N328" s="135" t="str">
        <f>IFERROR(INDEX('Docketed Comments'!N:N,MATCH(A328,'Docketed Comments'!H:H,0)),"")</f>
        <v>No</v>
      </c>
      <c r="O328" s="135" t="str">
        <f>IFERROR(INDEX('Docketed Comments'!L:L,MATCH(A328,'Docketed Comments'!H:H,0)),"")</f>
        <v>Yes</v>
      </c>
      <c r="P328" s="136">
        <f t="shared" si="10"/>
        <v>0</v>
      </c>
      <c r="Q328" s="140"/>
      <c r="R328" s="144">
        <v>1</v>
      </c>
    </row>
    <row r="329" spans="1:18" ht="21.95" customHeight="1">
      <c r="A329" s="71" t="s">
        <v>320</v>
      </c>
      <c r="B329" s="69" t="s">
        <v>111</v>
      </c>
      <c r="C329" s="70">
        <v>46067</v>
      </c>
      <c r="D329" s="69" t="s">
        <v>4888</v>
      </c>
      <c r="E329" s="69"/>
      <c r="F329" s="65"/>
      <c r="G329" s="65"/>
      <c r="H329" s="65" t="str">
        <f>IFERROR(INDEX('Docketed Comments'!C:C,MATCH(A329,'Docketed Comments'!H:H,0))&amp;", "&amp;INDEX('Docketed Comments'!B:B,MATCH(A329,'Docketed Comments'!H:H,0)),"")</f>
        <v>John, Keller</v>
      </c>
      <c r="I329" s="65" t="str">
        <f>IFERROR(INDEX('Docketed Comments'!D:D,MATCH(A329,'Docketed Comments'!H:H,0)),"")</f>
        <v>Phoenix</v>
      </c>
      <c r="J329" s="65" t="str">
        <f>IFERROR(INDEX('Docketed Comments'!I:I,MATCH(A329,'Docketed Comments'!H:H,0)),"")</f>
        <v>R3-47</v>
      </c>
      <c r="K329" s="65" t="str">
        <f t="shared" si="11"/>
        <v>✅ On Best Plan</v>
      </c>
      <c r="L329" s="65" t="str">
        <f>IFERROR(INDEX('Docketed Comments'!F:F,MATCH(A329,'Docketed Comments'!H:H,0)),"")</f>
        <v>Opposed</v>
      </c>
      <c r="M329" s="137" t="str">
        <f>IFERROR(HYPERLINK(INDEX('Docketed Comments'!G:G,MATCH(A329,'Docketed Comments'!H:H,0)),"📄 View Docket"),"")</f>
        <v>📄 View Docket</v>
      </c>
      <c r="N329" s="135" t="str">
        <f>IFERROR(INDEX('Docketed Comments'!N:N,MATCH(A329,'Docketed Comments'!H:H,0)),"")</f>
        <v>No</v>
      </c>
      <c r="O329" s="135" t="str">
        <f>IFERROR(INDEX('Docketed Comments'!L:L,MATCH(A329,'Docketed Comments'!H:H,0)),"")</f>
        <v>Yes</v>
      </c>
      <c r="P329" s="136">
        <f t="shared" si="10"/>
        <v>0</v>
      </c>
      <c r="Q329" s="140" t="s">
        <v>5809</v>
      </c>
      <c r="R329" s="144">
        <v>0</v>
      </c>
    </row>
    <row r="330" spans="1:18" ht="21.95" customHeight="1">
      <c r="A330" s="71" t="s">
        <v>5120</v>
      </c>
      <c r="B330" s="69"/>
      <c r="C330" s="70"/>
      <c r="D330" s="69"/>
      <c r="E330" s="69"/>
      <c r="F330" s="65"/>
      <c r="G330" s="65" t="s">
        <v>5811</v>
      </c>
      <c r="H330" s="65" t="str">
        <f>IFERROR(INDEX('Docketed Comments'!C:C,MATCH(A330,'Docketed Comments'!H:H,0))&amp;", "&amp;INDEX('Docketed Comments'!B:B,MATCH(A330,'Docketed Comments'!H:H,0)),"")</f>
        <v>Shannon, Vint</v>
      </c>
      <c r="I330" s="65" t="str">
        <f>IFERROR(INDEX('Docketed Comments'!D:D,MATCH(A330,'Docketed Comments'!H:H,0)),"")</f>
        <v>Phoenix</v>
      </c>
      <c r="J330" s="65" t="str">
        <f>IFERROR(INDEX('Docketed Comments'!I:I,MATCH(A330,'Docketed Comments'!H:H,0)),"")</f>
        <v>R-BASIC</v>
      </c>
      <c r="K330" s="65" t="str">
        <f t="shared" si="11"/>
        <v>✅ On Best Plan</v>
      </c>
      <c r="L330" s="65" t="str">
        <f>IFERROR(INDEX('Docketed Comments'!F:F,MATCH(A330,'Docketed Comments'!H:H,0)),"")</f>
        <v>Form letter</v>
      </c>
      <c r="M330" s="137" t="str">
        <f>IFERROR(HYPERLINK(INDEX('Docketed Comments'!G:G,MATCH(A330,'Docketed Comments'!H:H,0)),"📄 View Docket"),"")</f>
        <v>📄 View Docket</v>
      </c>
      <c r="N330" s="135" t="str">
        <f>IFERROR(INDEX('Docketed Comments'!N:N,MATCH(A330,'Docketed Comments'!H:H,0)),"")</f>
        <v>No</v>
      </c>
      <c r="O330" s="135" t="str">
        <f>IFERROR(INDEX('Docketed Comments'!L:L,MATCH(A330,'Docketed Comments'!H:H,0)),"")</f>
        <v>Yes</v>
      </c>
      <c r="P330" s="136">
        <f t="shared" si="10"/>
        <v>0</v>
      </c>
      <c r="Q330" s="140"/>
      <c r="R330" s="144">
        <v>1</v>
      </c>
    </row>
    <row r="331" spans="1:18" ht="21.95" customHeight="1">
      <c r="A331" s="71" t="s">
        <v>338</v>
      </c>
      <c r="B331" s="69" t="s">
        <v>111</v>
      </c>
      <c r="C331" s="70">
        <v>46067</v>
      </c>
      <c r="D331" s="69" t="s">
        <v>4865</v>
      </c>
      <c r="E331" s="69"/>
      <c r="F331" s="65" t="s">
        <v>4890</v>
      </c>
      <c r="G331" s="65"/>
      <c r="H331" s="65" t="str">
        <f>IFERROR(INDEX('Docketed Comments'!C:C,MATCH(A331,'Docketed Comments'!H:H,0))&amp;", "&amp;INDEX('Docketed Comments'!B:B,MATCH(A331,'Docketed Comments'!H:H,0)),"")</f>
        <v>Ciara, Lafond</v>
      </c>
      <c r="I331" s="65" t="str">
        <f>IFERROR(INDEX('Docketed Comments'!D:D,MATCH(A331,'Docketed Comments'!H:H,0)),"")</f>
        <v>Buckeye</v>
      </c>
      <c r="J331" s="65" t="str">
        <f>IFERROR(INDEX('Docketed Comments'!I:I,MATCH(A331,'Docketed Comments'!H:H,0)),"")</f>
        <v>RTOUE47</v>
      </c>
      <c r="K331" s="65" t="str">
        <f t="shared" si="11"/>
        <v>✅ On Best Plan</v>
      </c>
      <c r="L331" s="65" t="str">
        <f>IFERROR(INDEX('Docketed Comments'!F:F,MATCH(A331,'Docketed Comments'!H:H,0)),"")</f>
        <v>Opposed</v>
      </c>
      <c r="M331" s="137" t="str">
        <f>IFERROR(HYPERLINK(INDEX('Docketed Comments'!G:G,MATCH(A331,'Docketed Comments'!H:H,0)),"📄 View Docket"),"")</f>
        <v>📄 View Docket</v>
      </c>
      <c r="N331" s="135" t="str">
        <f>IFERROR(INDEX('Docketed Comments'!N:N,MATCH(A331,'Docketed Comments'!H:H,0)),"")</f>
        <v>No</v>
      </c>
      <c r="O331" s="135" t="str">
        <f>IFERROR(INDEX('Docketed Comments'!L:L,MATCH(A331,'Docketed Comments'!H:H,0)),"")</f>
        <v>Yes</v>
      </c>
      <c r="P331" s="136">
        <f t="shared" si="10"/>
        <v>0</v>
      </c>
      <c r="Q331" s="140" t="s">
        <v>5809</v>
      </c>
      <c r="R331" s="144">
        <v>0</v>
      </c>
    </row>
    <row r="332" spans="1:18" ht="21.95" customHeight="1">
      <c r="A332" s="71" t="s">
        <v>357</v>
      </c>
      <c r="B332" s="69"/>
      <c r="C332" s="70"/>
      <c r="D332" s="69"/>
      <c r="E332" s="69"/>
      <c r="F332" s="65"/>
      <c r="G332" s="65" t="s">
        <v>5811</v>
      </c>
      <c r="H332" s="65" t="str">
        <f>IFERROR(INDEX('Docketed Comments'!C:C,MATCH(A332,'Docketed Comments'!H:H,0))&amp;", "&amp;INDEX('Docketed Comments'!B:B,MATCH(A332,'Docketed Comments'!H:H,0)),"")</f>
        <v>Paul, Tighe</v>
      </c>
      <c r="I332" s="65" t="str">
        <f>IFERROR(INDEX('Docketed Comments'!D:D,MATCH(A332,'Docketed Comments'!H:H,0)),"")</f>
        <v>Litchfield Park</v>
      </c>
      <c r="J332" s="65" t="str">
        <f>IFERROR(INDEX('Docketed Comments'!I:I,MATCH(A332,'Docketed Comments'!H:H,0)),"")</f>
        <v>R3-47</v>
      </c>
      <c r="K332" s="65" t="str">
        <f t="shared" si="11"/>
        <v>✅ On Best Plan</v>
      </c>
      <c r="L332" s="65" t="str">
        <f>IFERROR(INDEX('Docketed Comments'!F:F,MATCH(A332,'Docketed Comments'!H:H,0)),"")</f>
        <v>Opposed</v>
      </c>
      <c r="M332" s="137" t="str">
        <f>IFERROR(HYPERLINK(INDEX('Docketed Comments'!G:G,MATCH(A332,'Docketed Comments'!H:H,0)),"📄 View Docket"),"")</f>
        <v>📄 View Docket</v>
      </c>
      <c r="N332" s="135" t="str">
        <f>IFERROR(INDEX('Docketed Comments'!N:N,MATCH(A332,'Docketed Comments'!H:H,0)),"")</f>
        <v>No</v>
      </c>
      <c r="O332" s="135" t="str">
        <f>IFERROR(INDEX('Docketed Comments'!L:L,MATCH(A332,'Docketed Comments'!H:H,0)),"")</f>
        <v>Yes</v>
      </c>
      <c r="P332" s="136">
        <f t="shared" si="10"/>
        <v>0</v>
      </c>
      <c r="Q332" s="140"/>
      <c r="R332" s="144">
        <v>1</v>
      </c>
    </row>
    <row r="333" spans="1:18" ht="21.95" customHeight="1">
      <c r="A333" s="71" t="s">
        <v>359</v>
      </c>
      <c r="B333" s="69" t="s">
        <v>111</v>
      </c>
      <c r="C333" s="70">
        <v>46067</v>
      </c>
      <c r="D333" s="69" t="s">
        <v>4888</v>
      </c>
      <c r="E333" s="69"/>
      <c r="F333" s="65"/>
      <c r="G333" s="65"/>
      <c r="H333" s="65" t="str">
        <f>IFERROR(INDEX('Docketed Comments'!C:C,MATCH(A333,'Docketed Comments'!H:H,0))&amp;", "&amp;INDEX('Docketed Comments'!B:B,MATCH(A333,'Docketed Comments'!H:H,0)),"")</f>
        <v>Karen, Ward</v>
      </c>
      <c r="I333" s="65" t="str">
        <f>IFERROR(INDEX('Docketed Comments'!D:D,MATCH(A333,'Docketed Comments'!H:H,0)),"")</f>
        <v>Surprise</v>
      </c>
      <c r="J333" s="65" t="str">
        <f>IFERROR(INDEX('Docketed Comments'!I:I,MATCH(A333,'Docketed Comments'!H:H,0)),"")</f>
        <v xml:space="preserve">R-XS </v>
      </c>
      <c r="K333" s="65" t="str">
        <f t="shared" si="11"/>
        <v>✅ On Best Plan</v>
      </c>
      <c r="L333" s="65" t="str">
        <f>IFERROR(INDEX('Docketed Comments'!F:F,MATCH(A333,'Docketed Comments'!H:H,0)),"")</f>
        <v>Opposed</v>
      </c>
      <c r="M333" s="137" t="str">
        <f>IFERROR(HYPERLINK(INDEX('Docketed Comments'!G:G,MATCH(A333,'Docketed Comments'!H:H,0)),"📄 View Docket"),"")</f>
        <v>📄 View Docket</v>
      </c>
      <c r="N333" s="135" t="str">
        <f>IFERROR(INDEX('Docketed Comments'!N:N,MATCH(A333,'Docketed Comments'!H:H,0)),"")</f>
        <v>No</v>
      </c>
      <c r="O333" s="135" t="str">
        <f>IFERROR(INDEX('Docketed Comments'!L:L,MATCH(A333,'Docketed Comments'!H:H,0)),"")</f>
        <v>Yes</v>
      </c>
      <c r="P333" s="136">
        <f t="shared" si="10"/>
        <v>0</v>
      </c>
      <c r="Q333" s="140" t="s">
        <v>5809</v>
      </c>
      <c r="R333" s="144">
        <v>0</v>
      </c>
    </row>
    <row r="334" spans="1:18" ht="21.95" customHeight="1">
      <c r="A334" s="71" t="s">
        <v>364</v>
      </c>
      <c r="B334" s="69"/>
      <c r="C334" s="70"/>
      <c r="D334" s="69"/>
      <c r="E334" s="69"/>
      <c r="F334" s="65"/>
      <c r="G334" s="65" t="s">
        <v>5811</v>
      </c>
      <c r="H334" s="65" t="str">
        <f>IFERROR(INDEX('Docketed Comments'!C:C,MATCH(A334,'Docketed Comments'!H:H,0))&amp;", "&amp;INDEX('Docketed Comments'!B:B,MATCH(A334,'Docketed Comments'!H:H,0)),"")</f>
        <v>Destiny, Nash</v>
      </c>
      <c r="I334" s="65" t="str">
        <f>IFERROR(INDEX('Docketed Comments'!D:D,MATCH(A334,'Docketed Comments'!H:H,0)),"")</f>
        <v>Chandler</v>
      </c>
      <c r="J334" s="65" t="str">
        <f>IFERROR(INDEX('Docketed Comments'!I:I,MATCH(A334,'Docketed Comments'!H:H,0)),"")</f>
        <v>R3-47</v>
      </c>
      <c r="K334" s="65" t="str">
        <f t="shared" si="11"/>
        <v>✅ On Best Plan</v>
      </c>
      <c r="L334" s="65" t="str">
        <f>IFERROR(INDEX('Docketed Comments'!F:F,MATCH(A334,'Docketed Comments'!H:H,0)),"")</f>
        <v>Opposed</v>
      </c>
      <c r="M334" s="137" t="str">
        <f>IFERROR(HYPERLINK(INDEX('Docketed Comments'!G:G,MATCH(A334,'Docketed Comments'!H:H,0)),"📄 View Docket"),"")</f>
        <v>📄 View Docket</v>
      </c>
      <c r="N334" s="135" t="str">
        <f>IFERROR(INDEX('Docketed Comments'!N:N,MATCH(A334,'Docketed Comments'!H:H,0)),"")</f>
        <v>No</v>
      </c>
      <c r="O334" s="135" t="str">
        <f>IFERROR(INDEX('Docketed Comments'!L:L,MATCH(A334,'Docketed Comments'!H:H,0)),"")</f>
        <v>Yes</v>
      </c>
      <c r="P334" s="136">
        <f t="shared" si="10"/>
        <v>0</v>
      </c>
      <c r="Q334" s="140"/>
      <c r="R334" s="144">
        <v>1</v>
      </c>
    </row>
    <row r="335" spans="1:18" ht="21.95" customHeight="1">
      <c r="A335" s="71" t="s">
        <v>367</v>
      </c>
      <c r="B335" s="69" t="s">
        <v>111</v>
      </c>
      <c r="C335" s="70">
        <v>46067</v>
      </c>
      <c r="D335" s="69" t="s">
        <v>4888</v>
      </c>
      <c r="E335" s="69"/>
      <c r="F335" s="65"/>
      <c r="G335" s="65"/>
      <c r="H335" s="65" t="str">
        <f>IFERROR(INDEX('Docketed Comments'!C:C,MATCH(A335,'Docketed Comments'!H:H,0))&amp;", "&amp;INDEX('Docketed Comments'!B:B,MATCH(A335,'Docketed Comments'!H:H,0)),"")</f>
        <v>Abby, Wilkymacky</v>
      </c>
      <c r="I335" s="65" t="str">
        <f>IFERROR(INDEX('Docketed Comments'!D:D,MATCH(A335,'Docketed Comments'!H:H,0)),"")</f>
        <v>Phoenix</v>
      </c>
      <c r="J335" s="65" t="str">
        <f>IFERROR(INDEX('Docketed Comments'!I:I,MATCH(A335,'Docketed Comments'!H:H,0)),"")</f>
        <v>RTOUE47</v>
      </c>
      <c r="K335" s="65" t="str">
        <f t="shared" si="11"/>
        <v>✅ On Best Plan</v>
      </c>
      <c r="L335" s="65" t="str">
        <f>IFERROR(INDEX('Docketed Comments'!F:F,MATCH(A335,'Docketed Comments'!H:H,0)),"")</f>
        <v>Opposed</v>
      </c>
      <c r="M335" s="137" t="str">
        <f>IFERROR(HYPERLINK(INDEX('Docketed Comments'!G:G,MATCH(A335,'Docketed Comments'!H:H,0)),"📄 View Docket"),"")</f>
        <v>📄 View Docket</v>
      </c>
      <c r="N335" s="135" t="str">
        <f>IFERROR(INDEX('Docketed Comments'!N:N,MATCH(A335,'Docketed Comments'!H:H,0)),"")</f>
        <v>No</v>
      </c>
      <c r="O335" s="135" t="str">
        <f>IFERROR(INDEX('Docketed Comments'!L:L,MATCH(A335,'Docketed Comments'!H:H,0)),"")</f>
        <v>Yes</v>
      </c>
      <c r="P335" s="136">
        <f t="shared" si="10"/>
        <v>0</v>
      </c>
      <c r="Q335" s="140" t="s">
        <v>5809</v>
      </c>
      <c r="R335" s="144">
        <v>0</v>
      </c>
    </row>
    <row r="336" spans="1:18" ht="21.95" customHeight="1">
      <c r="A336" s="71" t="s">
        <v>373</v>
      </c>
      <c r="B336" s="69" t="s">
        <v>111</v>
      </c>
      <c r="C336" s="70">
        <v>46067</v>
      </c>
      <c r="D336" s="69" t="s">
        <v>4888</v>
      </c>
      <c r="E336" s="69"/>
      <c r="F336" s="65" t="s">
        <v>4890</v>
      </c>
      <c r="G336" s="65"/>
      <c r="H336" s="65" t="str">
        <f>IFERROR(INDEX('Docketed Comments'!C:C,MATCH(A336,'Docketed Comments'!H:H,0))&amp;", "&amp;INDEX('Docketed Comments'!B:B,MATCH(A336,'Docketed Comments'!H:H,0)),"")</f>
        <v>David, Crosbie</v>
      </c>
      <c r="I336" s="65" t="str">
        <f>IFERROR(INDEX('Docketed Comments'!D:D,MATCH(A336,'Docketed Comments'!H:H,0)),"")</f>
        <v>Goodyear</v>
      </c>
      <c r="J336" s="65" t="str">
        <f>IFERROR(INDEX('Docketed Comments'!I:I,MATCH(A336,'Docketed Comments'!H:H,0)),"")</f>
        <v>RTOUE47</v>
      </c>
      <c r="K336" s="65" t="str">
        <f t="shared" si="11"/>
        <v>✅ On Best Plan</v>
      </c>
      <c r="L336" s="65" t="str">
        <f>IFERROR(INDEX('Docketed Comments'!F:F,MATCH(A336,'Docketed Comments'!H:H,0)),"")</f>
        <v>Opposed</v>
      </c>
      <c r="M336" s="137" t="str">
        <f>IFERROR(HYPERLINK(INDEX('Docketed Comments'!G:G,MATCH(A336,'Docketed Comments'!H:H,0)),"📄 View Docket"),"")</f>
        <v>📄 View Docket</v>
      </c>
      <c r="N336" s="135" t="str">
        <f>IFERROR(INDEX('Docketed Comments'!N:N,MATCH(A336,'Docketed Comments'!H:H,0)),"")</f>
        <v>No</v>
      </c>
      <c r="O336" s="135" t="str">
        <f>IFERROR(INDEX('Docketed Comments'!L:L,MATCH(A336,'Docketed Comments'!H:H,0)),"")</f>
        <v>Yes</v>
      </c>
      <c r="P336" s="136">
        <f t="shared" si="10"/>
        <v>0</v>
      </c>
      <c r="Q336" s="140" t="s">
        <v>5809</v>
      </c>
      <c r="R336" s="144">
        <v>0</v>
      </c>
    </row>
    <row r="337" spans="1:18" ht="21.95" customHeight="1">
      <c r="A337" s="71" t="s">
        <v>385</v>
      </c>
      <c r="B337" s="69"/>
      <c r="C337" s="70"/>
      <c r="D337" s="69"/>
      <c r="E337" s="69"/>
      <c r="F337" s="65"/>
      <c r="G337" s="65" t="s">
        <v>5811</v>
      </c>
      <c r="H337" s="65" t="str">
        <f>IFERROR(INDEX('Docketed Comments'!C:C,MATCH(A337,'Docketed Comments'!H:H,0))&amp;", "&amp;INDEX('Docketed Comments'!B:B,MATCH(A337,'Docketed Comments'!H:H,0)),"")</f>
        <v>Bryan, Schmidt</v>
      </c>
      <c r="I337" s="65" t="str">
        <f>IFERROR(INDEX('Docketed Comments'!D:D,MATCH(A337,'Docketed Comments'!H:H,0)),"")</f>
        <v>Goodyear</v>
      </c>
      <c r="J337" s="65" t="str">
        <f>IFERROR(INDEX('Docketed Comments'!I:I,MATCH(A337,'Docketed Comments'!H:H,0)),"")</f>
        <v>R3-47</v>
      </c>
      <c r="K337" s="65" t="str">
        <f t="shared" si="11"/>
        <v>✅ On Best Plan</v>
      </c>
      <c r="L337" s="65" t="str">
        <f>IFERROR(INDEX('Docketed Comments'!F:F,MATCH(A337,'Docketed Comments'!H:H,0)),"")</f>
        <v>Opposed</v>
      </c>
      <c r="M337" s="137" t="str">
        <f>IFERROR(HYPERLINK(INDEX('Docketed Comments'!G:G,MATCH(A337,'Docketed Comments'!H:H,0)),"📄 View Docket"),"")</f>
        <v>📄 View Docket</v>
      </c>
      <c r="N337" s="135" t="str">
        <f>IFERROR(INDEX('Docketed Comments'!N:N,MATCH(A337,'Docketed Comments'!H:H,0)),"")</f>
        <v>No</v>
      </c>
      <c r="O337" s="135" t="str">
        <f>IFERROR(INDEX('Docketed Comments'!L:L,MATCH(A337,'Docketed Comments'!H:H,0)),"")</f>
        <v>Yes</v>
      </c>
      <c r="P337" s="136">
        <f t="shared" si="10"/>
        <v>0</v>
      </c>
      <c r="Q337" s="140"/>
      <c r="R337" s="144">
        <v>1</v>
      </c>
    </row>
    <row r="338" spans="1:18" ht="21.95" customHeight="1">
      <c r="A338" s="71" t="s">
        <v>389</v>
      </c>
      <c r="B338" s="69" t="s">
        <v>111</v>
      </c>
      <c r="C338" s="70">
        <v>46067</v>
      </c>
      <c r="D338" s="69" t="s">
        <v>4888</v>
      </c>
      <c r="E338" s="69"/>
      <c r="F338" s="65"/>
      <c r="G338" s="65"/>
      <c r="H338" s="65" t="str">
        <f>IFERROR(INDEX('Docketed Comments'!C:C,MATCH(A338,'Docketed Comments'!H:H,0))&amp;", "&amp;INDEX('Docketed Comments'!B:B,MATCH(A338,'Docketed Comments'!H:H,0)),"")</f>
        <v>Patrick, Bernardi</v>
      </c>
      <c r="I338" s="65" t="str">
        <f>IFERROR(INDEX('Docketed Comments'!D:D,MATCH(A338,'Docketed Comments'!H:H,0)),"")</f>
        <v xml:space="preserve">Prescott  </v>
      </c>
      <c r="J338" s="65" t="str">
        <f>IFERROR(INDEX('Docketed Comments'!I:I,MATCH(A338,'Docketed Comments'!H:H,0)),"")</f>
        <v>R-BASIC</v>
      </c>
      <c r="K338" s="65" t="str">
        <f t="shared" si="11"/>
        <v>✅ On Best Plan</v>
      </c>
      <c r="L338" s="65" t="str">
        <f>IFERROR(INDEX('Docketed Comments'!F:F,MATCH(A338,'Docketed Comments'!H:H,0)),"")</f>
        <v>Opposed</v>
      </c>
      <c r="M338" s="137" t="str">
        <f>IFERROR(HYPERLINK(INDEX('Docketed Comments'!G:G,MATCH(A338,'Docketed Comments'!H:H,0)),"📄 View Docket"),"")</f>
        <v>📄 View Docket</v>
      </c>
      <c r="N338" s="135" t="str">
        <f>IFERROR(INDEX('Docketed Comments'!N:N,MATCH(A338,'Docketed Comments'!H:H,0)),"")</f>
        <v>No</v>
      </c>
      <c r="O338" s="135" t="str">
        <f>IFERROR(INDEX('Docketed Comments'!L:L,MATCH(A338,'Docketed Comments'!H:H,0)),"")</f>
        <v>Yes</v>
      </c>
      <c r="P338" s="136">
        <f t="shared" si="10"/>
        <v>0</v>
      </c>
      <c r="Q338" s="140" t="s">
        <v>5809</v>
      </c>
      <c r="R338" s="144">
        <v>0</v>
      </c>
    </row>
    <row r="339" spans="1:18" ht="21.95" customHeight="1">
      <c r="A339" s="71" t="s">
        <v>409</v>
      </c>
      <c r="B339" s="69"/>
      <c r="C339" s="70"/>
      <c r="D339" s="69"/>
      <c r="E339" s="69"/>
      <c r="F339" s="65"/>
      <c r="G339" s="65" t="s">
        <v>5811</v>
      </c>
      <c r="H339" s="65" t="str">
        <f>IFERROR(INDEX('Docketed Comments'!C:C,MATCH(A339,'Docketed Comments'!H:H,0))&amp;", "&amp;INDEX('Docketed Comments'!B:B,MATCH(A339,'Docketed Comments'!H:H,0)),"")</f>
        <v>Chelsea, Mangerie</v>
      </c>
      <c r="I339" s="65" t="str">
        <f>IFERROR(INDEX('Docketed Comments'!D:D,MATCH(A339,'Docketed Comments'!H:H,0)),"")</f>
        <v>Surprise</v>
      </c>
      <c r="J339" s="65" t="str">
        <f>IFERROR(INDEX('Docketed Comments'!I:I,MATCH(A339,'Docketed Comments'!H:H,0)),"")</f>
        <v>EPR-6w/ET-2</v>
      </c>
      <c r="K339" s="65" t="str">
        <f t="shared" si="11"/>
        <v>⚠ Frozen Rate</v>
      </c>
      <c r="L339" s="65" t="str">
        <f>IFERROR(INDEX('Docketed Comments'!F:F,MATCH(A339,'Docketed Comments'!H:H,0)),"")</f>
        <v>Opposed</v>
      </c>
      <c r="M339" s="137" t="str">
        <f>IFERROR(HYPERLINK(INDEX('Docketed Comments'!G:G,MATCH(A339,'Docketed Comments'!H:H,0)),"📄 View Docket"),"")</f>
        <v>📄 View Docket</v>
      </c>
      <c r="N339" s="135" t="str">
        <f>IFERROR(INDEX('Docketed Comments'!N:N,MATCH(A339,'Docketed Comments'!H:H,0)),"")</f>
        <v>No</v>
      </c>
      <c r="O339" s="135" t="str">
        <f>IFERROR(INDEX('Docketed Comments'!L:L,MATCH(A339,'Docketed Comments'!H:H,0)),"")</f>
        <v>Frozen Rate</v>
      </c>
      <c r="P339" s="136">
        <f t="shared" si="10"/>
        <v>0</v>
      </c>
      <c r="Q339" s="140"/>
      <c r="R339" s="144">
        <v>1</v>
      </c>
    </row>
    <row r="340" spans="1:18" ht="21.95" customHeight="1">
      <c r="A340" s="71" t="s">
        <v>5121</v>
      </c>
      <c r="B340" s="69"/>
      <c r="C340" s="70"/>
      <c r="D340" s="69"/>
      <c r="E340" s="69"/>
      <c r="F340" s="65"/>
      <c r="G340" s="65" t="s">
        <v>5811</v>
      </c>
      <c r="H340" s="65" t="str">
        <f>IFERROR(INDEX('Docketed Comments'!C:C,MATCH(A340,'Docketed Comments'!H:H,0))&amp;", "&amp;INDEX('Docketed Comments'!B:B,MATCH(A340,'Docketed Comments'!H:H,0)),"")</f>
        <v>John, Strauss</v>
      </c>
      <c r="I340" s="65" t="str">
        <f>IFERROR(INDEX('Docketed Comments'!D:D,MATCH(A340,'Docketed Comments'!H:H,0)),"")</f>
        <v>Phoenix</v>
      </c>
      <c r="J340" s="65" t="str">
        <f>IFERROR(INDEX('Docketed Comments'!I:I,MATCH(A340,'Docketed Comments'!H:H,0)),"")</f>
        <v>R3-47</v>
      </c>
      <c r="K340" s="65" t="str">
        <f t="shared" si="11"/>
        <v>✅ On Best Plan</v>
      </c>
      <c r="L340" s="65" t="str">
        <f>IFERROR(INDEX('Docketed Comments'!F:F,MATCH(A340,'Docketed Comments'!H:H,0)),"")</f>
        <v>Form letter</v>
      </c>
      <c r="M340" s="137" t="str">
        <f>IFERROR(HYPERLINK(INDEX('Docketed Comments'!G:G,MATCH(A340,'Docketed Comments'!H:H,0)),"📄 View Docket"),"")</f>
        <v>📄 View Docket</v>
      </c>
      <c r="N340" s="135" t="str">
        <f>IFERROR(INDEX('Docketed Comments'!N:N,MATCH(A340,'Docketed Comments'!H:H,0)),"")</f>
        <v>No</v>
      </c>
      <c r="O340" s="135" t="str">
        <f>IFERROR(INDEX('Docketed Comments'!L:L,MATCH(A340,'Docketed Comments'!H:H,0)),"")</f>
        <v>Yes</v>
      </c>
      <c r="P340" s="136">
        <f t="shared" si="10"/>
        <v>0</v>
      </c>
      <c r="Q340" s="140"/>
      <c r="R340" s="144">
        <v>1</v>
      </c>
    </row>
    <row r="341" spans="1:18" ht="21.95" customHeight="1">
      <c r="A341" s="71" t="s">
        <v>449</v>
      </c>
      <c r="B341" s="69" t="s">
        <v>111</v>
      </c>
      <c r="C341" s="70">
        <v>46067</v>
      </c>
      <c r="D341" s="69" t="s">
        <v>4888</v>
      </c>
      <c r="E341" s="69"/>
      <c r="F341" s="65"/>
      <c r="G341" s="65"/>
      <c r="H341" s="65" t="str">
        <f>IFERROR(INDEX('Docketed Comments'!C:C,MATCH(A341,'Docketed Comments'!H:H,0))&amp;", "&amp;INDEX('Docketed Comments'!B:B,MATCH(A341,'Docketed Comments'!H:H,0)),"")</f>
        <v>Raymie, Bauman</v>
      </c>
      <c r="I341" s="65" t="str">
        <f>IFERROR(INDEX('Docketed Comments'!D:D,MATCH(A341,'Docketed Comments'!H:H,0)),"")</f>
        <v>Chino Valley</v>
      </c>
      <c r="J341" s="65" t="str">
        <f>IFERROR(INDEX('Docketed Comments'!I:I,MATCH(A341,'Docketed Comments'!H:H,0)),"")</f>
        <v xml:space="preserve">R-XS </v>
      </c>
      <c r="K341" s="65" t="str">
        <f t="shared" si="11"/>
        <v>✅ On Best Plan</v>
      </c>
      <c r="L341" s="65" t="str">
        <f>IFERROR(INDEX('Docketed Comments'!F:F,MATCH(A341,'Docketed Comments'!H:H,0)),"")</f>
        <v>Opposed</v>
      </c>
      <c r="M341" s="137" t="str">
        <f>IFERROR(HYPERLINK(INDEX('Docketed Comments'!G:G,MATCH(A341,'Docketed Comments'!H:H,0)),"📄 View Docket"),"")</f>
        <v>📄 View Docket</v>
      </c>
      <c r="N341" s="135" t="str">
        <f>IFERROR(INDEX('Docketed Comments'!N:N,MATCH(A341,'Docketed Comments'!H:H,0)),"")</f>
        <v>No</v>
      </c>
      <c r="O341" s="135" t="str">
        <f>IFERROR(INDEX('Docketed Comments'!L:L,MATCH(A341,'Docketed Comments'!H:H,0)),"")</f>
        <v>Yes</v>
      </c>
      <c r="P341" s="136">
        <f t="shared" si="10"/>
        <v>0</v>
      </c>
      <c r="Q341" s="140" t="s">
        <v>5809</v>
      </c>
      <c r="R341" s="144">
        <v>0</v>
      </c>
    </row>
    <row r="342" spans="1:18" ht="21.95" customHeight="1">
      <c r="A342" s="71" t="s">
        <v>427</v>
      </c>
      <c r="B342" s="69"/>
      <c r="C342" s="70"/>
      <c r="D342" s="69"/>
      <c r="E342" s="69"/>
      <c r="F342" s="65"/>
      <c r="G342" s="65" t="s">
        <v>5811</v>
      </c>
      <c r="H342" s="65" t="str">
        <f>IFERROR(INDEX('Docketed Comments'!C:C,MATCH(A342,'Docketed Comments'!H:H,0))&amp;", "&amp;INDEX('Docketed Comments'!B:B,MATCH(A342,'Docketed Comments'!H:H,0)),"")</f>
        <v>Steven, Bradley</v>
      </c>
      <c r="I342" s="65" t="str">
        <f>IFERROR(INDEX('Docketed Comments'!D:D,MATCH(A342,'Docketed Comments'!H:H,0)),"")</f>
        <v>Surprise</v>
      </c>
      <c r="J342" s="65" t="str">
        <f>IFERROR(INDEX('Docketed Comments'!I:I,MATCH(A342,'Docketed Comments'!H:H,0)),"")</f>
        <v>R-BASIC</v>
      </c>
      <c r="K342" s="65" t="str">
        <f t="shared" si="11"/>
        <v>✅ On Best Plan</v>
      </c>
      <c r="L342" s="65" t="str">
        <f>IFERROR(INDEX('Docketed Comments'!F:F,MATCH(A342,'Docketed Comments'!H:H,0)),"")</f>
        <v>Form letter</v>
      </c>
      <c r="M342" s="137" t="str">
        <f>IFERROR(HYPERLINK(INDEX('Docketed Comments'!G:G,MATCH(A342,'Docketed Comments'!H:H,0)),"📄 View Docket"),"")</f>
        <v>📄 View Docket</v>
      </c>
      <c r="N342" s="135" t="str">
        <f>IFERROR(INDEX('Docketed Comments'!N:N,MATCH(A342,'Docketed Comments'!H:H,0)),"")</f>
        <v>No</v>
      </c>
      <c r="O342" s="135" t="str">
        <f>IFERROR(INDEX('Docketed Comments'!L:L,MATCH(A342,'Docketed Comments'!H:H,0)),"")</f>
        <v>Yes</v>
      </c>
      <c r="P342" s="136">
        <f t="shared" si="10"/>
        <v>0</v>
      </c>
      <c r="Q342" s="140"/>
      <c r="R342" s="144">
        <v>1</v>
      </c>
    </row>
    <row r="343" spans="1:18" ht="21.95" customHeight="1">
      <c r="A343" s="71" t="s">
        <v>433</v>
      </c>
      <c r="B343" s="69"/>
      <c r="C343" s="70"/>
      <c r="D343" s="69"/>
      <c r="E343" s="69"/>
      <c r="F343" s="65"/>
      <c r="G343" s="65" t="s">
        <v>5811</v>
      </c>
      <c r="H343" s="65" t="str">
        <f>IFERROR(INDEX('Docketed Comments'!C:C,MATCH(A343,'Docketed Comments'!H:H,0))&amp;", "&amp;INDEX('Docketed Comments'!B:B,MATCH(A343,'Docketed Comments'!H:H,0)),"")</f>
        <v>Catherine, Hale</v>
      </c>
      <c r="I343" s="65" t="str">
        <f>IFERROR(INDEX('Docketed Comments'!D:D,MATCH(A343,'Docketed Comments'!H:H,0)),"")</f>
        <v>Scottsdale</v>
      </c>
      <c r="J343" s="65" t="str">
        <f>IFERROR(INDEX('Docketed Comments'!I:I,MATCH(A343,'Docketed Comments'!H:H,0)),"")</f>
        <v>R3-47</v>
      </c>
      <c r="K343" s="65" t="str">
        <f t="shared" si="11"/>
        <v>✅ On Best Plan</v>
      </c>
      <c r="L343" s="65" t="str">
        <f>IFERROR(INDEX('Docketed Comments'!F:F,MATCH(A343,'Docketed Comments'!H:H,0)),"")</f>
        <v>Form letter</v>
      </c>
      <c r="M343" s="137" t="str">
        <f>IFERROR(HYPERLINK(INDEX('Docketed Comments'!G:G,MATCH(A343,'Docketed Comments'!H:H,0)),"📄 View Docket"),"")</f>
        <v>📄 View Docket</v>
      </c>
      <c r="N343" s="135" t="str">
        <f>IFERROR(INDEX('Docketed Comments'!N:N,MATCH(A343,'Docketed Comments'!H:H,0)),"")</f>
        <v>No</v>
      </c>
      <c r="O343" s="135" t="str">
        <f>IFERROR(INDEX('Docketed Comments'!L:L,MATCH(A343,'Docketed Comments'!H:H,0)),"")</f>
        <v>Yes</v>
      </c>
      <c r="P343" s="136">
        <f t="shared" si="10"/>
        <v>0</v>
      </c>
      <c r="Q343" s="140"/>
      <c r="R343" s="144">
        <v>1</v>
      </c>
    </row>
    <row r="344" spans="1:18" ht="21.95" customHeight="1">
      <c r="A344" s="71" t="s">
        <v>442</v>
      </c>
      <c r="B344" s="69"/>
      <c r="C344" s="70"/>
      <c r="D344" s="69"/>
      <c r="E344" s="69"/>
      <c r="F344" s="65"/>
      <c r="G344" s="65" t="s">
        <v>5811</v>
      </c>
      <c r="H344" s="65" t="str">
        <f>IFERROR(INDEX('Docketed Comments'!C:C,MATCH(A344,'Docketed Comments'!H:H,0))&amp;", "&amp;INDEX('Docketed Comments'!B:B,MATCH(A344,'Docketed Comments'!H:H,0)),"")</f>
        <v>Alexander, Lindsey</v>
      </c>
      <c r="I344" s="65" t="str">
        <f>IFERROR(INDEX('Docketed Comments'!D:D,MATCH(A344,'Docketed Comments'!H:H,0)),"")</f>
        <v>Scottsdale</v>
      </c>
      <c r="J344" s="65" t="str">
        <f>IFERROR(INDEX('Docketed Comments'!I:I,MATCH(A344,'Docketed Comments'!H:H,0)),"")</f>
        <v>R-BASIC</v>
      </c>
      <c r="K344" s="65" t="str">
        <f t="shared" si="11"/>
        <v>✅ On Best Plan</v>
      </c>
      <c r="L344" s="65" t="str">
        <f>IFERROR(INDEX('Docketed Comments'!F:F,MATCH(A344,'Docketed Comments'!H:H,0)),"")</f>
        <v>Form letter</v>
      </c>
      <c r="M344" s="137" t="str">
        <f>IFERROR(HYPERLINK(INDEX('Docketed Comments'!G:G,MATCH(A344,'Docketed Comments'!H:H,0)),"📄 View Docket"),"")</f>
        <v>📄 View Docket</v>
      </c>
      <c r="N344" s="135" t="str">
        <f>IFERROR(INDEX('Docketed Comments'!N:N,MATCH(A344,'Docketed Comments'!H:H,0)),"")</f>
        <v>No</v>
      </c>
      <c r="O344" s="135" t="str">
        <f>IFERROR(INDEX('Docketed Comments'!L:L,MATCH(A344,'Docketed Comments'!H:H,0)),"")</f>
        <v>Yes</v>
      </c>
      <c r="P344" s="136">
        <f t="shared" si="10"/>
        <v>0</v>
      </c>
      <c r="Q344" s="140"/>
      <c r="R344" s="144">
        <v>1</v>
      </c>
    </row>
    <row r="345" spans="1:18" ht="21.95" customHeight="1">
      <c r="A345" s="71" t="s">
        <v>447</v>
      </c>
      <c r="B345" s="69" t="s">
        <v>111</v>
      </c>
      <c r="C345" s="70">
        <v>46067</v>
      </c>
      <c r="D345" s="69" t="s">
        <v>4888</v>
      </c>
      <c r="E345" s="69"/>
      <c r="F345" s="65"/>
      <c r="G345" s="65"/>
      <c r="H345" s="65" t="str">
        <f>IFERROR(INDEX('Docketed Comments'!C:C,MATCH(A345,'Docketed Comments'!H:H,0))&amp;", "&amp;INDEX('Docketed Comments'!B:B,MATCH(A345,'Docketed Comments'!H:H,0)),"")</f>
        <v>Divya, Koduri</v>
      </c>
      <c r="I345" s="65" t="str">
        <f>IFERROR(INDEX('Docketed Comments'!D:D,MATCH(A345,'Docketed Comments'!H:H,0)),"")</f>
        <v>Scottsdale</v>
      </c>
      <c r="J345" s="65" t="str">
        <f>IFERROR(INDEX('Docketed Comments'!I:I,MATCH(A345,'Docketed Comments'!H:H,0)),"")</f>
        <v xml:space="preserve">R-XS </v>
      </c>
      <c r="K345" s="65" t="str">
        <f t="shared" si="11"/>
        <v>✅ On Best Plan</v>
      </c>
      <c r="L345" s="65" t="str">
        <f>IFERROR(INDEX('Docketed Comments'!F:F,MATCH(A345,'Docketed Comments'!H:H,0)),"")</f>
        <v>Form letter</v>
      </c>
      <c r="M345" s="137" t="str">
        <f>IFERROR(HYPERLINK(INDEX('Docketed Comments'!G:G,MATCH(A345,'Docketed Comments'!H:H,0)),"📄 View Docket"),"")</f>
        <v>📄 View Docket</v>
      </c>
      <c r="N345" s="135" t="str">
        <f>IFERROR(INDEX('Docketed Comments'!N:N,MATCH(A345,'Docketed Comments'!H:H,0)),"")</f>
        <v>No</v>
      </c>
      <c r="O345" s="135" t="str">
        <f>IFERROR(INDEX('Docketed Comments'!L:L,MATCH(A345,'Docketed Comments'!H:H,0)),"")</f>
        <v>Yes</v>
      </c>
      <c r="P345" s="136">
        <f t="shared" si="10"/>
        <v>0</v>
      </c>
      <c r="Q345" s="140" t="s">
        <v>5809</v>
      </c>
      <c r="R345" s="144">
        <v>0</v>
      </c>
    </row>
    <row r="346" spans="1:18" ht="21.95" customHeight="1">
      <c r="A346" s="71" t="s">
        <v>449</v>
      </c>
      <c r="B346" s="69"/>
      <c r="C346" s="70"/>
      <c r="D346" s="69"/>
      <c r="E346" s="69"/>
      <c r="F346" s="65"/>
      <c r="G346" s="65" t="s">
        <v>5811</v>
      </c>
      <c r="H346" s="65" t="str">
        <f>IFERROR(INDEX('Docketed Comments'!C:C,MATCH(A346,'Docketed Comments'!H:H,0))&amp;", "&amp;INDEX('Docketed Comments'!B:B,MATCH(A346,'Docketed Comments'!H:H,0)),"")</f>
        <v>Raymie, Bauman</v>
      </c>
      <c r="I346" s="65" t="str">
        <f>IFERROR(INDEX('Docketed Comments'!D:D,MATCH(A346,'Docketed Comments'!H:H,0)),"")</f>
        <v>Chino Valley</v>
      </c>
      <c r="J346" s="65" t="str">
        <f>IFERROR(INDEX('Docketed Comments'!I:I,MATCH(A346,'Docketed Comments'!H:H,0)),"")</f>
        <v xml:space="preserve">R-XS </v>
      </c>
      <c r="K346" s="65" t="str">
        <f t="shared" si="11"/>
        <v>✅ On Best Plan</v>
      </c>
      <c r="L346" s="65" t="str">
        <f>IFERROR(INDEX('Docketed Comments'!F:F,MATCH(A346,'Docketed Comments'!H:H,0)),"")</f>
        <v>Opposed</v>
      </c>
      <c r="M346" s="137" t="str">
        <f>IFERROR(HYPERLINK(INDEX('Docketed Comments'!G:G,MATCH(A346,'Docketed Comments'!H:H,0)),"📄 View Docket"),"")</f>
        <v>📄 View Docket</v>
      </c>
      <c r="N346" s="135" t="str">
        <f>IFERROR(INDEX('Docketed Comments'!N:N,MATCH(A346,'Docketed Comments'!H:H,0)),"")</f>
        <v>No</v>
      </c>
      <c r="O346" s="135" t="str">
        <f>IFERROR(INDEX('Docketed Comments'!L:L,MATCH(A346,'Docketed Comments'!H:H,0)),"")</f>
        <v>Yes</v>
      </c>
      <c r="P346" s="136">
        <f t="shared" si="10"/>
        <v>0</v>
      </c>
      <c r="Q346" s="140"/>
      <c r="R346" s="144">
        <v>1</v>
      </c>
    </row>
    <row r="347" spans="1:18" ht="21.95" customHeight="1">
      <c r="A347" s="71" t="s">
        <v>452</v>
      </c>
      <c r="B347" s="69" t="s">
        <v>111</v>
      </c>
      <c r="C347" s="70">
        <v>46067</v>
      </c>
      <c r="D347" s="69" t="s">
        <v>4888</v>
      </c>
      <c r="E347" s="69"/>
      <c r="F347" s="65"/>
      <c r="G347" s="65"/>
      <c r="H347" s="65" t="str">
        <f>IFERROR(INDEX('Docketed Comments'!C:C,MATCH(A347,'Docketed Comments'!H:H,0))&amp;", "&amp;INDEX('Docketed Comments'!B:B,MATCH(A347,'Docketed Comments'!H:H,0)),"")</f>
        <v>Owen, Lyngaas</v>
      </c>
      <c r="I347" s="65" t="str">
        <f>IFERROR(INDEX('Docketed Comments'!D:D,MATCH(A347,'Docketed Comments'!H:H,0)),"")</f>
        <v>Scottsdale</v>
      </c>
      <c r="J347" s="65" t="str">
        <f>IFERROR(INDEX('Docketed Comments'!I:I,MATCH(A347,'Docketed Comments'!H:H,0)),"")</f>
        <v xml:space="preserve">R-XS </v>
      </c>
      <c r="K347" s="65" t="str">
        <f t="shared" si="11"/>
        <v>✅ On Best Plan</v>
      </c>
      <c r="L347" s="65" t="str">
        <f>IFERROR(INDEX('Docketed Comments'!F:F,MATCH(A347,'Docketed Comments'!H:H,0)),"")</f>
        <v>Form letter</v>
      </c>
      <c r="M347" s="137" t="str">
        <f>IFERROR(HYPERLINK(INDEX('Docketed Comments'!G:G,MATCH(A347,'Docketed Comments'!H:H,0)),"📄 View Docket"),"")</f>
        <v>📄 View Docket</v>
      </c>
      <c r="N347" s="135" t="str">
        <f>IFERROR(INDEX('Docketed Comments'!N:N,MATCH(A347,'Docketed Comments'!H:H,0)),"")</f>
        <v>No</v>
      </c>
      <c r="O347" s="135" t="str">
        <f>IFERROR(INDEX('Docketed Comments'!L:L,MATCH(A347,'Docketed Comments'!H:H,0)),"")</f>
        <v>Yes</v>
      </c>
      <c r="P347" s="136">
        <f t="shared" si="10"/>
        <v>0</v>
      </c>
      <c r="Q347" s="140" t="s">
        <v>5809</v>
      </c>
      <c r="R347" s="144">
        <v>0</v>
      </c>
    </row>
    <row r="348" spans="1:18" ht="21.95" customHeight="1">
      <c r="A348" s="71" t="s">
        <v>454</v>
      </c>
      <c r="B348" s="69"/>
      <c r="C348" s="70"/>
      <c r="D348" s="69"/>
      <c r="E348" s="69"/>
      <c r="F348" s="65"/>
      <c r="G348" s="65" t="s">
        <v>5811</v>
      </c>
      <c r="H348" s="65" t="str">
        <f>IFERROR(INDEX('Docketed Comments'!C:C,MATCH(A348,'Docketed Comments'!H:H,0))&amp;", "&amp;INDEX('Docketed Comments'!B:B,MATCH(A348,'Docketed Comments'!H:H,0)),"")</f>
        <v>Colin, Peluso</v>
      </c>
      <c r="I348" s="65" t="str">
        <f>IFERROR(INDEX('Docketed Comments'!D:D,MATCH(A348,'Docketed Comments'!H:H,0)),"")</f>
        <v>Scottsdale</v>
      </c>
      <c r="J348" s="65" t="str">
        <f>IFERROR(INDEX('Docketed Comments'!I:I,MATCH(A348,'Docketed Comments'!H:H,0)),"")</f>
        <v>R3-47</v>
      </c>
      <c r="K348" s="65" t="str">
        <f t="shared" si="11"/>
        <v>✅ On Best Plan</v>
      </c>
      <c r="L348" s="65" t="str">
        <f>IFERROR(INDEX('Docketed Comments'!F:F,MATCH(A348,'Docketed Comments'!H:H,0)),"")</f>
        <v>Form letter</v>
      </c>
      <c r="M348" s="137" t="str">
        <f>IFERROR(HYPERLINK(INDEX('Docketed Comments'!G:G,MATCH(A348,'Docketed Comments'!H:H,0)),"📄 View Docket"),"")</f>
        <v>📄 View Docket</v>
      </c>
      <c r="N348" s="135" t="str">
        <f>IFERROR(INDEX('Docketed Comments'!N:N,MATCH(A348,'Docketed Comments'!H:H,0)),"")</f>
        <v>No</v>
      </c>
      <c r="O348" s="135" t="str">
        <f>IFERROR(INDEX('Docketed Comments'!L:L,MATCH(A348,'Docketed Comments'!H:H,0)),"")</f>
        <v>Yes</v>
      </c>
      <c r="P348" s="136">
        <f t="shared" si="10"/>
        <v>0</v>
      </c>
      <c r="Q348" s="140"/>
      <c r="R348" s="144">
        <v>1</v>
      </c>
    </row>
    <row r="349" spans="1:18" ht="21.95" customHeight="1">
      <c r="A349" s="71" t="s">
        <v>457</v>
      </c>
      <c r="B349" s="69" t="s">
        <v>111</v>
      </c>
      <c r="C349" s="70">
        <v>46067</v>
      </c>
      <c r="D349" s="69" t="s">
        <v>4888</v>
      </c>
      <c r="E349" s="69"/>
      <c r="F349" s="65" t="s">
        <v>4890</v>
      </c>
      <c r="G349" s="65"/>
      <c r="H349" s="65" t="str">
        <f>IFERROR(INDEX('Docketed Comments'!C:C,MATCH(A349,'Docketed Comments'!H:H,0))&amp;", "&amp;INDEX('Docketed Comments'!B:B,MATCH(A349,'Docketed Comments'!H:H,0)),"")</f>
        <v>Todd, Scaminaci</v>
      </c>
      <c r="I349" s="65" t="str">
        <f>IFERROR(INDEX('Docketed Comments'!D:D,MATCH(A349,'Docketed Comments'!H:H,0)),"")</f>
        <v>Phoenix</v>
      </c>
      <c r="J349" s="65" t="str">
        <f>IFERROR(INDEX('Docketed Comments'!I:I,MATCH(A349,'Docketed Comments'!H:H,0)),"")</f>
        <v>EPR-6w/ET-2</v>
      </c>
      <c r="K349" s="65" t="str">
        <f t="shared" si="11"/>
        <v>⚠ Frozen Rate</v>
      </c>
      <c r="L349" s="65" t="str">
        <f>IFERROR(INDEX('Docketed Comments'!F:F,MATCH(A349,'Docketed Comments'!H:H,0)),"")</f>
        <v>Form letter</v>
      </c>
      <c r="M349" s="137" t="str">
        <f>IFERROR(HYPERLINK(INDEX('Docketed Comments'!G:G,MATCH(A349,'Docketed Comments'!H:H,0)),"📄 View Docket"),"")</f>
        <v>📄 View Docket</v>
      </c>
      <c r="N349" s="135" t="str">
        <f>IFERROR(INDEX('Docketed Comments'!N:N,MATCH(A349,'Docketed Comments'!H:H,0)),"")</f>
        <v>No</v>
      </c>
      <c r="O349" s="135" t="str">
        <f>IFERROR(INDEX('Docketed Comments'!L:L,MATCH(A349,'Docketed Comments'!H:H,0)),"")</f>
        <v>Frozen Rate</v>
      </c>
      <c r="P349" s="136">
        <f t="shared" si="10"/>
        <v>0</v>
      </c>
      <c r="Q349" s="140" t="s">
        <v>5809</v>
      </c>
      <c r="R349" s="144">
        <v>0</v>
      </c>
    </row>
    <row r="350" spans="1:18" ht="21.95" customHeight="1">
      <c r="A350" s="71" t="s">
        <v>461</v>
      </c>
      <c r="B350" s="69"/>
      <c r="C350" s="70"/>
      <c r="D350" s="69"/>
      <c r="E350" s="69"/>
      <c r="F350" s="65"/>
      <c r="G350" s="65" t="s">
        <v>5811</v>
      </c>
      <c r="H350" s="65" t="str">
        <f>IFERROR(INDEX('Docketed Comments'!C:C,MATCH(A350,'Docketed Comments'!H:H,0))&amp;", "&amp;INDEX('Docketed Comments'!B:B,MATCH(A350,'Docketed Comments'!H:H,0)),"")</f>
        <v>Isaiah, Bailey</v>
      </c>
      <c r="I350" s="65" t="str">
        <f>IFERROR(INDEX('Docketed Comments'!D:D,MATCH(A350,'Docketed Comments'!H:H,0)),"")</f>
        <v>Phoenix</v>
      </c>
      <c r="J350" s="65" t="str">
        <f>IFERROR(INDEX('Docketed Comments'!I:I,MATCH(A350,'Docketed Comments'!H:H,0)),"")</f>
        <v>R3-47</v>
      </c>
      <c r="K350" s="65" t="str">
        <f t="shared" si="11"/>
        <v>✅ On Best Plan</v>
      </c>
      <c r="L350" s="65" t="str">
        <f>IFERROR(INDEX('Docketed Comments'!F:F,MATCH(A350,'Docketed Comments'!H:H,0)),"")</f>
        <v>Form letter</v>
      </c>
      <c r="M350" s="137" t="str">
        <f>IFERROR(HYPERLINK(INDEX('Docketed Comments'!G:G,MATCH(A350,'Docketed Comments'!H:H,0)),"📄 View Docket"),"")</f>
        <v>📄 View Docket</v>
      </c>
      <c r="N350" s="135" t="str">
        <f>IFERROR(INDEX('Docketed Comments'!N:N,MATCH(A350,'Docketed Comments'!H:H,0)),"")</f>
        <v>No</v>
      </c>
      <c r="O350" s="135" t="str">
        <f>IFERROR(INDEX('Docketed Comments'!L:L,MATCH(A350,'Docketed Comments'!H:H,0)),"")</f>
        <v>Yes</v>
      </c>
      <c r="P350" s="136">
        <f t="shared" si="10"/>
        <v>0</v>
      </c>
      <c r="Q350" s="140"/>
      <c r="R350" s="144">
        <v>1</v>
      </c>
    </row>
    <row r="351" spans="1:18" ht="21.95" customHeight="1">
      <c r="A351" s="71" t="s">
        <v>464</v>
      </c>
      <c r="B351" s="69" t="s">
        <v>111</v>
      </c>
      <c r="C351" s="70">
        <v>46067</v>
      </c>
      <c r="D351" s="69" t="s">
        <v>4865</v>
      </c>
      <c r="E351" s="69" t="s">
        <v>4898</v>
      </c>
      <c r="F351" s="65"/>
      <c r="G351" s="65"/>
      <c r="H351" s="65" t="str">
        <f>IFERROR(INDEX('Docketed Comments'!C:C,MATCH(A351,'Docketed Comments'!H:H,0))&amp;", "&amp;INDEX('Docketed Comments'!B:B,MATCH(A351,'Docketed Comments'!H:H,0)),"")</f>
        <v>Andrew, Nadolski</v>
      </c>
      <c r="I351" s="65" t="str">
        <f>IFERROR(INDEX('Docketed Comments'!D:D,MATCH(A351,'Docketed Comments'!H:H,0)),"")</f>
        <v>Phoenix</v>
      </c>
      <c r="J351" s="65" t="str">
        <f>IFERROR(INDEX('Docketed Comments'!I:I,MATCH(A351,'Docketed Comments'!H:H,0)),"")</f>
        <v xml:space="preserve">R-XS </v>
      </c>
      <c r="K351" s="65" t="str">
        <f t="shared" si="11"/>
        <v>✅ On Best Plan</v>
      </c>
      <c r="L351" s="65" t="str">
        <f>IFERROR(INDEX('Docketed Comments'!F:F,MATCH(A351,'Docketed Comments'!H:H,0)),"")</f>
        <v>Form letter</v>
      </c>
      <c r="M351" s="137" t="str">
        <f>IFERROR(HYPERLINK(INDEX('Docketed Comments'!G:G,MATCH(A351,'Docketed Comments'!H:H,0)),"📄 View Docket"),"")</f>
        <v>📄 View Docket</v>
      </c>
      <c r="N351" s="135" t="str">
        <f>IFERROR(INDEX('Docketed Comments'!N:N,MATCH(A351,'Docketed Comments'!H:H,0)),"")</f>
        <v>No</v>
      </c>
      <c r="O351" s="135" t="str">
        <f>IFERROR(INDEX('Docketed Comments'!L:L,MATCH(A351,'Docketed Comments'!H:H,0)),"")</f>
        <v>Yes</v>
      </c>
      <c r="P351" s="136">
        <f t="shared" si="10"/>
        <v>0</v>
      </c>
      <c r="Q351" s="140" t="s">
        <v>5809</v>
      </c>
      <c r="R351" s="144">
        <v>0</v>
      </c>
    </row>
    <row r="352" spans="1:18" ht="21.95" customHeight="1">
      <c r="A352" s="71" t="s">
        <v>5122</v>
      </c>
      <c r="B352" s="69"/>
      <c r="C352" s="70"/>
      <c r="D352" s="69"/>
      <c r="E352" s="69"/>
      <c r="F352" s="65"/>
      <c r="G352" s="65" t="s">
        <v>5811</v>
      </c>
      <c r="H352" s="65" t="str">
        <f>IFERROR(INDEX('Docketed Comments'!C:C,MATCH(A352,'Docketed Comments'!H:H,0))&amp;", "&amp;INDEX('Docketed Comments'!B:B,MATCH(A352,'Docketed Comments'!H:H,0)),"")</f>
        <v>Daniel , Vargo</v>
      </c>
      <c r="I352" s="65" t="str">
        <f>IFERROR(INDEX('Docketed Comments'!D:D,MATCH(A352,'Docketed Comments'!H:H,0)),"")</f>
        <v>Phoenix</v>
      </c>
      <c r="J352" s="65" t="str">
        <f>IFERROR(INDEX('Docketed Comments'!I:I,MATCH(A352,'Docketed Comments'!H:H,0)),"")</f>
        <v>R3-47</v>
      </c>
      <c r="K352" s="65" t="str">
        <f t="shared" si="11"/>
        <v>✅ On Best Plan</v>
      </c>
      <c r="L352" s="65" t="str">
        <f>IFERROR(INDEX('Docketed Comments'!F:F,MATCH(A352,'Docketed Comments'!H:H,0)),"")</f>
        <v>Opposed</v>
      </c>
      <c r="M352" s="137" t="str">
        <f>IFERROR(HYPERLINK(INDEX('Docketed Comments'!G:G,MATCH(A352,'Docketed Comments'!H:H,0)),"📄 View Docket"),"")</f>
        <v>📄 View Docket</v>
      </c>
      <c r="N352" s="135" t="str">
        <f>IFERROR(INDEX('Docketed Comments'!N:N,MATCH(A352,'Docketed Comments'!H:H,0)),"")</f>
        <v>No</v>
      </c>
      <c r="O352" s="135" t="str">
        <f>IFERROR(INDEX('Docketed Comments'!L:L,MATCH(A352,'Docketed Comments'!H:H,0)),"")</f>
        <v>Yes</v>
      </c>
      <c r="P352" s="136">
        <f t="shared" si="10"/>
        <v>0</v>
      </c>
      <c r="Q352" s="140"/>
      <c r="R352" s="144">
        <v>1</v>
      </c>
    </row>
    <row r="353" spans="1:18" ht="21.95" customHeight="1">
      <c r="A353" s="71" t="s">
        <v>480</v>
      </c>
      <c r="B353" s="69"/>
      <c r="C353" s="70"/>
      <c r="D353" s="69"/>
      <c r="E353" s="69"/>
      <c r="F353" s="65"/>
      <c r="G353" s="65" t="s">
        <v>5811</v>
      </c>
      <c r="H353" s="65" t="str">
        <f>IFERROR(INDEX('Docketed Comments'!C:C,MATCH(A353,'Docketed Comments'!H:H,0))&amp;", "&amp;INDEX('Docketed Comments'!B:B,MATCH(A353,'Docketed Comments'!H:H,0)),"")</f>
        <v>Marcella, Nicosia</v>
      </c>
      <c r="I353" s="65" t="str">
        <f>IFERROR(INDEX('Docketed Comments'!D:D,MATCH(A353,'Docketed Comments'!H:H,0)),"")</f>
        <v>Phoenix</v>
      </c>
      <c r="J353" s="65" t="str">
        <f>IFERROR(INDEX('Docketed Comments'!I:I,MATCH(A353,'Docketed Comments'!H:H,0)),"")</f>
        <v>R-BASIC</v>
      </c>
      <c r="K353" s="65" t="str">
        <f t="shared" si="11"/>
        <v>✅ On Best Plan</v>
      </c>
      <c r="L353" s="65" t="str">
        <f>IFERROR(INDEX('Docketed Comments'!F:F,MATCH(A353,'Docketed Comments'!H:H,0)),"")</f>
        <v>Form letter</v>
      </c>
      <c r="M353" s="137" t="str">
        <f>IFERROR(HYPERLINK(INDEX('Docketed Comments'!G:G,MATCH(A353,'Docketed Comments'!H:H,0)),"📄 View Docket"),"")</f>
        <v>📄 View Docket</v>
      </c>
      <c r="N353" s="135" t="str">
        <f>IFERROR(INDEX('Docketed Comments'!N:N,MATCH(A353,'Docketed Comments'!H:H,0)),"")</f>
        <v>No</v>
      </c>
      <c r="O353" s="135" t="str">
        <f>IFERROR(INDEX('Docketed Comments'!L:L,MATCH(A353,'Docketed Comments'!H:H,0)),"")</f>
        <v>Yes</v>
      </c>
      <c r="P353" s="136">
        <f t="shared" si="10"/>
        <v>0</v>
      </c>
      <c r="Q353" s="140"/>
      <c r="R353" s="144">
        <v>1</v>
      </c>
    </row>
    <row r="354" spans="1:18" ht="21.95" customHeight="1">
      <c r="A354" s="71" t="s">
        <v>483</v>
      </c>
      <c r="B354" s="69" t="s">
        <v>111</v>
      </c>
      <c r="C354" s="70">
        <v>46067</v>
      </c>
      <c r="D354" s="69" t="s">
        <v>4865</v>
      </c>
      <c r="E354" s="69" t="s">
        <v>4898</v>
      </c>
      <c r="F354" s="65"/>
      <c r="G354" s="65"/>
      <c r="H354" s="65" t="str">
        <f>IFERROR(INDEX('Docketed Comments'!C:C,MATCH(A354,'Docketed Comments'!H:H,0))&amp;", "&amp;INDEX('Docketed Comments'!B:B,MATCH(A354,'Docketed Comments'!H:H,0)),"")</f>
        <v>Sandy, Assaraf</v>
      </c>
      <c r="I354" s="65" t="str">
        <f>IFERROR(INDEX('Docketed Comments'!D:D,MATCH(A354,'Docketed Comments'!H:H,0)),"")</f>
        <v>Unknown</v>
      </c>
      <c r="J354" s="65" t="str">
        <f>IFERROR(INDEX('Docketed Comments'!I:I,MATCH(A354,'Docketed Comments'!H:H,0)),"")</f>
        <v>R-BASIC</v>
      </c>
      <c r="K354" s="65" t="str">
        <f t="shared" si="11"/>
        <v>✅ On Best Plan</v>
      </c>
      <c r="L354" s="65" t="str">
        <f>IFERROR(INDEX('Docketed Comments'!F:F,MATCH(A354,'Docketed Comments'!H:H,0)),"")</f>
        <v>Opposed</v>
      </c>
      <c r="M354" s="137" t="str">
        <f>IFERROR(HYPERLINK(INDEX('Docketed Comments'!G:G,MATCH(A354,'Docketed Comments'!H:H,0)),"📄 View Docket"),"")</f>
        <v>📄 View Docket</v>
      </c>
      <c r="N354" s="135" t="str">
        <f>IFERROR(INDEX('Docketed Comments'!N:N,MATCH(A354,'Docketed Comments'!H:H,0)),"")</f>
        <v>No</v>
      </c>
      <c r="O354" s="135" t="str">
        <f>IFERROR(INDEX('Docketed Comments'!L:L,MATCH(A354,'Docketed Comments'!H:H,0)),"")</f>
        <v>Yes</v>
      </c>
      <c r="P354" s="136">
        <f t="shared" si="10"/>
        <v>0</v>
      </c>
      <c r="Q354" s="140" t="s">
        <v>5809</v>
      </c>
      <c r="R354" s="144">
        <v>0</v>
      </c>
    </row>
    <row r="355" spans="1:18" ht="21.95" customHeight="1">
      <c r="A355" s="71" t="s">
        <v>492</v>
      </c>
      <c r="B355" s="69" t="s">
        <v>111</v>
      </c>
      <c r="C355" s="70">
        <v>46067</v>
      </c>
      <c r="D355" s="69" t="s">
        <v>4888</v>
      </c>
      <c r="E355" s="69"/>
      <c r="F355" s="65" t="s">
        <v>4890</v>
      </c>
      <c r="G355" s="65"/>
      <c r="H355" s="65" t="str">
        <f>IFERROR(INDEX('Docketed Comments'!C:C,MATCH(A355,'Docketed Comments'!H:H,0))&amp;", "&amp;INDEX('Docketed Comments'!B:B,MATCH(A355,'Docketed Comments'!H:H,0)),"")</f>
        <v>Jacob, Esho</v>
      </c>
      <c r="I355" s="65" t="str">
        <f>IFERROR(INDEX('Docketed Comments'!D:D,MATCH(A355,'Docketed Comments'!H:H,0)),"")</f>
        <v>Unknown</v>
      </c>
      <c r="J355" s="65" t="str">
        <f>IFERROR(INDEX('Docketed Comments'!I:I,MATCH(A355,'Docketed Comments'!H:H,0)),"")</f>
        <v>R3-47</v>
      </c>
      <c r="K355" s="65" t="str">
        <f t="shared" si="11"/>
        <v>✅ On Best Plan</v>
      </c>
      <c r="L355" s="65" t="str">
        <f>IFERROR(INDEX('Docketed Comments'!F:F,MATCH(A355,'Docketed Comments'!H:H,0)),"")</f>
        <v>Opposed</v>
      </c>
      <c r="M355" s="137" t="str">
        <f>IFERROR(HYPERLINK(INDEX('Docketed Comments'!G:G,MATCH(A355,'Docketed Comments'!H:H,0)),"📄 View Docket"),"")</f>
        <v>📄 View Docket</v>
      </c>
      <c r="N355" s="135" t="str">
        <f>IFERROR(INDEX('Docketed Comments'!N:N,MATCH(A355,'Docketed Comments'!H:H,0)),"")</f>
        <v>No</v>
      </c>
      <c r="O355" s="135" t="str">
        <f>IFERROR(INDEX('Docketed Comments'!L:L,MATCH(A355,'Docketed Comments'!H:H,0)),"")</f>
        <v>Yes</v>
      </c>
      <c r="P355" s="136">
        <f t="shared" si="10"/>
        <v>0</v>
      </c>
      <c r="Q355" s="140" t="s">
        <v>5809</v>
      </c>
      <c r="R355" s="144">
        <v>0</v>
      </c>
    </row>
    <row r="356" spans="1:18" ht="21.95" customHeight="1">
      <c r="A356" s="71" t="s">
        <v>498</v>
      </c>
      <c r="B356" s="69"/>
      <c r="C356" s="70"/>
      <c r="D356" s="69"/>
      <c r="E356" s="69"/>
      <c r="F356" s="65"/>
      <c r="G356" s="65" t="s">
        <v>5811</v>
      </c>
      <c r="H356" s="65" t="str">
        <f>IFERROR(INDEX('Docketed Comments'!C:C,MATCH(A356,'Docketed Comments'!H:H,0))&amp;", "&amp;INDEX('Docketed Comments'!B:B,MATCH(A356,'Docketed Comments'!H:H,0)),"")</f>
        <v>Ken, Shuck</v>
      </c>
      <c r="I356" s="65" t="str">
        <f>IFERROR(INDEX('Docketed Comments'!D:D,MATCH(A356,'Docketed Comments'!H:H,0)),"")</f>
        <v>Flagstaff</v>
      </c>
      <c r="J356" s="65" t="str">
        <f>IFERROR(INDEX('Docketed Comments'!I:I,MATCH(A356,'Docketed Comments'!H:H,0)),"")</f>
        <v>R-XS</v>
      </c>
      <c r="K356" s="65" t="str">
        <f t="shared" si="11"/>
        <v>✅ On Best Plan</v>
      </c>
      <c r="L356" s="65" t="str">
        <f>IFERROR(INDEX('Docketed Comments'!F:F,MATCH(A356,'Docketed Comments'!H:H,0)),"")</f>
        <v>Would be a hardship</v>
      </c>
      <c r="M356" s="137" t="str">
        <f>IFERROR(HYPERLINK(INDEX('Docketed Comments'!G:G,MATCH(A356,'Docketed Comments'!H:H,0)),"📄 View Docket"),"")</f>
        <v>📄 View Docket</v>
      </c>
      <c r="N356" s="135" t="str">
        <f>IFERROR(INDEX('Docketed Comments'!N:N,MATCH(A356,'Docketed Comments'!H:H,0)),"")</f>
        <v>No</v>
      </c>
      <c r="O356" s="135" t="str">
        <f>IFERROR(INDEX('Docketed Comments'!L:L,MATCH(A356,'Docketed Comments'!H:H,0)),"")</f>
        <v>Yes</v>
      </c>
      <c r="P356" s="136">
        <f t="shared" si="10"/>
        <v>0</v>
      </c>
      <c r="Q356" s="140"/>
      <c r="R356" s="144">
        <v>1</v>
      </c>
    </row>
    <row r="357" spans="1:18" ht="21.95" customHeight="1">
      <c r="A357" s="71" t="s">
        <v>505</v>
      </c>
      <c r="B357" s="69"/>
      <c r="C357" s="70"/>
      <c r="D357" s="69"/>
      <c r="E357" s="69"/>
      <c r="F357" s="65"/>
      <c r="G357" s="65" t="s">
        <v>5811</v>
      </c>
      <c r="H357" s="65" t="str">
        <f>IFERROR(INDEX('Docketed Comments'!C:C,MATCH(A357,'Docketed Comments'!H:H,0))&amp;", "&amp;INDEX('Docketed Comments'!B:B,MATCH(A357,'Docketed Comments'!H:H,0)),"")</f>
        <v>Destiny, Hampton</v>
      </c>
      <c r="I357" s="65" t="str">
        <f>IFERROR(INDEX('Docketed Comments'!D:D,MATCH(A357,'Docketed Comments'!H:H,0)),"")</f>
        <v>Phoenix</v>
      </c>
      <c r="J357" s="65" t="str">
        <f>IFERROR(INDEX('Docketed Comments'!I:I,MATCH(A357,'Docketed Comments'!H:H,0)),"")</f>
        <v>R-BASIC</v>
      </c>
      <c r="K357" s="65" t="str">
        <f t="shared" si="11"/>
        <v>✅ On Best Plan</v>
      </c>
      <c r="L357" s="65" t="str">
        <f>IFERROR(INDEX('Docketed Comments'!F:F,MATCH(A357,'Docketed Comments'!H:H,0)),"")</f>
        <v>Form letter</v>
      </c>
      <c r="M357" s="137" t="str">
        <f>IFERROR(HYPERLINK(INDEX('Docketed Comments'!G:G,MATCH(A357,'Docketed Comments'!H:H,0)),"📄 View Docket"),"")</f>
        <v>📄 View Docket</v>
      </c>
      <c r="N357" s="135" t="str">
        <f>IFERROR(INDEX('Docketed Comments'!N:N,MATCH(A357,'Docketed Comments'!H:H,0)),"")</f>
        <v>No</v>
      </c>
      <c r="O357" s="135" t="str">
        <f>IFERROR(INDEX('Docketed Comments'!L:L,MATCH(A357,'Docketed Comments'!H:H,0)),"")</f>
        <v>Yes</v>
      </c>
      <c r="P357" s="136">
        <f t="shared" si="10"/>
        <v>0</v>
      </c>
      <c r="Q357" s="140"/>
      <c r="R357" s="144">
        <v>1</v>
      </c>
    </row>
    <row r="358" spans="1:18" ht="21.95" customHeight="1">
      <c r="A358" s="71" t="s">
        <v>515</v>
      </c>
      <c r="B358" s="69"/>
      <c r="C358" s="70"/>
      <c r="D358" s="69"/>
      <c r="E358" s="69"/>
      <c r="F358" s="65"/>
      <c r="G358" s="65" t="s">
        <v>5811</v>
      </c>
      <c r="H358" s="65" t="str">
        <f>IFERROR(INDEX('Docketed Comments'!C:C,MATCH(A358,'Docketed Comments'!H:H,0))&amp;", "&amp;INDEX('Docketed Comments'!B:B,MATCH(A358,'Docketed Comments'!H:H,0)),"")</f>
        <v>Ramon, Soledad</v>
      </c>
      <c r="I358" s="65" t="str">
        <f>IFERROR(INDEX('Docketed Comments'!D:D,MATCH(A358,'Docketed Comments'!H:H,0)),"")</f>
        <v>Avondale</v>
      </c>
      <c r="J358" s="65" t="str">
        <f>IFERROR(INDEX('Docketed Comments'!I:I,MATCH(A358,'Docketed Comments'!H:H,0)),"")</f>
        <v>R3-47</v>
      </c>
      <c r="K358" s="65" t="str">
        <f t="shared" si="11"/>
        <v>✅ On Best Plan</v>
      </c>
      <c r="L358" s="65" t="str">
        <f>IFERROR(INDEX('Docketed Comments'!F:F,MATCH(A358,'Docketed Comments'!H:H,0)),"")</f>
        <v>Opposed</v>
      </c>
      <c r="M358" s="137" t="str">
        <f>IFERROR(HYPERLINK(INDEX('Docketed Comments'!G:G,MATCH(A358,'Docketed Comments'!H:H,0)),"📄 View Docket"),"")</f>
        <v>📄 View Docket</v>
      </c>
      <c r="N358" s="135" t="str">
        <f>IFERROR(INDEX('Docketed Comments'!N:N,MATCH(A358,'Docketed Comments'!H:H,0)),"")</f>
        <v>No</v>
      </c>
      <c r="O358" s="135" t="str">
        <f>IFERROR(INDEX('Docketed Comments'!L:L,MATCH(A358,'Docketed Comments'!H:H,0)),"")</f>
        <v>Yes</v>
      </c>
      <c r="P358" s="136">
        <f t="shared" si="10"/>
        <v>0</v>
      </c>
      <c r="Q358" s="140"/>
      <c r="R358" s="144">
        <v>1</v>
      </c>
    </row>
    <row r="359" spans="1:18" ht="21.95" customHeight="1">
      <c r="A359" s="71" t="s">
        <v>521</v>
      </c>
      <c r="B359" s="69" t="s">
        <v>111</v>
      </c>
      <c r="C359" s="70">
        <v>46067</v>
      </c>
      <c r="D359" s="69" t="s">
        <v>4888</v>
      </c>
      <c r="E359" s="69"/>
      <c r="F359" s="65" t="s">
        <v>4890</v>
      </c>
      <c r="G359" s="65"/>
      <c r="H359" s="65" t="str">
        <f>IFERROR(INDEX('Docketed Comments'!C:C,MATCH(A359,'Docketed Comments'!H:H,0))&amp;", "&amp;INDEX('Docketed Comments'!B:B,MATCH(A359,'Docketed Comments'!H:H,0)),"")</f>
        <v>Adam, Simpson</v>
      </c>
      <c r="I359" s="65" t="str">
        <f>IFERROR(INDEX('Docketed Comments'!D:D,MATCH(A359,'Docketed Comments'!H:H,0)),"")</f>
        <v>Glendale</v>
      </c>
      <c r="J359" s="65" t="str">
        <f>IFERROR(INDEX('Docketed Comments'!I:I,MATCH(A359,'Docketed Comments'!H:H,0)),"")</f>
        <v>RTOUE47</v>
      </c>
      <c r="K359" s="65" t="str">
        <f t="shared" si="11"/>
        <v>✅ On Best Plan</v>
      </c>
      <c r="L359" s="65" t="str">
        <f>IFERROR(INDEX('Docketed Comments'!F:F,MATCH(A359,'Docketed Comments'!H:H,0)),"")</f>
        <v>Form letter</v>
      </c>
      <c r="M359" s="137" t="str">
        <f>IFERROR(HYPERLINK(INDEX('Docketed Comments'!G:G,MATCH(A359,'Docketed Comments'!H:H,0)),"📄 View Docket"),"")</f>
        <v>📄 View Docket</v>
      </c>
      <c r="N359" s="135" t="str">
        <f>IFERROR(INDEX('Docketed Comments'!N:N,MATCH(A359,'Docketed Comments'!H:H,0)),"")</f>
        <v>No</v>
      </c>
      <c r="O359" s="135" t="str">
        <f>IFERROR(INDEX('Docketed Comments'!L:L,MATCH(A359,'Docketed Comments'!H:H,0)),"")</f>
        <v>Yes</v>
      </c>
      <c r="P359" s="136">
        <f t="shared" si="10"/>
        <v>0</v>
      </c>
      <c r="Q359" s="140" t="s">
        <v>5809</v>
      </c>
      <c r="R359" s="144">
        <v>0</v>
      </c>
    </row>
    <row r="360" spans="1:18" ht="21.95" customHeight="1">
      <c r="A360" s="71" t="s">
        <v>524</v>
      </c>
      <c r="B360" s="69"/>
      <c r="C360" s="70"/>
      <c r="D360" s="69"/>
      <c r="E360" s="69"/>
      <c r="F360" s="65"/>
      <c r="G360" s="65" t="s">
        <v>5811</v>
      </c>
      <c r="H360" s="65" t="str">
        <f>IFERROR(INDEX('Docketed Comments'!C:C,MATCH(A360,'Docketed Comments'!H:H,0))&amp;", "&amp;INDEX('Docketed Comments'!B:B,MATCH(A360,'Docketed Comments'!H:H,0)),"")</f>
        <v>Michaela, Marr</v>
      </c>
      <c r="I360" s="65" t="str">
        <f>IFERROR(INDEX('Docketed Comments'!D:D,MATCH(A360,'Docketed Comments'!H:H,0)),"")</f>
        <v>Goodyear</v>
      </c>
      <c r="J360" s="65" t="str">
        <f>IFERROR(INDEX('Docketed Comments'!I:I,MATCH(A360,'Docketed Comments'!H:H,0)),"")</f>
        <v>R3-47</v>
      </c>
      <c r="K360" s="65" t="str">
        <f t="shared" si="11"/>
        <v>✅ On Best Plan</v>
      </c>
      <c r="L360" s="65" t="str">
        <f>IFERROR(INDEX('Docketed Comments'!F:F,MATCH(A360,'Docketed Comments'!H:H,0)),"")</f>
        <v>Opposed</v>
      </c>
      <c r="M360" s="137" t="str">
        <f>IFERROR(HYPERLINK(INDEX('Docketed Comments'!G:G,MATCH(A360,'Docketed Comments'!H:H,0)),"📄 View Docket"),"")</f>
        <v>📄 View Docket</v>
      </c>
      <c r="N360" s="135" t="str">
        <f>IFERROR(INDEX('Docketed Comments'!N:N,MATCH(A360,'Docketed Comments'!H:H,0)),"")</f>
        <v>No</v>
      </c>
      <c r="O360" s="135" t="str">
        <f>IFERROR(INDEX('Docketed Comments'!L:L,MATCH(A360,'Docketed Comments'!H:H,0)),"")</f>
        <v>Yes</v>
      </c>
      <c r="P360" s="136">
        <f t="shared" si="10"/>
        <v>0</v>
      </c>
      <c r="Q360" s="140"/>
      <c r="R360" s="144">
        <v>1</v>
      </c>
    </row>
    <row r="361" spans="1:18" ht="21.95" customHeight="1">
      <c r="A361" s="71" t="s">
        <v>527</v>
      </c>
      <c r="B361" s="69" t="s">
        <v>111</v>
      </c>
      <c r="C361" s="70">
        <v>46067</v>
      </c>
      <c r="D361" s="69" t="s">
        <v>4865</v>
      </c>
      <c r="E361" s="69"/>
      <c r="F361" s="65" t="s">
        <v>4890</v>
      </c>
      <c r="G361" s="65"/>
      <c r="H361" s="65" t="str">
        <f>IFERROR(INDEX('Docketed Comments'!C:C,MATCH(A361,'Docketed Comments'!H:H,0))&amp;", "&amp;INDEX('Docketed Comments'!B:B,MATCH(A361,'Docketed Comments'!H:H,0)),"")</f>
        <v>Geoffrey, Hatch</v>
      </c>
      <c r="I361" s="65" t="str">
        <f>IFERROR(INDEX('Docketed Comments'!D:D,MATCH(A361,'Docketed Comments'!H:H,0)),"")</f>
        <v>Avondale</v>
      </c>
      <c r="J361" s="65" t="str">
        <f>IFERROR(INDEX('Docketed Comments'!I:I,MATCH(A361,'Docketed Comments'!H:H,0)),"")</f>
        <v>EPR-6w/ET-2</v>
      </c>
      <c r="K361" s="65" t="str">
        <f t="shared" si="11"/>
        <v>⚠ Frozen Rate</v>
      </c>
      <c r="L361" s="65" t="str">
        <f>IFERROR(INDEX('Docketed Comments'!F:F,MATCH(A361,'Docketed Comments'!H:H,0)),"")</f>
        <v>Opposed</v>
      </c>
      <c r="M361" s="137" t="str">
        <f>IFERROR(HYPERLINK(INDEX('Docketed Comments'!G:G,MATCH(A361,'Docketed Comments'!H:H,0)),"📄 View Docket"),"")</f>
        <v>📄 View Docket</v>
      </c>
      <c r="N361" s="135" t="str">
        <f>IFERROR(INDEX('Docketed Comments'!N:N,MATCH(A361,'Docketed Comments'!H:H,0)),"")</f>
        <v>No</v>
      </c>
      <c r="O361" s="135" t="str">
        <f>IFERROR(INDEX('Docketed Comments'!L:L,MATCH(A361,'Docketed Comments'!H:H,0)),"")</f>
        <v>Frozen Rate</v>
      </c>
      <c r="P361" s="136">
        <f t="shared" si="10"/>
        <v>0</v>
      </c>
      <c r="Q361" s="140" t="s">
        <v>5809</v>
      </c>
      <c r="R361" s="144">
        <v>0</v>
      </c>
    </row>
    <row r="362" spans="1:18" ht="21.95" customHeight="1">
      <c r="A362" s="71" t="s">
        <v>531</v>
      </c>
      <c r="B362" s="69"/>
      <c r="C362" s="70"/>
      <c r="D362" s="69"/>
      <c r="E362" s="69"/>
      <c r="F362" s="65"/>
      <c r="G362" s="65" t="s">
        <v>5811</v>
      </c>
      <c r="H362" s="65" t="str">
        <f>IFERROR(INDEX('Docketed Comments'!C:C,MATCH(A362,'Docketed Comments'!H:H,0))&amp;", "&amp;INDEX('Docketed Comments'!B:B,MATCH(A362,'Docketed Comments'!H:H,0)),"")</f>
        <v>Terry, Sutton</v>
      </c>
      <c r="I362" s="65" t="str">
        <f>IFERROR(INDEX('Docketed Comments'!D:D,MATCH(A362,'Docketed Comments'!H:H,0)),"")</f>
        <v>Casa Grande</v>
      </c>
      <c r="J362" s="65" t="str">
        <f>IFERROR(INDEX('Docketed Comments'!I:I,MATCH(A362,'Docketed Comments'!H:H,0)),"")</f>
        <v>R-2</v>
      </c>
      <c r="K362" s="65" t="str">
        <f t="shared" si="11"/>
        <v>⚠ Frozen Rate</v>
      </c>
      <c r="L362" s="65" t="str">
        <f>IFERROR(INDEX('Docketed Comments'!F:F,MATCH(A362,'Docketed Comments'!H:H,0)),"")</f>
        <v>Form letter</v>
      </c>
      <c r="M362" s="137" t="str">
        <f>IFERROR(HYPERLINK(INDEX('Docketed Comments'!G:G,MATCH(A362,'Docketed Comments'!H:H,0)),"📄 View Docket"),"")</f>
        <v>📄 View Docket</v>
      </c>
      <c r="N362" s="135" t="str">
        <f>IFERROR(INDEX('Docketed Comments'!N:N,MATCH(A362,'Docketed Comments'!H:H,0)),"")</f>
        <v>No</v>
      </c>
      <c r="O362" s="135" t="str">
        <f>IFERROR(INDEX('Docketed Comments'!L:L,MATCH(A362,'Docketed Comments'!H:H,0)),"")</f>
        <v>Frozen Rate</v>
      </c>
      <c r="P362" s="136">
        <f t="shared" si="10"/>
        <v>0</v>
      </c>
      <c r="Q362" s="140"/>
      <c r="R362" s="144">
        <v>1</v>
      </c>
    </row>
    <row r="363" spans="1:18" ht="21.95" customHeight="1">
      <c r="A363" s="71" t="s">
        <v>535</v>
      </c>
      <c r="B363" s="69" t="s">
        <v>111</v>
      </c>
      <c r="C363" s="70">
        <v>46067</v>
      </c>
      <c r="D363" s="69" t="s">
        <v>4888</v>
      </c>
      <c r="E363" s="69"/>
      <c r="F363" s="65"/>
      <c r="G363" s="65"/>
      <c r="H363" s="65" t="str">
        <f>IFERROR(INDEX('Docketed Comments'!C:C,MATCH(A363,'Docketed Comments'!H:H,0))&amp;", "&amp;INDEX('Docketed Comments'!B:B,MATCH(A363,'Docketed Comments'!H:H,0)),"")</f>
        <v>Christian, Klein</v>
      </c>
      <c r="I363" s="65" t="str">
        <f>IFERROR(INDEX('Docketed Comments'!D:D,MATCH(A363,'Docketed Comments'!H:H,0)),"")</f>
        <v>Phoenix</v>
      </c>
      <c r="J363" s="65" t="str">
        <f>IFERROR(INDEX('Docketed Comments'!I:I,MATCH(A363,'Docketed Comments'!H:H,0)),"")</f>
        <v>R3-47</v>
      </c>
      <c r="K363" s="65" t="str">
        <f t="shared" si="11"/>
        <v>✅ On Best Plan</v>
      </c>
      <c r="L363" s="65" t="str">
        <f>IFERROR(INDEX('Docketed Comments'!F:F,MATCH(A363,'Docketed Comments'!H:H,0)),"")</f>
        <v>Form letter</v>
      </c>
      <c r="M363" s="137" t="str">
        <f>IFERROR(HYPERLINK(INDEX('Docketed Comments'!G:G,MATCH(A363,'Docketed Comments'!H:H,0)),"📄 View Docket"),"")</f>
        <v>📄 View Docket</v>
      </c>
      <c r="N363" s="135" t="str">
        <f>IFERROR(INDEX('Docketed Comments'!N:N,MATCH(A363,'Docketed Comments'!H:H,0)),"")</f>
        <v>No</v>
      </c>
      <c r="O363" s="135" t="str">
        <f>IFERROR(INDEX('Docketed Comments'!L:L,MATCH(A363,'Docketed Comments'!H:H,0)),"")</f>
        <v>Yes</v>
      </c>
      <c r="P363" s="136">
        <f t="shared" si="10"/>
        <v>0</v>
      </c>
      <c r="Q363" s="140" t="s">
        <v>5809</v>
      </c>
      <c r="R363" s="144">
        <v>0</v>
      </c>
    </row>
    <row r="364" spans="1:18" ht="21.95" customHeight="1">
      <c r="A364" s="71" t="s">
        <v>542</v>
      </c>
      <c r="B364" s="69"/>
      <c r="C364" s="70"/>
      <c r="D364" s="69"/>
      <c r="E364" s="69"/>
      <c r="F364" s="65"/>
      <c r="G364" s="65" t="s">
        <v>5811</v>
      </c>
      <c r="H364" s="65" t="str">
        <f>IFERROR(INDEX('Docketed Comments'!C:C,MATCH(A364,'Docketed Comments'!H:H,0))&amp;", "&amp;INDEX('Docketed Comments'!B:B,MATCH(A364,'Docketed Comments'!H:H,0)),"")</f>
        <v>Nicholas, Becker</v>
      </c>
      <c r="I364" s="65" t="str">
        <f>IFERROR(INDEX('Docketed Comments'!D:D,MATCH(A364,'Docketed Comments'!H:H,0)),"")</f>
        <v>Goodyear</v>
      </c>
      <c r="J364" s="65" t="str">
        <f>IFERROR(INDEX('Docketed Comments'!I:I,MATCH(A364,'Docketed Comments'!H:H,0)),"")</f>
        <v>R3-47</v>
      </c>
      <c r="K364" s="65" t="str">
        <f t="shared" si="11"/>
        <v>✅ On Best Plan</v>
      </c>
      <c r="L364" s="65" t="str">
        <f>IFERROR(INDEX('Docketed Comments'!F:F,MATCH(A364,'Docketed Comments'!H:H,0)),"")</f>
        <v>Opposed</v>
      </c>
      <c r="M364" s="137" t="str">
        <f>IFERROR(HYPERLINK(INDEX('Docketed Comments'!G:G,MATCH(A364,'Docketed Comments'!H:H,0)),"📄 View Docket"),"")</f>
        <v>📄 View Docket</v>
      </c>
      <c r="N364" s="135" t="str">
        <f>IFERROR(INDEX('Docketed Comments'!N:N,MATCH(A364,'Docketed Comments'!H:H,0)),"")</f>
        <v>No</v>
      </c>
      <c r="O364" s="135" t="str">
        <f>IFERROR(INDEX('Docketed Comments'!L:L,MATCH(A364,'Docketed Comments'!H:H,0)),"")</f>
        <v>Yes</v>
      </c>
      <c r="P364" s="136">
        <f t="shared" si="10"/>
        <v>0</v>
      </c>
      <c r="Q364" s="140"/>
      <c r="R364" s="144">
        <v>1</v>
      </c>
    </row>
    <row r="365" spans="1:18" ht="21.95" customHeight="1">
      <c r="A365" s="71" t="s">
        <v>545</v>
      </c>
      <c r="B365" s="69" t="s">
        <v>111</v>
      </c>
      <c r="C365" s="70">
        <v>46067</v>
      </c>
      <c r="D365" s="69" t="s">
        <v>4888</v>
      </c>
      <c r="E365" s="69"/>
      <c r="F365" s="65"/>
      <c r="G365" s="65"/>
      <c r="H365" s="65" t="str">
        <f>IFERROR(INDEX('Docketed Comments'!C:C,MATCH(A365,'Docketed Comments'!H:H,0))&amp;", "&amp;INDEX('Docketed Comments'!B:B,MATCH(A365,'Docketed Comments'!H:H,0)),"")</f>
        <v>Jordan, Shoop</v>
      </c>
      <c r="I365" s="65" t="str">
        <f>IFERROR(INDEX('Docketed Comments'!D:D,MATCH(A365,'Docketed Comments'!H:H,0)),"")</f>
        <v>Phoenix</v>
      </c>
      <c r="J365" s="65" t="str">
        <f>IFERROR(INDEX('Docketed Comments'!I:I,MATCH(A365,'Docketed Comments'!H:H,0)),"")</f>
        <v>R3-47</v>
      </c>
      <c r="K365" s="65" t="str">
        <f t="shared" si="11"/>
        <v>✅ On Best Plan</v>
      </c>
      <c r="L365" s="65" t="str">
        <f>IFERROR(INDEX('Docketed Comments'!F:F,MATCH(A365,'Docketed Comments'!H:H,0)),"")</f>
        <v>Form letter</v>
      </c>
      <c r="M365" s="137" t="str">
        <f>IFERROR(HYPERLINK(INDEX('Docketed Comments'!G:G,MATCH(A365,'Docketed Comments'!H:H,0)),"📄 View Docket"),"")</f>
        <v>📄 View Docket</v>
      </c>
      <c r="N365" s="135" t="str">
        <f>IFERROR(INDEX('Docketed Comments'!N:N,MATCH(A365,'Docketed Comments'!H:H,0)),"")</f>
        <v>No</v>
      </c>
      <c r="O365" s="135" t="str">
        <f>IFERROR(INDEX('Docketed Comments'!L:L,MATCH(A365,'Docketed Comments'!H:H,0)),"")</f>
        <v>Yes</v>
      </c>
      <c r="P365" s="136">
        <f t="shared" si="10"/>
        <v>0</v>
      </c>
      <c r="Q365" s="140" t="s">
        <v>5809</v>
      </c>
      <c r="R365" s="144">
        <v>0</v>
      </c>
    </row>
    <row r="366" spans="1:18" ht="21.95" customHeight="1">
      <c r="A366" s="71" t="s">
        <v>555</v>
      </c>
      <c r="B366" s="69" t="s">
        <v>111</v>
      </c>
      <c r="C366" s="70">
        <v>46067</v>
      </c>
      <c r="D366" s="69" t="s">
        <v>4865</v>
      </c>
      <c r="E366" s="69"/>
      <c r="F366" s="65" t="s">
        <v>5696</v>
      </c>
      <c r="G366" s="65"/>
      <c r="H366" s="65" t="str">
        <f>IFERROR(INDEX('Docketed Comments'!C:C,MATCH(A366,'Docketed Comments'!H:H,0))&amp;", "&amp;INDEX('Docketed Comments'!B:B,MATCH(A366,'Docketed Comments'!H:H,0)),"")</f>
        <v>Paul, Kovar</v>
      </c>
      <c r="I366" s="65" t="str">
        <f>IFERROR(INDEX('Docketed Comments'!D:D,MATCH(A366,'Docketed Comments'!H:H,0)),"")</f>
        <v>Phoenix</v>
      </c>
      <c r="J366" s="65" t="str">
        <f>IFERROR(INDEX('Docketed Comments'!I:I,MATCH(A366,'Docketed Comments'!H:H,0)),"")</f>
        <v>R3-47</v>
      </c>
      <c r="K366" s="65" t="str">
        <f t="shared" si="11"/>
        <v>✅ On Best Plan</v>
      </c>
      <c r="L366" s="65" t="str">
        <f>IFERROR(INDEX('Docketed Comments'!F:F,MATCH(A366,'Docketed Comments'!H:H,0)),"")</f>
        <v>No rate hikes</v>
      </c>
      <c r="M366" s="137" t="str">
        <f>IFERROR(HYPERLINK(INDEX('Docketed Comments'!G:G,MATCH(A366,'Docketed Comments'!H:H,0)),"📄 View Docket"),"")</f>
        <v>📄 View Docket</v>
      </c>
      <c r="N366" s="135" t="str">
        <f>IFERROR(INDEX('Docketed Comments'!N:N,MATCH(A366,'Docketed Comments'!H:H,0)),"")</f>
        <v>No</v>
      </c>
      <c r="O366" s="135" t="str">
        <f>IFERROR(INDEX('Docketed Comments'!L:L,MATCH(A366,'Docketed Comments'!H:H,0)),"")</f>
        <v>Yes</v>
      </c>
      <c r="P366" s="136">
        <f t="shared" si="10"/>
        <v>0</v>
      </c>
      <c r="Q366" s="140" t="s">
        <v>5809</v>
      </c>
      <c r="R366" s="144">
        <v>0</v>
      </c>
    </row>
    <row r="367" spans="1:18" ht="21.95" customHeight="1">
      <c r="A367" s="71" t="s">
        <v>557</v>
      </c>
      <c r="B367" s="69"/>
      <c r="C367" s="70"/>
      <c r="D367" s="69"/>
      <c r="E367" s="69"/>
      <c r="F367" s="65"/>
      <c r="G367" s="65" t="s">
        <v>5811</v>
      </c>
      <c r="H367" s="65" t="str">
        <f>IFERROR(INDEX('Docketed Comments'!C:C,MATCH(A367,'Docketed Comments'!H:H,0))&amp;", "&amp;INDEX('Docketed Comments'!B:B,MATCH(A367,'Docketed Comments'!H:H,0)),"")</f>
        <v>Sarah, Lamb</v>
      </c>
      <c r="I367" s="65" t="str">
        <f>IFERROR(INDEX('Docketed Comments'!D:D,MATCH(A367,'Docketed Comments'!H:H,0)),"")</f>
        <v>Phoenix</v>
      </c>
      <c r="J367" s="65" t="str">
        <f>IFERROR(INDEX('Docketed Comments'!I:I,MATCH(A367,'Docketed Comments'!H:H,0)),"")</f>
        <v>RTOUE47</v>
      </c>
      <c r="K367" s="65" t="str">
        <f t="shared" si="11"/>
        <v>✅ On Best Plan</v>
      </c>
      <c r="L367" s="65" t="str">
        <f>IFERROR(INDEX('Docketed Comments'!F:F,MATCH(A367,'Docketed Comments'!H:H,0)),"")</f>
        <v>Form letter</v>
      </c>
      <c r="M367" s="137" t="str">
        <f>IFERROR(HYPERLINK(INDEX('Docketed Comments'!G:G,MATCH(A367,'Docketed Comments'!H:H,0)),"📄 View Docket"),"")</f>
        <v>📄 View Docket</v>
      </c>
      <c r="N367" s="135" t="str">
        <f>IFERROR(INDEX('Docketed Comments'!N:N,MATCH(A367,'Docketed Comments'!H:H,0)),"")</f>
        <v>No</v>
      </c>
      <c r="O367" s="135" t="str">
        <f>IFERROR(INDEX('Docketed Comments'!L:L,MATCH(A367,'Docketed Comments'!H:H,0)),"")</f>
        <v>Yes</v>
      </c>
      <c r="P367" s="136">
        <f t="shared" si="10"/>
        <v>0</v>
      </c>
      <c r="Q367" s="140"/>
      <c r="R367" s="144">
        <v>1</v>
      </c>
    </row>
    <row r="368" spans="1:18" ht="21.95" customHeight="1">
      <c r="A368" s="71" t="s">
        <v>562</v>
      </c>
      <c r="B368" s="69" t="s">
        <v>111</v>
      </c>
      <c r="C368" s="70">
        <v>46067</v>
      </c>
      <c r="D368" s="69" t="s">
        <v>4865</v>
      </c>
      <c r="E368" s="69"/>
      <c r="F368" s="65" t="s">
        <v>5697</v>
      </c>
      <c r="G368" s="65"/>
      <c r="H368" s="65" t="str">
        <f>IFERROR(INDEX('Docketed Comments'!C:C,MATCH(A368,'Docketed Comments'!H:H,0))&amp;", "&amp;INDEX('Docketed Comments'!B:B,MATCH(A368,'Docketed Comments'!H:H,0)),"")</f>
        <v>Dinesh, Munuswamy</v>
      </c>
      <c r="I368" s="65" t="str">
        <f>IFERROR(INDEX('Docketed Comments'!D:D,MATCH(A368,'Docketed Comments'!H:H,0)),"")</f>
        <v>Peoria</v>
      </c>
      <c r="J368" s="65" t="str">
        <f>IFERROR(INDEX('Docketed Comments'!I:I,MATCH(A368,'Docketed Comments'!H:H,0)),"")</f>
        <v>R3-47</v>
      </c>
      <c r="K368" s="65" t="str">
        <f t="shared" si="11"/>
        <v>✅ On Best Plan</v>
      </c>
      <c r="L368" s="65" t="str">
        <f>IFERROR(INDEX('Docketed Comments'!F:F,MATCH(A368,'Docketed Comments'!H:H,0)),"")</f>
        <v>Form letter</v>
      </c>
      <c r="M368" s="137" t="str">
        <f>IFERROR(HYPERLINK(INDEX('Docketed Comments'!G:G,MATCH(A368,'Docketed Comments'!H:H,0)),"📄 View Docket"),"")</f>
        <v>📄 View Docket</v>
      </c>
      <c r="N368" s="135" t="str">
        <f>IFERROR(INDEX('Docketed Comments'!N:N,MATCH(A368,'Docketed Comments'!H:H,0)),"")</f>
        <v>No</v>
      </c>
      <c r="O368" s="135" t="str">
        <f>IFERROR(INDEX('Docketed Comments'!L:L,MATCH(A368,'Docketed Comments'!H:H,0)),"")</f>
        <v>Yes</v>
      </c>
      <c r="P368" s="136">
        <f t="shared" si="10"/>
        <v>0</v>
      </c>
      <c r="Q368" s="140" t="s">
        <v>5809</v>
      </c>
      <c r="R368" s="144">
        <v>0</v>
      </c>
    </row>
    <row r="369" spans="1:18" ht="21.95" customHeight="1">
      <c r="A369" s="71" t="s">
        <v>567</v>
      </c>
      <c r="B369" s="69" t="s">
        <v>111</v>
      </c>
      <c r="C369" s="70">
        <v>46067</v>
      </c>
      <c r="D369" s="69" t="s">
        <v>4888</v>
      </c>
      <c r="E369" s="69"/>
      <c r="F369" s="65"/>
      <c r="G369" s="65"/>
      <c r="H369" s="65" t="str">
        <f>IFERROR(INDEX('Docketed Comments'!C:C,MATCH(A369,'Docketed Comments'!H:H,0))&amp;", "&amp;INDEX('Docketed Comments'!B:B,MATCH(A369,'Docketed Comments'!H:H,0)),"")</f>
        <v>Wilson, Kelly</v>
      </c>
      <c r="I369" s="65" t="str">
        <f>IFERROR(INDEX('Docketed Comments'!D:D,MATCH(A369,'Docketed Comments'!H:H,0)),"")</f>
        <v>Phoenix</v>
      </c>
      <c r="J369" s="65" t="str">
        <f>IFERROR(INDEX('Docketed Comments'!I:I,MATCH(A369,'Docketed Comments'!H:H,0)),"")</f>
        <v>R-XS</v>
      </c>
      <c r="K369" s="65" t="str">
        <f t="shared" si="11"/>
        <v>✅ On Best Plan</v>
      </c>
      <c r="L369" s="65" t="str">
        <f>IFERROR(INDEX('Docketed Comments'!F:F,MATCH(A369,'Docketed Comments'!H:H,0)),"")</f>
        <v>Form letter</v>
      </c>
      <c r="M369" s="137" t="str">
        <f>IFERROR(HYPERLINK(INDEX('Docketed Comments'!G:G,MATCH(A369,'Docketed Comments'!H:H,0)),"📄 View Docket"),"")</f>
        <v>📄 View Docket</v>
      </c>
      <c r="N369" s="135" t="str">
        <f>IFERROR(INDEX('Docketed Comments'!N:N,MATCH(A369,'Docketed Comments'!H:H,0)),"")</f>
        <v>No</v>
      </c>
      <c r="O369" s="135" t="str">
        <f>IFERROR(INDEX('Docketed Comments'!L:L,MATCH(A369,'Docketed Comments'!H:H,0)),"")</f>
        <v>Yes</v>
      </c>
      <c r="P369" s="136">
        <f t="shared" si="10"/>
        <v>0</v>
      </c>
      <c r="Q369" s="140" t="s">
        <v>5809</v>
      </c>
      <c r="R369" s="144">
        <v>0</v>
      </c>
    </row>
    <row r="370" spans="1:18" ht="21.95" customHeight="1">
      <c r="A370" s="71" t="s">
        <v>571</v>
      </c>
      <c r="B370" s="69"/>
      <c r="C370" s="70"/>
      <c r="D370" s="69"/>
      <c r="E370" s="69"/>
      <c r="F370" s="65"/>
      <c r="G370" s="65" t="s">
        <v>5811</v>
      </c>
      <c r="H370" s="65" t="str">
        <f>IFERROR(INDEX('Docketed Comments'!C:C,MATCH(A370,'Docketed Comments'!H:H,0))&amp;", "&amp;INDEX('Docketed Comments'!B:B,MATCH(A370,'Docketed Comments'!H:H,0)),"")</f>
        <v>Prakash, Sahoo</v>
      </c>
      <c r="I370" s="65" t="str">
        <f>IFERROR(INDEX('Docketed Comments'!D:D,MATCH(A370,'Docketed Comments'!H:H,0)),"")</f>
        <v>Scottsdale</v>
      </c>
      <c r="J370" s="65" t="str">
        <f>IFERROR(INDEX('Docketed Comments'!I:I,MATCH(A370,'Docketed Comments'!H:H,0)),"")</f>
        <v>RTOUE47</v>
      </c>
      <c r="K370" s="65" t="str">
        <f t="shared" si="11"/>
        <v>✅ On Best Plan</v>
      </c>
      <c r="L370" s="65" t="str">
        <f>IFERROR(INDEX('Docketed Comments'!F:F,MATCH(A370,'Docketed Comments'!H:H,0)),"")</f>
        <v>Does not support</v>
      </c>
      <c r="M370" s="137" t="str">
        <f>IFERROR(HYPERLINK(INDEX('Docketed Comments'!G:G,MATCH(A370,'Docketed Comments'!H:H,0)),"📄 View Docket"),"")</f>
        <v>📄 View Docket</v>
      </c>
      <c r="N370" s="135" t="str">
        <f>IFERROR(INDEX('Docketed Comments'!N:N,MATCH(A370,'Docketed Comments'!H:H,0)),"")</f>
        <v>No</v>
      </c>
      <c r="O370" s="135" t="str">
        <f>IFERROR(INDEX('Docketed Comments'!L:L,MATCH(A370,'Docketed Comments'!H:H,0)),"")</f>
        <v>Yes</v>
      </c>
      <c r="P370" s="136">
        <f t="shared" si="10"/>
        <v>0</v>
      </c>
      <c r="Q370" s="140"/>
      <c r="R370" s="144">
        <v>1</v>
      </c>
    </row>
    <row r="371" spans="1:18" ht="21.95" customHeight="1">
      <c r="A371" s="71" t="s">
        <v>580</v>
      </c>
      <c r="B371" s="69"/>
      <c r="C371" s="70"/>
      <c r="D371" s="69"/>
      <c r="E371" s="69"/>
      <c r="F371" s="65"/>
      <c r="G371" s="65" t="s">
        <v>5811</v>
      </c>
      <c r="H371" s="65" t="str">
        <f>IFERROR(INDEX('Docketed Comments'!C:C,MATCH(A371,'Docketed Comments'!H:H,0))&amp;", "&amp;INDEX('Docketed Comments'!B:B,MATCH(A371,'Docketed Comments'!H:H,0)),"")</f>
        <v>Allison, Pela</v>
      </c>
      <c r="I371" s="65" t="str">
        <f>IFERROR(INDEX('Docketed Comments'!D:D,MATCH(A371,'Docketed Comments'!H:H,0)),"")</f>
        <v>Phoenix</v>
      </c>
      <c r="J371" s="65" t="str">
        <f>IFERROR(INDEX('Docketed Comments'!I:I,MATCH(A371,'Docketed Comments'!H:H,0)),"")</f>
        <v>R3-47</v>
      </c>
      <c r="K371" s="65" t="str">
        <f t="shared" si="11"/>
        <v>✅ On Best Plan</v>
      </c>
      <c r="L371" s="65" t="str">
        <f>IFERROR(INDEX('Docketed Comments'!F:F,MATCH(A371,'Docketed Comments'!H:H,0)),"")</f>
        <v>Punishing solar customers</v>
      </c>
      <c r="M371" s="137" t="str">
        <f>IFERROR(HYPERLINK(INDEX('Docketed Comments'!G:G,MATCH(A371,'Docketed Comments'!H:H,0)),"📄 View Docket"),"")</f>
        <v>📄 View Docket</v>
      </c>
      <c r="N371" s="135" t="str">
        <f>IFERROR(INDEX('Docketed Comments'!N:N,MATCH(A371,'Docketed Comments'!H:H,0)),"")</f>
        <v>No</v>
      </c>
      <c r="O371" s="135" t="str">
        <f>IFERROR(INDEX('Docketed Comments'!L:L,MATCH(A371,'Docketed Comments'!H:H,0)),"")</f>
        <v>Yes</v>
      </c>
      <c r="P371" s="136">
        <f t="shared" si="10"/>
        <v>0</v>
      </c>
      <c r="Q371" s="140"/>
      <c r="R371" s="144">
        <v>1</v>
      </c>
    </row>
    <row r="372" spans="1:18" ht="21.95" customHeight="1">
      <c r="A372" s="71" t="s">
        <v>583</v>
      </c>
      <c r="B372" s="69" t="s">
        <v>111</v>
      </c>
      <c r="C372" s="70">
        <v>46074</v>
      </c>
      <c r="D372" s="69" t="s">
        <v>4888</v>
      </c>
      <c r="E372" s="69"/>
      <c r="F372" s="65"/>
      <c r="G372" s="65"/>
      <c r="H372" s="65" t="str">
        <f>IFERROR(INDEX('Docketed Comments'!C:C,MATCH(A372,'Docketed Comments'!H:H,0))&amp;", "&amp;INDEX('Docketed Comments'!B:B,MATCH(A372,'Docketed Comments'!H:H,0)),"")</f>
        <v>Juanita, Elliston</v>
      </c>
      <c r="I372" s="65" t="str">
        <f>IFERROR(INDEX('Docketed Comments'!D:D,MATCH(A372,'Docketed Comments'!H:H,0)),"")</f>
        <v>Litchfield Park</v>
      </c>
      <c r="J372" s="65" t="str">
        <f>IFERROR(INDEX('Docketed Comments'!I:I,MATCH(A372,'Docketed Comments'!H:H,0)),"")</f>
        <v>R3-47</v>
      </c>
      <c r="K372" s="65" t="str">
        <f t="shared" si="11"/>
        <v>✅ On Best Plan</v>
      </c>
      <c r="L372" s="65" t="str">
        <f>IFERROR(INDEX('Docketed Comments'!F:F,MATCH(A372,'Docketed Comments'!H:H,0)),"")</f>
        <v>Opposed</v>
      </c>
      <c r="M372" s="137" t="str">
        <f>IFERROR(HYPERLINK(INDEX('Docketed Comments'!G:G,MATCH(A372,'Docketed Comments'!H:H,0)),"📄 View Docket"),"")</f>
        <v>📄 View Docket</v>
      </c>
      <c r="N372" s="135" t="str">
        <f>IFERROR(INDEX('Docketed Comments'!N:N,MATCH(A372,'Docketed Comments'!H:H,0)),"")</f>
        <v>No</v>
      </c>
      <c r="O372" s="135" t="str">
        <f>IFERROR(INDEX('Docketed Comments'!L:L,MATCH(A372,'Docketed Comments'!H:H,0)),"")</f>
        <v>Yes</v>
      </c>
      <c r="P372" s="136">
        <f t="shared" si="10"/>
        <v>0</v>
      </c>
      <c r="Q372" s="140" t="s">
        <v>5809</v>
      </c>
      <c r="R372" s="144">
        <v>0</v>
      </c>
    </row>
    <row r="373" spans="1:18" ht="21.95" customHeight="1">
      <c r="A373" s="71" t="s">
        <v>586</v>
      </c>
      <c r="B373" s="69"/>
      <c r="C373" s="70"/>
      <c r="D373" s="69"/>
      <c r="E373" s="69"/>
      <c r="F373" s="65"/>
      <c r="G373" s="65" t="s">
        <v>5811</v>
      </c>
      <c r="H373" s="65" t="str">
        <f>IFERROR(INDEX('Docketed Comments'!C:C,MATCH(A373,'Docketed Comments'!H:H,0))&amp;", "&amp;INDEX('Docketed Comments'!B:B,MATCH(A373,'Docketed Comments'!H:H,0)),"")</f>
        <v>Eli, Kroytoro</v>
      </c>
      <c r="I373" s="65" t="str">
        <f>IFERROR(INDEX('Docketed Comments'!D:D,MATCH(A373,'Docketed Comments'!H:H,0)),"")</f>
        <v>Phoenix</v>
      </c>
      <c r="J373" s="65" t="str">
        <f>IFERROR(INDEX('Docketed Comments'!I:I,MATCH(A373,'Docketed Comments'!H:H,0)),"")</f>
        <v>R3-47</v>
      </c>
      <c r="K373" s="65" t="str">
        <f t="shared" si="11"/>
        <v>✅ On Best Plan</v>
      </c>
      <c r="L373" s="65" t="str">
        <f>IFERROR(INDEX('Docketed Comments'!F:F,MATCH(A373,'Docketed Comments'!H:H,0)),"")</f>
        <v>Form letter</v>
      </c>
      <c r="M373" s="137" t="str">
        <f>IFERROR(HYPERLINK(INDEX('Docketed Comments'!G:G,MATCH(A373,'Docketed Comments'!H:H,0)),"📄 View Docket"),"")</f>
        <v>📄 View Docket</v>
      </c>
      <c r="N373" s="135" t="str">
        <f>IFERROR(INDEX('Docketed Comments'!N:N,MATCH(A373,'Docketed Comments'!H:H,0)),"")</f>
        <v>No</v>
      </c>
      <c r="O373" s="135" t="str">
        <f>IFERROR(INDEX('Docketed Comments'!L:L,MATCH(A373,'Docketed Comments'!H:H,0)),"")</f>
        <v>Yes</v>
      </c>
      <c r="P373" s="136">
        <f t="shared" si="10"/>
        <v>0</v>
      </c>
      <c r="Q373" s="140"/>
      <c r="R373" s="144">
        <v>1</v>
      </c>
    </row>
    <row r="374" spans="1:18" ht="21.95" customHeight="1">
      <c r="A374" s="71" t="s">
        <v>590</v>
      </c>
      <c r="B374" s="69" t="s">
        <v>111</v>
      </c>
      <c r="C374" s="70">
        <v>46074</v>
      </c>
      <c r="D374" s="69" t="s">
        <v>4888</v>
      </c>
      <c r="E374" s="69"/>
      <c r="F374" s="65"/>
      <c r="G374" s="65"/>
      <c r="H374" s="65" t="str">
        <f>IFERROR(INDEX('Docketed Comments'!C:C,MATCH(A374,'Docketed Comments'!H:H,0))&amp;", "&amp;INDEX('Docketed Comments'!B:B,MATCH(A374,'Docketed Comments'!H:H,0)),"")</f>
        <v>Robert, McCallum</v>
      </c>
      <c r="I374" s="65" t="str">
        <f>IFERROR(INDEX('Docketed Comments'!D:D,MATCH(A374,'Docketed Comments'!H:H,0)),"")</f>
        <v>Litchfield Park</v>
      </c>
      <c r="J374" s="65" t="str">
        <f>IFERROR(INDEX('Docketed Comments'!I:I,MATCH(A374,'Docketed Comments'!H:H,0)),"")</f>
        <v>R-BASIC</v>
      </c>
      <c r="K374" s="65" t="str">
        <f t="shared" si="11"/>
        <v>✅ On Best Plan</v>
      </c>
      <c r="L374" s="65" t="str">
        <f>IFERROR(INDEX('Docketed Comments'!F:F,MATCH(A374,'Docketed Comments'!H:H,0)),"")</f>
        <v xml:space="preserve">Cannot afford/retired </v>
      </c>
      <c r="M374" s="137" t="str">
        <f>IFERROR(HYPERLINK(INDEX('Docketed Comments'!G:G,MATCH(A374,'Docketed Comments'!H:H,0)),"📄 View Docket"),"")</f>
        <v>📄 View Docket</v>
      </c>
      <c r="N374" s="135" t="str">
        <f>IFERROR(INDEX('Docketed Comments'!N:N,MATCH(A374,'Docketed Comments'!H:H,0)),"")</f>
        <v>No</v>
      </c>
      <c r="O374" s="135" t="str">
        <f>IFERROR(INDEX('Docketed Comments'!L:L,MATCH(A374,'Docketed Comments'!H:H,0)),"")</f>
        <v>Yes</v>
      </c>
      <c r="P374" s="136">
        <f t="shared" si="10"/>
        <v>0</v>
      </c>
      <c r="Q374" s="140" t="s">
        <v>5809</v>
      </c>
      <c r="R374" s="144">
        <v>0</v>
      </c>
    </row>
    <row r="375" spans="1:18" ht="21.95" customHeight="1">
      <c r="A375" s="71" t="s">
        <v>607</v>
      </c>
      <c r="B375" s="69"/>
      <c r="C375" s="70"/>
      <c r="D375" s="69"/>
      <c r="E375" s="69"/>
      <c r="F375" s="65"/>
      <c r="G375" s="65" t="s">
        <v>5811</v>
      </c>
      <c r="H375" s="65" t="str">
        <f>IFERROR(INDEX('Docketed Comments'!C:C,MATCH(A375,'Docketed Comments'!H:H,0))&amp;", "&amp;INDEX('Docketed Comments'!B:B,MATCH(A375,'Docketed Comments'!H:H,0)),"")</f>
        <v>Jordan, Weaver</v>
      </c>
      <c r="I375" s="65" t="str">
        <f>IFERROR(INDEX('Docketed Comments'!D:D,MATCH(A375,'Docketed Comments'!H:H,0)),"")</f>
        <v>Phoenix</v>
      </c>
      <c r="J375" s="65" t="str">
        <f>IFERROR(INDEX('Docketed Comments'!I:I,MATCH(A375,'Docketed Comments'!H:H,0)),"")</f>
        <v>R-XS</v>
      </c>
      <c r="K375" s="65" t="str">
        <f t="shared" si="11"/>
        <v>✅ On Best Plan</v>
      </c>
      <c r="L375" s="65" t="str">
        <f>IFERROR(INDEX('Docketed Comments'!F:F,MATCH(A375,'Docketed Comments'!H:H,0)),"")</f>
        <v>Make data centers pay more not people who are struggling</v>
      </c>
      <c r="M375" s="137" t="str">
        <f>IFERROR(HYPERLINK(INDEX('Docketed Comments'!G:G,MATCH(A375,'Docketed Comments'!H:H,0)),"📄 View Docket"),"")</f>
        <v>📄 View Docket</v>
      </c>
      <c r="N375" s="135" t="str">
        <f>IFERROR(INDEX('Docketed Comments'!N:N,MATCH(A375,'Docketed Comments'!H:H,0)),"")</f>
        <v>No</v>
      </c>
      <c r="O375" s="135" t="str">
        <f>IFERROR(INDEX('Docketed Comments'!L:L,MATCH(A375,'Docketed Comments'!H:H,0)),"")</f>
        <v>Yes</v>
      </c>
      <c r="P375" s="136">
        <f t="shared" si="10"/>
        <v>0</v>
      </c>
      <c r="Q375" s="140"/>
      <c r="R375" s="144">
        <v>1</v>
      </c>
    </row>
    <row r="376" spans="1:18" ht="21.95" customHeight="1">
      <c r="A376" s="71" t="s">
        <v>619</v>
      </c>
      <c r="B376" s="69"/>
      <c r="C376" s="70"/>
      <c r="D376" s="69"/>
      <c r="E376" s="69"/>
      <c r="F376" s="65"/>
      <c r="G376" s="65" t="s">
        <v>5811</v>
      </c>
      <c r="H376" s="65" t="str">
        <f>IFERROR(INDEX('Docketed Comments'!C:C,MATCH(A376,'Docketed Comments'!H:H,0))&amp;", "&amp;INDEX('Docketed Comments'!B:B,MATCH(A376,'Docketed Comments'!H:H,0)),"")</f>
        <v>Shyam Sundar, Ramakrishnan</v>
      </c>
      <c r="I376" s="65" t="str">
        <f>IFERROR(INDEX('Docketed Comments'!D:D,MATCH(A376,'Docketed Comments'!H:H,0)),"")</f>
        <v>Phoenix</v>
      </c>
      <c r="J376" s="65" t="str">
        <f>IFERROR(INDEX('Docketed Comments'!I:I,MATCH(A376,'Docketed Comments'!H:H,0)),"")</f>
        <v>R3-47</v>
      </c>
      <c r="K376" s="65" t="str">
        <f t="shared" si="11"/>
        <v>✅ On Best Plan</v>
      </c>
      <c r="L376" s="65" t="str">
        <f>IFERROR(INDEX('Docketed Comments'!F:F,MATCH(A376,'Docketed Comments'!H:H,0)),"")</f>
        <v>Unnecessary financial strain</v>
      </c>
      <c r="M376" s="137" t="str">
        <f>IFERROR(HYPERLINK(INDEX('Docketed Comments'!G:G,MATCH(A376,'Docketed Comments'!H:H,0)),"📄 View Docket"),"")</f>
        <v>📄 View Docket</v>
      </c>
      <c r="N376" s="135" t="str">
        <f>IFERROR(INDEX('Docketed Comments'!N:N,MATCH(A376,'Docketed Comments'!H:H,0)),"")</f>
        <v>No</v>
      </c>
      <c r="O376" s="135" t="str">
        <f>IFERROR(INDEX('Docketed Comments'!L:L,MATCH(A376,'Docketed Comments'!H:H,0)),"")</f>
        <v>Yes</v>
      </c>
      <c r="P376" s="136">
        <f t="shared" si="10"/>
        <v>0</v>
      </c>
      <c r="Q376" s="140"/>
      <c r="R376" s="144">
        <v>1</v>
      </c>
    </row>
    <row r="377" spans="1:18" ht="21.95" customHeight="1">
      <c r="A377" s="71" t="s">
        <v>623</v>
      </c>
      <c r="B377" s="69" t="s">
        <v>111</v>
      </c>
      <c r="C377" s="70">
        <v>46074</v>
      </c>
      <c r="D377" s="69" t="s">
        <v>4888</v>
      </c>
      <c r="E377" s="69"/>
      <c r="F377" s="65"/>
      <c r="G377" s="65"/>
      <c r="H377" s="65" t="str">
        <f>IFERROR(INDEX('Docketed Comments'!C:C,MATCH(A377,'Docketed Comments'!H:H,0))&amp;", "&amp;INDEX('Docketed Comments'!B:B,MATCH(A377,'Docketed Comments'!H:H,0)),"")</f>
        <v>Kaneshea, Vandiver</v>
      </c>
      <c r="I377" s="65" t="str">
        <f>IFERROR(INDEX('Docketed Comments'!D:D,MATCH(A377,'Docketed Comments'!H:H,0)),"")</f>
        <v>Avondale</v>
      </c>
      <c r="J377" s="65" t="str">
        <f>IFERROR(INDEX('Docketed Comments'!I:I,MATCH(A377,'Docketed Comments'!H:H,0)),"")</f>
        <v>R-BASIC</v>
      </c>
      <c r="K377" s="65" t="str">
        <f t="shared" si="11"/>
        <v>✅ On Best Plan</v>
      </c>
      <c r="L377" s="65" t="str">
        <f>IFERROR(INDEX('Docketed Comments'!F:F,MATCH(A377,'Docketed Comments'!H:H,0)),"")</f>
        <v>Already having a hard time affording electric bill</v>
      </c>
      <c r="M377" s="137" t="str">
        <f>IFERROR(HYPERLINK(INDEX('Docketed Comments'!G:G,MATCH(A377,'Docketed Comments'!H:H,0)),"📄 View Docket"),"")</f>
        <v>📄 View Docket</v>
      </c>
      <c r="N377" s="135" t="str">
        <f>IFERROR(INDEX('Docketed Comments'!N:N,MATCH(A377,'Docketed Comments'!H:H,0)),"")</f>
        <v>No</v>
      </c>
      <c r="O377" s="135" t="str">
        <f>IFERROR(INDEX('Docketed Comments'!L:L,MATCH(A377,'Docketed Comments'!H:H,0)),"")</f>
        <v>Yes</v>
      </c>
      <c r="P377" s="136">
        <f t="shared" si="10"/>
        <v>0</v>
      </c>
      <c r="Q377" s="140" t="s">
        <v>5809</v>
      </c>
      <c r="R377" s="144">
        <v>0</v>
      </c>
    </row>
    <row r="378" spans="1:18" ht="21.95" customHeight="1">
      <c r="A378" s="71" t="s">
        <v>628</v>
      </c>
      <c r="B378" s="69"/>
      <c r="C378" s="70"/>
      <c r="D378" s="69"/>
      <c r="E378" s="69"/>
      <c r="F378" s="65"/>
      <c r="G378" s="65" t="s">
        <v>5811</v>
      </c>
      <c r="H378" s="65" t="str">
        <f>IFERROR(INDEX('Docketed Comments'!C:C,MATCH(A378,'Docketed Comments'!H:H,0))&amp;", "&amp;INDEX('Docketed Comments'!B:B,MATCH(A378,'Docketed Comments'!H:H,0)),"")</f>
        <v>Adam, Fajardo</v>
      </c>
      <c r="I378" s="65" t="str">
        <f>IFERROR(INDEX('Docketed Comments'!D:D,MATCH(A378,'Docketed Comments'!H:H,0)),"")</f>
        <v>Flagstaff</v>
      </c>
      <c r="J378" s="65" t="str">
        <f>IFERROR(INDEX('Docketed Comments'!I:I,MATCH(A378,'Docketed Comments'!H:H,0)),"")</f>
        <v>R-XS</v>
      </c>
      <c r="K378" s="65" t="str">
        <f t="shared" si="11"/>
        <v>✅ On Best Plan</v>
      </c>
      <c r="L378" s="65" t="str">
        <f>IFERROR(INDEX('Docketed Comments'!F:F,MATCH(A378,'Docketed Comments'!H:H,0)),"")</f>
        <v>Form letter</v>
      </c>
      <c r="M378" s="137" t="str">
        <f>IFERROR(HYPERLINK(INDEX('Docketed Comments'!G:G,MATCH(A378,'Docketed Comments'!H:H,0)),"📄 View Docket"),"")</f>
        <v>📄 View Docket</v>
      </c>
      <c r="N378" s="135" t="str">
        <f>IFERROR(INDEX('Docketed Comments'!N:N,MATCH(A378,'Docketed Comments'!H:H,0)),"")</f>
        <v>No</v>
      </c>
      <c r="O378" s="135" t="str">
        <f>IFERROR(INDEX('Docketed Comments'!L:L,MATCH(A378,'Docketed Comments'!H:H,0)),"")</f>
        <v>Yes</v>
      </c>
      <c r="P378" s="136">
        <f t="shared" si="10"/>
        <v>0</v>
      </c>
      <c r="Q378" s="140"/>
      <c r="R378" s="144">
        <v>1</v>
      </c>
    </row>
    <row r="379" spans="1:18" ht="21.95" customHeight="1">
      <c r="A379" s="71" t="s">
        <v>635</v>
      </c>
      <c r="B379" s="69"/>
      <c r="C379" s="70"/>
      <c r="D379" s="69"/>
      <c r="E379" s="69"/>
      <c r="F379" s="65"/>
      <c r="G379" s="65" t="s">
        <v>5811</v>
      </c>
      <c r="H379" s="65" t="str">
        <f>IFERROR(INDEX('Docketed Comments'!C:C,MATCH(A379,'Docketed Comments'!H:H,0))&amp;", "&amp;INDEX('Docketed Comments'!B:B,MATCH(A379,'Docketed Comments'!H:H,0)),"")</f>
        <v>Amit Kumar, Purohit</v>
      </c>
      <c r="I379" s="65" t="str">
        <f>IFERROR(INDEX('Docketed Comments'!D:D,MATCH(A379,'Docketed Comments'!H:H,0)),"")</f>
        <v>Scottsdale</v>
      </c>
      <c r="J379" s="65" t="str">
        <f>IFERROR(INDEX('Docketed Comments'!I:I,MATCH(A379,'Docketed Comments'!H:H,0)),"")</f>
        <v>R3-47</v>
      </c>
      <c r="K379" s="65" t="str">
        <f t="shared" si="11"/>
        <v>✅ On Best Plan</v>
      </c>
      <c r="L379" s="65" t="str">
        <f>IFERROR(INDEX('Docketed Comments'!F:F,MATCH(A379,'Docketed Comments'!H:H,0)),"")</f>
        <v>Form letter</v>
      </c>
      <c r="M379" s="137" t="str">
        <f>IFERROR(HYPERLINK(INDEX('Docketed Comments'!G:G,MATCH(A379,'Docketed Comments'!H:H,0)),"📄 View Docket"),"")</f>
        <v>📄 View Docket</v>
      </c>
      <c r="N379" s="135" t="str">
        <f>IFERROR(INDEX('Docketed Comments'!N:N,MATCH(A379,'Docketed Comments'!H:H,0)),"")</f>
        <v>No</v>
      </c>
      <c r="O379" s="135" t="str">
        <f>IFERROR(INDEX('Docketed Comments'!L:L,MATCH(A379,'Docketed Comments'!H:H,0)),"")</f>
        <v>Yes</v>
      </c>
      <c r="P379" s="136">
        <f t="shared" si="10"/>
        <v>0</v>
      </c>
      <c r="Q379" s="140"/>
      <c r="R379" s="144">
        <v>1</v>
      </c>
    </row>
    <row r="380" spans="1:18" ht="21.95" customHeight="1">
      <c r="A380" s="71" t="s">
        <v>640</v>
      </c>
      <c r="B380" s="69" t="s">
        <v>111</v>
      </c>
      <c r="C380" s="70">
        <v>46074</v>
      </c>
      <c r="D380" s="69" t="s">
        <v>4888</v>
      </c>
      <c r="E380" s="69"/>
      <c r="F380" s="65"/>
      <c r="G380" s="65"/>
      <c r="H380" s="65" t="str">
        <f>IFERROR(INDEX('Docketed Comments'!C:C,MATCH(A380,'Docketed Comments'!H:H,0))&amp;", "&amp;INDEX('Docketed Comments'!B:B,MATCH(A380,'Docketed Comments'!H:H,0)),"")</f>
        <v>Madison, Theis</v>
      </c>
      <c r="I380" s="65" t="str">
        <f>IFERROR(INDEX('Docketed Comments'!D:D,MATCH(A380,'Docketed Comments'!H:H,0)),"")</f>
        <v>Phoenix</v>
      </c>
      <c r="J380" s="65" t="str">
        <f>IFERROR(INDEX('Docketed Comments'!I:I,MATCH(A380,'Docketed Comments'!H:H,0)),"")</f>
        <v>R-XS</v>
      </c>
      <c r="K380" s="65" t="str">
        <f t="shared" si="11"/>
        <v>✅ On Best Plan</v>
      </c>
      <c r="L380" s="65" t="str">
        <f>IFERROR(INDEX('Docketed Comments'!F:F,MATCH(A380,'Docketed Comments'!H:H,0)),"")</f>
        <v>Form letter</v>
      </c>
      <c r="M380" s="137" t="str">
        <f>IFERROR(HYPERLINK(INDEX('Docketed Comments'!G:G,MATCH(A380,'Docketed Comments'!H:H,0)),"📄 View Docket"),"")</f>
        <v>📄 View Docket</v>
      </c>
      <c r="N380" s="135" t="str">
        <f>IFERROR(INDEX('Docketed Comments'!N:N,MATCH(A380,'Docketed Comments'!H:H,0)),"")</f>
        <v>No</v>
      </c>
      <c r="O380" s="135" t="str">
        <f>IFERROR(INDEX('Docketed Comments'!L:L,MATCH(A380,'Docketed Comments'!H:H,0)),"")</f>
        <v>Yes</v>
      </c>
      <c r="P380" s="136">
        <f t="shared" si="10"/>
        <v>0</v>
      </c>
      <c r="Q380" s="140" t="s">
        <v>5809</v>
      </c>
      <c r="R380" s="144">
        <v>0</v>
      </c>
    </row>
    <row r="381" spans="1:18" ht="21.95" customHeight="1">
      <c r="A381" s="71" t="s">
        <v>665</v>
      </c>
      <c r="B381" s="69"/>
      <c r="C381" s="70"/>
      <c r="D381" s="69"/>
      <c r="E381" s="69"/>
      <c r="F381" s="65"/>
      <c r="G381" s="65" t="s">
        <v>5811</v>
      </c>
      <c r="H381" s="65" t="str">
        <f>IFERROR(INDEX('Docketed Comments'!C:C,MATCH(A381,'Docketed Comments'!H:H,0))&amp;", "&amp;INDEX('Docketed Comments'!B:B,MATCH(A381,'Docketed Comments'!H:H,0)),"")</f>
        <v>Varun, Deep</v>
      </c>
      <c r="I381" s="65" t="str">
        <f>IFERROR(INDEX('Docketed Comments'!D:D,MATCH(A381,'Docketed Comments'!H:H,0)),"")</f>
        <v>Peoria</v>
      </c>
      <c r="J381" s="65" t="str">
        <f>IFERROR(INDEX('Docketed Comments'!I:I,MATCH(A381,'Docketed Comments'!H:H,0)),"")</f>
        <v>R-XS</v>
      </c>
      <c r="K381" s="65" t="str">
        <f t="shared" si="11"/>
        <v>✅ On Best Plan</v>
      </c>
      <c r="L381" s="65" t="str">
        <f>IFERROR(INDEX('Docketed Comments'!F:F,MATCH(A381,'Docketed Comments'!H:H,0)),"")</f>
        <v>Opposed</v>
      </c>
      <c r="M381" s="137" t="str">
        <f>IFERROR(HYPERLINK(INDEX('Docketed Comments'!G:G,MATCH(A381,'Docketed Comments'!H:H,0)),"📄 View Docket"),"")</f>
        <v>📄 View Docket</v>
      </c>
      <c r="N381" s="135" t="str">
        <f>IFERROR(INDEX('Docketed Comments'!N:N,MATCH(A381,'Docketed Comments'!H:H,0)),"")</f>
        <v>No</v>
      </c>
      <c r="O381" s="135" t="str">
        <f>IFERROR(INDEX('Docketed Comments'!L:L,MATCH(A381,'Docketed Comments'!H:H,0)),"")</f>
        <v>Yes</v>
      </c>
      <c r="P381" s="136">
        <f t="shared" si="10"/>
        <v>0</v>
      </c>
      <c r="Q381" s="140"/>
      <c r="R381" s="144">
        <v>1</v>
      </c>
    </row>
    <row r="382" spans="1:18" ht="21.95" customHeight="1">
      <c r="A382" s="71" t="s">
        <v>669</v>
      </c>
      <c r="B382" s="69" t="s">
        <v>111</v>
      </c>
      <c r="C382" s="70">
        <v>46074</v>
      </c>
      <c r="D382" s="69" t="s">
        <v>4865</v>
      </c>
      <c r="E382" s="69" t="s">
        <v>4898</v>
      </c>
      <c r="F382" s="65"/>
      <c r="G382" s="65"/>
      <c r="H382" s="65" t="str">
        <f>IFERROR(INDEX('Docketed Comments'!C:C,MATCH(A382,'Docketed Comments'!H:H,0))&amp;", "&amp;INDEX('Docketed Comments'!B:B,MATCH(A382,'Docketed Comments'!H:H,0)),"")</f>
        <v>Marie, Skidmore</v>
      </c>
      <c r="I382" s="65" t="str">
        <f>IFERROR(INDEX('Docketed Comments'!D:D,MATCH(A382,'Docketed Comments'!H:H,0)),"")</f>
        <v>Avondale</v>
      </c>
      <c r="J382" s="65" t="str">
        <f>IFERROR(INDEX('Docketed Comments'!I:I,MATCH(A382,'Docketed Comments'!H:H,0)),"")</f>
        <v>R3-47</v>
      </c>
      <c r="K382" s="65" t="str">
        <f t="shared" si="11"/>
        <v>✅ On Best Plan</v>
      </c>
      <c r="L382" s="65" t="str">
        <f>IFERROR(INDEX('Docketed Comments'!F:F,MATCH(A382,'Docketed Comments'!H:H,0)),"")</f>
        <v>Not affordable</v>
      </c>
      <c r="M382" s="137" t="str">
        <f>IFERROR(HYPERLINK(INDEX('Docketed Comments'!G:G,MATCH(A382,'Docketed Comments'!H:H,0)),"📄 View Docket"),"")</f>
        <v>📄 View Docket</v>
      </c>
      <c r="N382" s="135" t="str">
        <f>IFERROR(INDEX('Docketed Comments'!N:N,MATCH(A382,'Docketed Comments'!H:H,0)),"")</f>
        <v>No</v>
      </c>
      <c r="O382" s="135" t="str">
        <f>IFERROR(INDEX('Docketed Comments'!L:L,MATCH(A382,'Docketed Comments'!H:H,0)),"")</f>
        <v>Yes</v>
      </c>
      <c r="P382" s="136">
        <f t="shared" si="10"/>
        <v>0</v>
      </c>
      <c r="Q382" s="140" t="s">
        <v>5809</v>
      </c>
      <c r="R382" s="144">
        <v>0</v>
      </c>
    </row>
    <row r="383" spans="1:18" ht="21.95" customHeight="1">
      <c r="A383" s="71" t="s">
        <v>672</v>
      </c>
      <c r="B383" s="69"/>
      <c r="C383" s="70"/>
      <c r="D383" s="69"/>
      <c r="E383" s="69"/>
      <c r="F383" s="65"/>
      <c r="G383" s="65" t="s">
        <v>5811</v>
      </c>
      <c r="H383" s="65" t="str">
        <f>IFERROR(INDEX('Docketed Comments'!C:C,MATCH(A383,'Docketed Comments'!H:H,0))&amp;", "&amp;INDEX('Docketed Comments'!B:B,MATCH(A383,'Docketed Comments'!H:H,0)),"")</f>
        <v>Casey, Floyd</v>
      </c>
      <c r="I383" s="65" t="str">
        <f>IFERROR(INDEX('Docketed Comments'!D:D,MATCH(A383,'Docketed Comments'!H:H,0)),"")</f>
        <v>Peoria</v>
      </c>
      <c r="J383" s="65" t="str">
        <f>IFERROR(INDEX('Docketed Comments'!I:I,MATCH(A383,'Docketed Comments'!H:H,0)),"")</f>
        <v>R3-47</v>
      </c>
      <c r="K383" s="65" t="str">
        <f t="shared" si="11"/>
        <v>✅ On Best Plan</v>
      </c>
      <c r="L383" s="65" t="str">
        <f>IFERROR(INDEX('Docketed Comments'!F:F,MATCH(A383,'Docketed Comments'!H:H,0)),"")</f>
        <v>Form letter</v>
      </c>
      <c r="M383" s="137" t="str">
        <f>IFERROR(HYPERLINK(INDEX('Docketed Comments'!G:G,MATCH(A383,'Docketed Comments'!H:H,0)),"📄 View Docket"),"")</f>
        <v>📄 View Docket</v>
      </c>
      <c r="N383" s="135" t="str">
        <f>IFERROR(INDEX('Docketed Comments'!N:N,MATCH(A383,'Docketed Comments'!H:H,0)),"")</f>
        <v>No</v>
      </c>
      <c r="O383" s="135" t="str">
        <f>IFERROR(INDEX('Docketed Comments'!L:L,MATCH(A383,'Docketed Comments'!H:H,0)),"")</f>
        <v>Yes</v>
      </c>
      <c r="P383" s="136">
        <f t="shared" si="10"/>
        <v>0</v>
      </c>
      <c r="Q383" s="140"/>
      <c r="R383" s="144">
        <v>1</v>
      </c>
    </row>
    <row r="384" spans="1:18" ht="21.95" customHeight="1">
      <c r="A384" s="71" t="s">
        <v>691</v>
      </c>
      <c r="B384" s="69"/>
      <c r="C384" s="70"/>
      <c r="D384" s="69"/>
      <c r="E384" s="69"/>
      <c r="F384" s="65"/>
      <c r="G384" s="65" t="s">
        <v>5811</v>
      </c>
      <c r="H384" s="65" t="str">
        <f>IFERROR(INDEX('Docketed Comments'!C:C,MATCH(A384,'Docketed Comments'!H:H,0))&amp;", "&amp;INDEX('Docketed Comments'!B:B,MATCH(A384,'Docketed Comments'!H:H,0)),"")</f>
        <v>Gary, Vogt</v>
      </c>
      <c r="I384" s="65" t="str">
        <f>IFERROR(INDEX('Docketed Comments'!D:D,MATCH(A384,'Docketed Comments'!H:H,0)),"")</f>
        <v>Sun City West</v>
      </c>
      <c r="J384" s="65" t="str">
        <f>IFERROR(INDEX('Docketed Comments'!I:I,MATCH(A384,'Docketed Comments'!H:H,0)),"")</f>
        <v>R-XS</v>
      </c>
      <c r="K384" s="65" t="str">
        <f t="shared" si="11"/>
        <v>✅ On Best Plan</v>
      </c>
      <c r="L384" s="65" t="str">
        <f>IFERROR(INDEX('Docketed Comments'!F:F,MATCH(A384,'Docketed Comments'!H:H,0)),"")</f>
        <v>APS profits high/fixed income, will strain budget</v>
      </c>
      <c r="M384" s="137" t="str">
        <f>IFERROR(HYPERLINK(INDEX('Docketed Comments'!G:G,MATCH(A384,'Docketed Comments'!H:H,0)),"📄 View Docket"),"")</f>
        <v>📄 View Docket</v>
      </c>
      <c r="N384" s="135" t="str">
        <f>IFERROR(INDEX('Docketed Comments'!N:N,MATCH(A384,'Docketed Comments'!H:H,0)),"")</f>
        <v>No</v>
      </c>
      <c r="O384" s="135" t="str">
        <f>IFERROR(INDEX('Docketed Comments'!L:L,MATCH(A384,'Docketed Comments'!H:H,0)),"")</f>
        <v>Yes</v>
      </c>
      <c r="P384" s="136">
        <f t="shared" si="10"/>
        <v>0</v>
      </c>
      <c r="Q384" s="140"/>
      <c r="R384" s="144">
        <v>1</v>
      </c>
    </row>
    <row r="385" spans="1:18" ht="21.95" customHeight="1">
      <c r="A385" s="71" t="s">
        <v>700</v>
      </c>
      <c r="B385" s="69" t="s">
        <v>111</v>
      </c>
      <c r="C385" s="70">
        <v>46074</v>
      </c>
      <c r="D385" s="69" t="s">
        <v>4888</v>
      </c>
      <c r="E385" s="69"/>
      <c r="F385" s="65"/>
      <c r="G385" s="65"/>
      <c r="H385" s="65" t="str">
        <f>IFERROR(INDEX('Docketed Comments'!C:C,MATCH(A385,'Docketed Comments'!H:H,0))&amp;", "&amp;INDEX('Docketed Comments'!B:B,MATCH(A385,'Docketed Comments'!H:H,0)),"")</f>
        <v>Traci, Heck</v>
      </c>
      <c r="I385" s="65" t="str">
        <f>IFERROR(INDEX('Docketed Comments'!D:D,MATCH(A385,'Docketed Comments'!H:H,0)),"")</f>
        <v>Surprise</v>
      </c>
      <c r="J385" s="65" t="str">
        <f>IFERROR(INDEX('Docketed Comments'!I:I,MATCH(A385,'Docketed Comments'!H:H,0)),"")</f>
        <v>R3-47</v>
      </c>
      <c r="K385" s="65" t="str">
        <f t="shared" si="11"/>
        <v>✅ On Best Plan</v>
      </c>
      <c r="L385" s="65" t="str">
        <f>IFERROR(INDEX('Docketed Comments'!F:F,MATCH(A385,'Docketed Comments'!H:H,0)),"")</f>
        <v>Paying $100s for house at 80 degrees</v>
      </c>
      <c r="M385" s="137" t="str">
        <f>IFERROR(HYPERLINK(INDEX('Docketed Comments'!G:G,MATCH(A385,'Docketed Comments'!H:H,0)),"📄 View Docket"),"")</f>
        <v>📄 View Docket</v>
      </c>
      <c r="N385" s="135" t="str">
        <f>IFERROR(INDEX('Docketed Comments'!N:N,MATCH(A385,'Docketed Comments'!H:H,0)),"")</f>
        <v>No</v>
      </c>
      <c r="O385" s="135" t="str">
        <f>IFERROR(INDEX('Docketed Comments'!L:L,MATCH(A385,'Docketed Comments'!H:H,0)),"")</f>
        <v>Yes</v>
      </c>
      <c r="P385" s="136">
        <f t="shared" si="10"/>
        <v>0</v>
      </c>
      <c r="Q385" s="140" t="s">
        <v>5809</v>
      </c>
      <c r="R385" s="144">
        <v>0</v>
      </c>
    </row>
    <row r="386" spans="1:18" ht="21.95" customHeight="1">
      <c r="A386" s="71" t="s">
        <v>706</v>
      </c>
      <c r="B386" s="69"/>
      <c r="C386" s="70"/>
      <c r="D386" s="69"/>
      <c r="E386" s="69"/>
      <c r="F386" s="65"/>
      <c r="G386" s="65" t="s">
        <v>5811</v>
      </c>
      <c r="H386" s="65" t="str">
        <f>IFERROR(INDEX('Docketed Comments'!C:C,MATCH(A386,'Docketed Comments'!H:H,0))&amp;", "&amp;INDEX('Docketed Comments'!B:B,MATCH(A386,'Docketed Comments'!H:H,0)),"")</f>
        <v>Madhavan, Dhamotharan</v>
      </c>
      <c r="I386" s="65" t="str">
        <f>IFERROR(INDEX('Docketed Comments'!D:D,MATCH(A386,'Docketed Comments'!H:H,0)),"")</f>
        <v>Phoenix</v>
      </c>
      <c r="J386" s="65" t="str">
        <f>IFERROR(INDEX('Docketed Comments'!I:I,MATCH(A386,'Docketed Comments'!H:H,0)),"")</f>
        <v>R3-47</v>
      </c>
      <c r="K386" s="65" t="str">
        <f t="shared" si="11"/>
        <v>✅ On Best Plan</v>
      </c>
      <c r="L386" s="65" t="str">
        <f>IFERROR(INDEX('Docketed Comments'!F:F,MATCH(A386,'Docketed Comments'!H:H,0)),"")</f>
        <v>Form letter</v>
      </c>
      <c r="M386" s="137" t="str">
        <f>IFERROR(HYPERLINK(INDEX('Docketed Comments'!G:G,MATCH(A386,'Docketed Comments'!H:H,0)),"📄 View Docket"),"")</f>
        <v>📄 View Docket</v>
      </c>
      <c r="N386" s="135" t="str">
        <f>IFERROR(INDEX('Docketed Comments'!N:N,MATCH(A386,'Docketed Comments'!H:H,0)),"")</f>
        <v>No</v>
      </c>
      <c r="O386" s="135" t="str">
        <f>IFERROR(INDEX('Docketed Comments'!L:L,MATCH(A386,'Docketed Comments'!H:H,0)),"")</f>
        <v>Yes</v>
      </c>
      <c r="P386" s="136">
        <f t="shared" ref="P386:P449" si="12">IFERROR(IF(ISNUMBER(SEARCH("$",O386)),VALUE(SUBSTITUTE(SUBSTITUTE(MID(O386,FIND("$",O386)+1,FIND(")",O386)-FIND("$",O386)-1),",","")," ","")),VALUE(SUBSTITUTE(SUBSTITUTE(MID(O386,FIND("(",O386)+1,FIND(")",O386)-FIND("(",O386)-1),",","")," ",""))),0)</f>
        <v>0</v>
      </c>
      <c r="Q386" s="140"/>
      <c r="R386" s="144">
        <v>1</v>
      </c>
    </row>
    <row r="387" spans="1:18" ht="21.95" customHeight="1">
      <c r="A387" s="71" t="s">
        <v>714</v>
      </c>
      <c r="B387" s="69" t="s">
        <v>111</v>
      </c>
      <c r="C387" s="70">
        <v>46074</v>
      </c>
      <c r="D387" s="69" t="s">
        <v>4865</v>
      </c>
      <c r="E387" s="69" t="s">
        <v>4908</v>
      </c>
      <c r="F387" s="65"/>
      <c r="G387" s="65"/>
      <c r="H387" s="65" t="str">
        <f>IFERROR(INDEX('Docketed Comments'!C:C,MATCH(A387,'Docketed Comments'!H:H,0))&amp;", "&amp;INDEX('Docketed Comments'!B:B,MATCH(A387,'Docketed Comments'!H:H,0)),"")</f>
        <v>Ty , Johnson</v>
      </c>
      <c r="I387" s="65" t="str">
        <f>IFERROR(INDEX('Docketed Comments'!D:D,MATCH(A387,'Docketed Comments'!H:H,0)),"")</f>
        <v>Chandler</v>
      </c>
      <c r="J387" s="65" t="str">
        <f>IFERROR(INDEX('Docketed Comments'!I:I,MATCH(A387,'Docketed Comments'!H:H,0)),"")</f>
        <v>R3-47</v>
      </c>
      <c r="K387" s="65" t="str">
        <f t="shared" ref="K387:K450" si="13">IFERROR(IF(OR(LEFT(O387,2)="No",LEFT(O387,3)="Not"),"❌ Not on Best Plan",IF(OR(O387="Yes",O387="Y",O387="Yes "),"✅ On Best Plan","⚠ "&amp;O387)),"")</f>
        <v>✅ On Best Plan</v>
      </c>
      <c r="L387" s="65" t="str">
        <f>IFERROR(INDEX('Docketed Comments'!F:F,MATCH(A387,'Docketed Comments'!H:H,0)),"")</f>
        <v>Form letter</v>
      </c>
      <c r="M387" s="137" t="str">
        <f>IFERROR(HYPERLINK(INDEX('Docketed Comments'!G:G,MATCH(A387,'Docketed Comments'!H:H,0)),"📄 View Docket"),"")</f>
        <v>📄 View Docket</v>
      </c>
      <c r="N387" s="135" t="str">
        <f>IFERROR(INDEX('Docketed Comments'!N:N,MATCH(A387,'Docketed Comments'!H:H,0)),"")</f>
        <v>No</v>
      </c>
      <c r="O387" s="135" t="str">
        <f>IFERROR(INDEX('Docketed Comments'!L:L,MATCH(A387,'Docketed Comments'!H:H,0)),"")</f>
        <v>Yes</v>
      </c>
      <c r="P387" s="136">
        <f t="shared" si="12"/>
        <v>0</v>
      </c>
      <c r="Q387" s="140" t="s">
        <v>5809</v>
      </c>
      <c r="R387" s="144">
        <v>0</v>
      </c>
    </row>
    <row r="388" spans="1:18" ht="21.95" customHeight="1">
      <c r="A388" s="71" t="s">
        <v>717</v>
      </c>
      <c r="B388" s="69"/>
      <c r="C388" s="70"/>
      <c r="D388" s="69"/>
      <c r="E388" s="69"/>
      <c r="F388" s="65"/>
      <c r="G388" s="65" t="s">
        <v>5811</v>
      </c>
      <c r="H388" s="65" t="str">
        <f>IFERROR(INDEX('Docketed Comments'!C:C,MATCH(A388,'Docketed Comments'!H:H,0))&amp;", "&amp;INDEX('Docketed Comments'!B:B,MATCH(A388,'Docketed Comments'!H:H,0)),"")</f>
        <v>Wayne, Willett</v>
      </c>
      <c r="I388" s="65" t="str">
        <f>IFERROR(INDEX('Docketed Comments'!D:D,MATCH(A388,'Docketed Comments'!H:H,0)),"")</f>
        <v>Phoenix</v>
      </c>
      <c r="J388" s="65" t="str">
        <f>IFERROR(INDEX('Docketed Comments'!I:I,MATCH(A388,'Docketed Comments'!H:H,0)),"")</f>
        <v>R-XS</v>
      </c>
      <c r="K388" s="65" t="str">
        <f t="shared" si="13"/>
        <v>✅ On Best Plan</v>
      </c>
      <c r="L388" s="65" t="str">
        <f>IFERROR(INDEX('Docketed Comments'!F:F,MATCH(A388,'Docketed Comments'!H:H,0)),"")</f>
        <v>Form letter</v>
      </c>
      <c r="M388" s="137" t="str">
        <f>IFERROR(HYPERLINK(INDEX('Docketed Comments'!G:G,MATCH(A388,'Docketed Comments'!H:H,0)),"📄 View Docket"),"")</f>
        <v>📄 View Docket</v>
      </c>
      <c r="N388" s="135" t="str">
        <f>IFERROR(INDEX('Docketed Comments'!N:N,MATCH(A388,'Docketed Comments'!H:H,0)),"")</f>
        <v>No</v>
      </c>
      <c r="O388" s="135" t="str">
        <f>IFERROR(INDEX('Docketed Comments'!L:L,MATCH(A388,'Docketed Comments'!H:H,0)),"")</f>
        <v>Yes</v>
      </c>
      <c r="P388" s="136">
        <f t="shared" si="12"/>
        <v>0</v>
      </c>
      <c r="Q388" s="140"/>
      <c r="R388" s="144">
        <v>1</v>
      </c>
    </row>
    <row r="389" spans="1:18" ht="21.95" customHeight="1">
      <c r="A389" s="71" t="s">
        <v>722</v>
      </c>
      <c r="B389" s="69" t="s">
        <v>111</v>
      </c>
      <c r="C389" s="70">
        <v>46074</v>
      </c>
      <c r="D389" s="69" t="s">
        <v>4865</v>
      </c>
      <c r="E389" s="69"/>
      <c r="F389" s="65" t="s">
        <v>4890</v>
      </c>
      <c r="G389" s="65"/>
      <c r="H389" s="65" t="str">
        <f>IFERROR(INDEX('Docketed Comments'!C:C,MATCH(A389,'Docketed Comments'!H:H,0))&amp;", "&amp;INDEX('Docketed Comments'!B:B,MATCH(A389,'Docketed Comments'!H:H,0)),"")</f>
        <v>Alan, Schwartz</v>
      </c>
      <c r="I389" s="65" t="str">
        <f>IFERROR(INDEX('Docketed Comments'!D:D,MATCH(A389,'Docketed Comments'!H:H,0)),"")</f>
        <v>Surprise</v>
      </c>
      <c r="J389" s="65" t="str">
        <f>IFERROR(INDEX('Docketed Comments'!I:I,MATCH(A389,'Docketed Comments'!H:H,0)),"")</f>
        <v>RCPw/RTOUE47</v>
      </c>
      <c r="K389" s="65" t="str">
        <f t="shared" si="13"/>
        <v>✅ On Best Plan</v>
      </c>
      <c r="L389" s="65" t="str">
        <f>IFERROR(INDEX('Docketed Comments'!F:F,MATCH(A389,'Docketed Comments'!H:H,0)),"")</f>
        <v>Doesn't deserve another rate increase</v>
      </c>
      <c r="M389" s="137" t="str">
        <f>IFERROR(HYPERLINK(INDEX('Docketed Comments'!G:G,MATCH(A389,'Docketed Comments'!H:H,0)),"📄 View Docket"),"")</f>
        <v>📄 View Docket</v>
      </c>
      <c r="N389" s="135" t="str">
        <f>IFERROR(INDEX('Docketed Comments'!N:N,MATCH(A389,'Docketed Comments'!H:H,0)),"")</f>
        <v>No</v>
      </c>
      <c r="O389" s="135" t="str">
        <f>IFERROR(INDEX('Docketed Comments'!L:L,MATCH(A389,'Docketed Comments'!H:H,0)),"")</f>
        <v>Yes</v>
      </c>
      <c r="P389" s="136">
        <f t="shared" si="12"/>
        <v>0</v>
      </c>
      <c r="Q389" s="140" t="s">
        <v>5809</v>
      </c>
      <c r="R389" s="144">
        <v>0</v>
      </c>
    </row>
    <row r="390" spans="1:18" ht="21.95" customHeight="1">
      <c r="A390" s="71" t="s">
        <v>726</v>
      </c>
      <c r="B390" s="69"/>
      <c r="C390" s="70"/>
      <c r="D390" s="69"/>
      <c r="E390" s="69"/>
      <c r="F390" s="65"/>
      <c r="G390" s="65" t="s">
        <v>5811</v>
      </c>
      <c r="H390" s="65" t="str">
        <f>IFERROR(INDEX('Docketed Comments'!C:C,MATCH(A390,'Docketed Comments'!H:H,0))&amp;", "&amp;INDEX('Docketed Comments'!B:B,MATCH(A390,'Docketed Comments'!H:H,0)),"")</f>
        <v>Stacy, Nance</v>
      </c>
      <c r="I390" s="65" t="str">
        <f>IFERROR(INDEX('Docketed Comments'!D:D,MATCH(A390,'Docketed Comments'!H:H,0)),"")</f>
        <v>Goodyear</v>
      </c>
      <c r="J390" s="65" t="str">
        <f>IFERROR(INDEX('Docketed Comments'!I:I,MATCH(A390,'Docketed Comments'!H:H,0)),"")</f>
        <v>R-XS</v>
      </c>
      <c r="K390" s="65" t="str">
        <f t="shared" si="13"/>
        <v>✅ On Best Plan</v>
      </c>
      <c r="L390" s="65" t="str">
        <f>IFERROR(INDEX('Docketed Comments'!F:F,MATCH(A390,'Docketed Comments'!H:H,0)),"")</f>
        <v>No more increases, already paycheck to paycheck</v>
      </c>
      <c r="M390" s="137" t="str">
        <f>IFERROR(HYPERLINK(INDEX('Docketed Comments'!G:G,MATCH(A390,'Docketed Comments'!H:H,0)),"📄 View Docket"),"")</f>
        <v>📄 View Docket</v>
      </c>
      <c r="N390" s="135" t="str">
        <f>IFERROR(INDEX('Docketed Comments'!N:N,MATCH(A390,'Docketed Comments'!H:H,0)),"")</f>
        <v>No</v>
      </c>
      <c r="O390" s="135" t="str">
        <f>IFERROR(INDEX('Docketed Comments'!L:L,MATCH(A390,'Docketed Comments'!H:H,0)),"")</f>
        <v>Yes</v>
      </c>
      <c r="P390" s="136">
        <f t="shared" si="12"/>
        <v>0</v>
      </c>
      <c r="Q390" s="140"/>
      <c r="R390" s="144">
        <v>1</v>
      </c>
    </row>
    <row r="391" spans="1:18" ht="21.95" customHeight="1">
      <c r="A391" s="71" t="s">
        <v>730</v>
      </c>
      <c r="B391" s="69" t="s">
        <v>111</v>
      </c>
      <c r="C391" s="70">
        <v>46074</v>
      </c>
      <c r="D391" s="69" t="s">
        <v>4888</v>
      </c>
      <c r="E391" s="69"/>
      <c r="F391" s="65"/>
      <c r="G391" s="65"/>
      <c r="H391" s="65" t="str">
        <f>IFERROR(INDEX('Docketed Comments'!C:C,MATCH(A391,'Docketed Comments'!H:H,0))&amp;", "&amp;INDEX('Docketed Comments'!B:B,MATCH(A391,'Docketed Comments'!H:H,0)),"")</f>
        <v>Austin, Beatty</v>
      </c>
      <c r="I391" s="65" t="str">
        <f>IFERROR(INDEX('Docketed Comments'!D:D,MATCH(A391,'Docketed Comments'!H:H,0)),"")</f>
        <v>Cottonwood</v>
      </c>
      <c r="J391" s="65" t="str">
        <f>IFERROR(INDEX('Docketed Comments'!I:I,MATCH(A391,'Docketed Comments'!H:H,0)),"")</f>
        <v>R-2</v>
      </c>
      <c r="K391" s="65" t="str">
        <f t="shared" si="13"/>
        <v>⚠ Frozen Rate</v>
      </c>
      <c r="L391" s="65" t="str">
        <f>IFERROR(INDEX('Docketed Comments'!F:F,MATCH(A391,'Docketed Comments'!H:H,0)),"")</f>
        <v>Unacceptable financial burden</v>
      </c>
      <c r="M391" s="137" t="str">
        <f>IFERROR(HYPERLINK(INDEX('Docketed Comments'!G:G,MATCH(A391,'Docketed Comments'!H:H,0)),"📄 View Docket"),"")</f>
        <v>📄 View Docket</v>
      </c>
      <c r="N391" s="135" t="str">
        <f>IFERROR(INDEX('Docketed Comments'!N:N,MATCH(A391,'Docketed Comments'!H:H,0)),"")</f>
        <v>No</v>
      </c>
      <c r="O391" s="135" t="str">
        <f>IFERROR(INDEX('Docketed Comments'!L:L,MATCH(A391,'Docketed Comments'!H:H,0)),"")</f>
        <v>Frozen Rate</v>
      </c>
      <c r="P391" s="136">
        <f t="shared" si="12"/>
        <v>0</v>
      </c>
      <c r="Q391" s="140" t="s">
        <v>5809</v>
      </c>
      <c r="R391" s="144">
        <v>0</v>
      </c>
    </row>
    <row r="392" spans="1:18" ht="21.95" customHeight="1">
      <c r="A392" s="71" t="s">
        <v>733</v>
      </c>
      <c r="B392" s="69"/>
      <c r="C392" s="70"/>
      <c r="D392" s="69"/>
      <c r="E392" s="69"/>
      <c r="F392" s="65"/>
      <c r="G392" s="65" t="s">
        <v>5811</v>
      </c>
      <c r="H392" s="65" t="str">
        <f>IFERROR(INDEX('Docketed Comments'!C:C,MATCH(A392,'Docketed Comments'!H:H,0))&amp;", "&amp;INDEX('Docketed Comments'!B:B,MATCH(A392,'Docketed Comments'!H:H,0)),"")</f>
        <v>Robert, Embrey</v>
      </c>
      <c r="I392" s="65" t="str">
        <f>IFERROR(INDEX('Docketed Comments'!D:D,MATCH(A392,'Docketed Comments'!H:H,0)),"")</f>
        <v>Goodyear</v>
      </c>
      <c r="J392" s="65" t="str">
        <f>IFERROR(INDEX('Docketed Comments'!I:I,MATCH(A392,'Docketed Comments'!H:H,0)),"")</f>
        <v>R-2</v>
      </c>
      <c r="K392" s="65" t="str">
        <f t="shared" si="13"/>
        <v>⚠ Frozen Rate</v>
      </c>
      <c r="L392" s="65" t="str">
        <f>IFERROR(INDEX('Docketed Comments'!F:F,MATCH(A392,'Docketed Comments'!H:H,0)),"")</f>
        <v xml:space="preserve">Fixed income </v>
      </c>
      <c r="M392" s="137" t="str">
        <f>IFERROR(HYPERLINK(INDEX('Docketed Comments'!G:G,MATCH(A392,'Docketed Comments'!H:H,0)),"📄 View Docket"),"")</f>
        <v>📄 View Docket</v>
      </c>
      <c r="N392" s="135" t="str">
        <f>IFERROR(INDEX('Docketed Comments'!N:N,MATCH(A392,'Docketed Comments'!H:H,0)),"")</f>
        <v>No</v>
      </c>
      <c r="O392" s="135" t="str">
        <f>IFERROR(INDEX('Docketed Comments'!L:L,MATCH(A392,'Docketed Comments'!H:H,0)),"")</f>
        <v>Frozen Rate</v>
      </c>
      <c r="P392" s="136">
        <f t="shared" si="12"/>
        <v>0</v>
      </c>
      <c r="Q392" s="140"/>
      <c r="R392" s="144">
        <v>1</v>
      </c>
    </row>
    <row r="393" spans="1:18" ht="21.95" customHeight="1">
      <c r="A393" s="71" t="s">
        <v>736</v>
      </c>
      <c r="B393" s="69" t="s">
        <v>111</v>
      </c>
      <c r="C393" s="70">
        <v>46074</v>
      </c>
      <c r="D393" s="69" t="s">
        <v>4888</v>
      </c>
      <c r="E393" s="69"/>
      <c r="F393" s="65"/>
      <c r="G393" s="65"/>
      <c r="H393" s="65" t="str">
        <f>IFERROR(INDEX('Docketed Comments'!C:C,MATCH(A393,'Docketed Comments'!H:H,0))&amp;", "&amp;INDEX('Docketed Comments'!B:B,MATCH(A393,'Docketed Comments'!H:H,0)),"")</f>
        <v>Abraham, Oakley</v>
      </c>
      <c r="I393" s="65" t="str">
        <f>IFERROR(INDEX('Docketed Comments'!D:D,MATCH(A393,'Docketed Comments'!H:H,0)),"")</f>
        <v>Phoenix</v>
      </c>
      <c r="J393" s="65" t="str">
        <f>IFERROR(INDEX('Docketed Comments'!I:I,MATCH(A393,'Docketed Comments'!H:H,0)),"")</f>
        <v>R3-47</v>
      </c>
      <c r="K393" s="65" t="str">
        <f t="shared" si="13"/>
        <v>✅ On Best Plan</v>
      </c>
      <c r="L393" s="65" t="str">
        <f>IFERROR(INDEX('Docketed Comments'!F:F,MATCH(A393,'Docketed Comments'!H:H,0)),"")</f>
        <v>Form letter</v>
      </c>
      <c r="M393" s="137" t="str">
        <f>IFERROR(HYPERLINK(INDEX('Docketed Comments'!G:G,MATCH(A393,'Docketed Comments'!H:H,0)),"📄 View Docket"),"")</f>
        <v>📄 View Docket</v>
      </c>
      <c r="N393" s="135" t="str">
        <f>IFERROR(INDEX('Docketed Comments'!N:N,MATCH(A393,'Docketed Comments'!H:H,0)),"")</f>
        <v>No</v>
      </c>
      <c r="O393" s="135" t="str">
        <f>IFERROR(INDEX('Docketed Comments'!L:L,MATCH(A393,'Docketed Comments'!H:H,0)),"")</f>
        <v>Yes</v>
      </c>
      <c r="P393" s="136">
        <f t="shared" si="12"/>
        <v>0</v>
      </c>
      <c r="Q393" s="140" t="s">
        <v>5809</v>
      </c>
      <c r="R393" s="144">
        <v>0</v>
      </c>
    </row>
    <row r="394" spans="1:18" ht="21.95" customHeight="1">
      <c r="A394" s="71" t="s">
        <v>740</v>
      </c>
      <c r="B394" s="69"/>
      <c r="C394" s="70"/>
      <c r="D394" s="69"/>
      <c r="E394" s="69"/>
      <c r="F394" s="65"/>
      <c r="G394" s="65" t="s">
        <v>5811</v>
      </c>
      <c r="H394" s="65" t="str">
        <f>IFERROR(INDEX('Docketed Comments'!C:C,MATCH(A394,'Docketed Comments'!H:H,0))&amp;", "&amp;INDEX('Docketed Comments'!B:B,MATCH(A394,'Docketed Comments'!H:H,0)),"")</f>
        <v>Scott, Grow</v>
      </c>
      <c r="I394" s="65" t="str">
        <f>IFERROR(INDEX('Docketed Comments'!D:D,MATCH(A394,'Docketed Comments'!H:H,0)),"")</f>
        <v>Peoria</v>
      </c>
      <c r="J394" s="65" t="str">
        <f>IFERROR(INDEX('Docketed Comments'!I:I,MATCH(A394,'Docketed Comments'!H:H,0)),"")</f>
        <v>R-BASIC</v>
      </c>
      <c r="K394" s="65" t="str">
        <f t="shared" si="13"/>
        <v>✅ On Best Plan</v>
      </c>
      <c r="L394" s="65" t="str">
        <f>IFERROR(INDEX('Docketed Comments'!F:F,MATCH(A394,'Docketed Comments'!H:H,0)),"")</f>
        <v>Bill has gone up every year</v>
      </c>
      <c r="M394" s="137" t="str">
        <f>IFERROR(HYPERLINK(INDEX('Docketed Comments'!G:G,MATCH(A394,'Docketed Comments'!H:H,0)),"📄 View Docket"),"")</f>
        <v>📄 View Docket</v>
      </c>
      <c r="N394" s="135" t="str">
        <f>IFERROR(INDEX('Docketed Comments'!N:N,MATCH(A394,'Docketed Comments'!H:H,0)),"")</f>
        <v>No</v>
      </c>
      <c r="O394" s="135" t="str">
        <f>IFERROR(INDEX('Docketed Comments'!L:L,MATCH(A394,'Docketed Comments'!H:H,0)),"")</f>
        <v>Yes</v>
      </c>
      <c r="P394" s="136">
        <f t="shared" si="12"/>
        <v>0</v>
      </c>
      <c r="Q394" s="140"/>
      <c r="R394" s="144">
        <v>1</v>
      </c>
    </row>
    <row r="395" spans="1:18" ht="21.95" customHeight="1">
      <c r="A395" s="71" t="s">
        <v>744</v>
      </c>
      <c r="B395" s="69" t="s">
        <v>111</v>
      </c>
      <c r="C395" s="70">
        <v>46074</v>
      </c>
      <c r="D395" s="69" t="s">
        <v>4888</v>
      </c>
      <c r="E395" s="69"/>
      <c r="F395" s="65"/>
      <c r="G395" s="65"/>
      <c r="H395" s="65" t="str">
        <f>IFERROR(INDEX('Docketed Comments'!C:C,MATCH(A395,'Docketed Comments'!H:H,0))&amp;", "&amp;INDEX('Docketed Comments'!B:B,MATCH(A395,'Docketed Comments'!H:H,0)),"")</f>
        <v>Austin, Satawa</v>
      </c>
      <c r="I395" s="65" t="str">
        <f>IFERROR(INDEX('Docketed Comments'!D:D,MATCH(A395,'Docketed Comments'!H:H,0)),"")</f>
        <v>Phoenix</v>
      </c>
      <c r="J395" s="65" t="str">
        <f>IFERROR(INDEX('Docketed Comments'!I:I,MATCH(A395,'Docketed Comments'!H:H,0)),"")</f>
        <v>R-XS</v>
      </c>
      <c r="K395" s="65" t="str">
        <f t="shared" si="13"/>
        <v>✅ On Best Plan</v>
      </c>
      <c r="L395" s="65" t="str">
        <f>IFERROR(INDEX('Docketed Comments'!F:F,MATCH(A395,'Docketed Comments'!H:H,0)),"")</f>
        <v>Form letter</v>
      </c>
      <c r="M395" s="137" t="str">
        <f>IFERROR(HYPERLINK(INDEX('Docketed Comments'!G:G,MATCH(A395,'Docketed Comments'!H:H,0)),"📄 View Docket"),"")</f>
        <v>📄 View Docket</v>
      </c>
      <c r="N395" s="135" t="str">
        <f>IFERROR(INDEX('Docketed Comments'!N:N,MATCH(A395,'Docketed Comments'!H:H,0)),"")</f>
        <v>No</v>
      </c>
      <c r="O395" s="135" t="str">
        <f>IFERROR(INDEX('Docketed Comments'!L:L,MATCH(A395,'Docketed Comments'!H:H,0)),"")</f>
        <v>Yes</v>
      </c>
      <c r="P395" s="136">
        <f t="shared" si="12"/>
        <v>0</v>
      </c>
      <c r="Q395" s="140" t="s">
        <v>5809</v>
      </c>
      <c r="R395" s="144">
        <v>0</v>
      </c>
    </row>
    <row r="396" spans="1:18" ht="21.95" customHeight="1">
      <c r="A396" s="71" t="s">
        <v>750</v>
      </c>
      <c r="B396" s="69"/>
      <c r="C396" s="70"/>
      <c r="D396" s="69"/>
      <c r="E396" s="69"/>
      <c r="F396" s="65"/>
      <c r="G396" s="65" t="s">
        <v>5811</v>
      </c>
      <c r="H396" s="65" t="str">
        <f>IFERROR(INDEX('Docketed Comments'!C:C,MATCH(A396,'Docketed Comments'!H:H,0))&amp;", "&amp;INDEX('Docketed Comments'!B:B,MATCH(A396,'Docketed Comments'!H:H,0)),"")</f>
        <v>Matthew, Messner</v>
      </c>
      <c r="I396" s="65" t="str">
        <f>IFERROR(INDEX('Docketed Comments'!D:D,MATCH(A396,'Docketed Comments'!H:H,0)),"")</f>
        <v>Glendale</v>
      </c>
      <c r="J396" s="65" t="str">
        <f>IFERROR(INDEX('Docketed Comments'!I:I,MATCH(A396,'Docketed Comments'!H:H,0)),"")</f>
        <v>R3-47</v>
      </c>
      <c r="K396" s="65" t="str">
        <f t="shared" si="13"/>
        <v>✅ On Best Plan</v>
      </c>
      <c r="L396" s="65" t="str">
        <f>IFERROR(INDEX('Docketed Comments'!F:F,MATCH(A396,'Docketed Comments'!H:H,0)),"")</f>
        <v>Data centers shouldn't be residents cross to bear</v>
      </c>
      <c r="M396" s="137" t="str">
        <f>IFERROR(HYPERLINK(INDEX('Docketed Comments'!G:G,MATCH(A396,'Docketed Comments'!H:H,0)),"📄 View Docket"),"")</f>
        <v>📄 View Docket</v>
      </c>
      <c r="N396" s="135" t="str">
        <f>IFERROR(INDEX('Docketed Comments'!N:N,MATCH(A396,'Docketed Comments'!H:H,0)),"")</f>
        <v>No</v>
      </c>
      <c r="O396" s="135" t="str">
        <f>IFERROR(INDEX('Docketed Comments'!L:L,MATCH(A396,'Docketed Comments'!H:H,0)),"")</f>
        <v>Yes</v>
      </c>
      <c r="P396" s="136">
        <f t="shared" si="12"/>
        <v>0</v>
      </c>
      <c r="Q396" s="140"/>
      <c r="R396" s="144">
        <v>1</v>
      </c>
    </row>
    <row r="397" spans="1:18" ht="21.95" customHeight="1">
      <c r="A397" s="71" t="s">
        <v>760</v>
      </c>
      <c r="B397" s="69"/>
      <c r="C397" s="70"/>
      <c r="D397" s="69"/>
      <c r="E397" s="69"/>
      <c r="F397" s="65"/>
      <c r="G397" s="65" t="s">
        <v>5811</v>
      </c>
      <c r="H397" s="65" t="str">
        <f>IFERROR(INDEX('Docketed Comments'!C:C,MATCH(A397,'Docketed Comments'!H:H,0))&amp;", "&amp;INDEX('Docketed Comments'!B:B,MATCH(A397,'Docketed Comments'!H:H,0)),"")</f>
        <v>Emily, Wasylenko</v>
      </c>
      <c r="I397" s="65" t="str">
        <f>IFERROR(INDEX('Docketed Comments'!D:D,MATCH(A397,'Docketed Comments'!H:H,0)),"")</f>
        <v>Scottsdale</v>
      </c>
      <c r="J397" s="65" t="str">
        <f>IFERROR(INDEX('Docketed Comments'!I:I,MATCH(A397,'Docketed Comments'!H:H,0)),"")</f>
        <v>RTOUE47</v>
      </c>
      <c r="K397" s="65" t="str">
        <f t="shared" si="13"/>
        <v>✅ On Best Plan</v>
      </c>
      <c r="L397" s="65" t="str">
        <f>IFERROR(INDEX('Docketed Comments'!F:F,MATCH(A397,'Docketed Comments'!H:H,0)),"")</f>
        <v>Form letter</v>
      </c>
      <c r="M397" s="137" t="str">
        <f>IFERROR(HYPERLINK(INDEX('Docketed Comments'!G:G,MATCH(A397,'Docketed Comments'!H:H,0)),"📄 View Docket"),"")</f>
        <v>📄 View Docket</v>
      </c>
      <c r="N397" s="135" t="str">
        <f>IFERROR(INDEX('Docketed Comments'!N:N,MATCH(A397,'Docketed Comments'!H:H,0)),"")</f>
        <v>No</v>
      </c>
      <c r="O397" s="135" t="str">
        <f>IFERROR(INDEX('Docketed Comments'!L:L,MATCH(A397,'Docketed Comments'!H:H,0)),"")</f>
        <v>Yes</v>
      </c>
      <c r="P397" s="136">
        <f t="shared" si="12"/>
        <v>0</v>
      </c>
      <c r="Q397" s="140"/>
      <c r="R397" s="144">
        <v>1</v>
      </c>
    </row>
    <row r="398" spans="1:18" ht="21.95" customHeight="1">
      <c r="A398" s="71" t="s">
        <v>764</v>
      </c>
      <c r="B398" s="69" t="s">
        <v>111</v>
      </c>
      <c r="C398" s="70">
        <v>46074</v>
      </c>
      <c r="D398" s="69" t="s">
        <v>4888</v>
      </c>
      <c r="E398" s="69"/>
      <c r="F398" s="65" t="s">
        <v>4890</v>
      </c>
      <c r="G398" s="65"/>
      <c r="H398" s="65" t="str">
        <f>IFERROR(INDEX('Docketed Comments'!C:C,MATCH(A398,'Docketed Comments'!H:H,0))&amp;", "&amp;INDEX('Docketed Comments'!B:B,MATCH(A398,'Docketed Comments'!H:H,0)),"")</f>
        <v>Lauren, Pernatozzi</v>
      </c>
      <c r="I398" s="65" t="str">
        <f>IFERROR(INDEX('Docketed Comments'!D:D,MATCH(A398,'Docketed Comments'!H:H,0)),"")</f>
        <v>Peoria</v>
      </c>
      <c r="J398" s="65" t="str">
        <f>IFERROR(INDEX('Docketed Comments'!I:I,MATCH(A398,'Docketed Comments'!H:H,0)),"")</f>
        <v>RTOUE47</v>
      </c>
      <c r="K398" s="65" t="str">
        <f t="shared" si="13"/>
        <v>✅ On Best Plan</v>
      </c>
      <c r="L398" s="65" t="str">
        <f>IFERROR(INDEX('Docketed Comments'!F:F,MATCH(A398,'Docketed Comments'!H:H,0)),"")</f>
        <v xml:space="preserve">Data centers </v>
      </c>
      <c r="M398" s="137" t="str">
        <f>IFERROR(HYPERLINK(INDEX('Docketed Comments'!G:G,MATCH(A398,'Docketed Comments'!H:H,0)),"📄 View Docket"),"")</f>
        <v>📄 View Docket</v>
      </c>
      <c r="N398" s="135" t="str">
        <f>IFERROR(INDEX('Docketed Comments'!N:N,MATCH(A398,'Docketed Comments'!H:H,0)),"")</f>
        <v>No</v>
      </c>
      <c r="O398" s="135" t="str">
        <f>IFERROR(INDEX('Docketed Comments'!L:L,MATCH(A398,'Docketed Comments'!H:H,0)),"")</f>
        <v>Yes</v>
      </c>
      <c r="P398" s="136">
        <f t="shared" si="12"/>
        <v>0</v>
      </c>
      <c r="Q398" s="140" t="s">
        <v>5809</v>
      </c>
      <c r="R398" s="144">
        <v>0</v>
      </c>
    </row>
    <row r="399" spans="1:18" ht="21.95" customHeight="1">
      <c r="A399" s="71" t="s">
        <v>766</v>
      </c>
      <c r="B399" s="69"/>
      <c r="C399" s="70"/>
      <c r="D399" s="69"/>
      <c r="E399" s="69"/>
      <c r="F399" s="65"/>
      <c r="G399" s="65" t="s">
        <v>5811</v>
      </c>
      <c r="H399" s="65" t="str">
        <f>IFERROR(INDEX('Docketed Comments'!C:C,MATCH(A399,'Docketed Comments'!H:H,0))&amp;", "&amp;INDEX('Docketed Comments'!B:B,MATCH(A399,'Docketed Comments'!H:H,0)),"")</f>
        <v>Jennifer, Hansen</v>
      </c>
      <c r="I399" s="65" t="str">
        <f>IFERROR(INDEX('Docketed Comments'!D:D,MATCH(A399,'Docketed Comments'!H:H,0)),"")</f>
        <v>El Mirage</v>
      </c>
      <c r="J399" s="65" t="str">
        <f>IFERROR(INDEX('Docketed Comments'!I:I,MATCH(A399,'Docketed Comments'!H:H,0)),"")</f>
        <v>R3-47</v>
      </c>
      <c r="K399" s="65" t="str">
        <f t="shared" si="13"/>
        <v>✅ On Best Plan</v>
      </c>
      <c r="L399" s="65" t="str">
        <f>IFERROR(INDEX('Docketed Comments'!F:F,MATCH(A399,'Docketed Comments'!H:H,0)),"")</f>
        <v>Form letter</v>
      </c>
      <c r="M399" s="137" t="str">
        <f>IFERROR(HYPERLINK(INDEX('Docketed Comments'!G:G,MATCH(A399,'Docketed Comments'!H:H,0)),"📄 View Docket"),"")</f>
        <v>📄 View Docket</v>
      </c>
      <c r="N399" s="135" t="str">
        <f>IFERROR(INDEX('Docketed Comments'!N:N,MATCH(A399,'Docketed Comments'!H:H,0)),"")</f>
        <v>No</v>
      </c>
      <c r="O399" s="135" t="str">
        <f>IFERROR(INDEX('Docketed Comments'!L:L,MATCH(A399,'Docketed Comments'!H:H,0)),"")</f>
        <v>Yes</v>
      </c>
      <c r="P399" s="136">
        <f t="shared" si="12"/>
        <v>0</v>
      </c>
      <c r="Q399" s="140"/>
      <c r="R399" s="144">
        <v>1</v>
      </c>
    </row>
    <row r="400" spans="1:18" ht="21.95" customHeight="1">
      <c r="A400" s="71" t="s">
        <v>778</v>
      </c>
      <c r="B400" s="69"/>
      <c r="C400" s="70"/>
      <c r="D400" s="69"/>
      <c r="E400" s="69"/>
      <c r="F400" s="65"/>
      <c r="G400" s="65" t="s">
        <v>5811</v>
      </c>
      <c r="H400" s="65" t="str">
        <f>IFERROR(INDEX('Docketed Comments'!C:C,MATCH(A400,'Docketed Comments'!H:H,0))&amp;", "&amp;INDEX('Docketed Comments'!B:B,MATCH(A400,'Docketed Comments'!H:H,0)),"")</f>
        <v>Samira, Salameh</v>
      </c>
      <c r="I400" s="65" t="str">
        <f>IFERROR(INDEX('Docketed Comments'!D:D,MATCH(A400,'Docketed Comments'!H:H,0)),"")</f>
        <v xml:space="preserve">Peoria </v>
      </c>
      <c r="J400" s="65" t="str">
        <f>IFERROR(INDEX('Docketed Comments'!I:I,MATCH(A400,'Docketed Comments'!H:H,0)),"")</f>
        <v>R3-47</v>
      </c>
      <c r="K400" s="65" t="str">
        <f t="shared" si="13"/>
        <v>✅ On Best Plan</v>
      </c>
      <c r="L400" s="65" t="str">
        <f>IFERROR(INDEX('Docketed Comments'!F:F,MATCH(A400,'Docketed Comments'!H:H,0)),"")</f>
        <v>Form letter</v>
      </c>
      <c r="M400" s="137" t="str">
        <f>IFERROR(HYPERLINK(INDEX('Docketed Comments'!G:G,MATCH(A400,'Docketed Comments'!H:H,0)),"📄 View Docket"),"")</f>
        <v>📄 View Docket</v>
      </c>
      <c r="N400" s="135" t="str">
        <f>IFERROR(INDEX('Docketed Comments'!N:N,MATCH(A400,'Docketed Comments'!H:H,0)),"")</f>
        <v>No</v>
      </c>
      <c r="O400" s="135" t="str">
        <f>IFERROR(INDEX('Docketed Comments'!L:L,MATCH(A400,'Docketed Comments'!H:H,0)),"")</f>
        <v>Yes</v>
      </c>
      <c r="P400" s="136">
        <f t="shared" si="12"/>
        <v>0</v>
      </c>
      <c r="Q400" s="140"/>
      <c r="R400" s="144">
        <v>1</v>
      </c>
    </row>
    <row r="401" spans="1:18" ht="21.95" customHeight="1">
      <c r="A401" s="71" t="s">
        <v>5123</v>
      </c>
      <c r="B401" s="69"/>
      <c r="C401" s="70"/>
      <c r="D401" s="69"/>
      <c r="E401" s="69"/>
      <c r="F401" s="65"/>
      <c r="G401" s="65" t="s">
        <v>5811</v>
      </c>
      <c r="H401" s="65" t="str">
        <f>IFERROR(INDEX('Docketed Comments'!C:C,MATCH(A401,'Docketed Comments'!H:H,0))&amp;", "&amp;INDEX('Docketed Comments'!B:B,MATCH(A401,'Docketed Comments'!H:H,0)),"")</f>
        <v>Paul, Benchwick</v>
      </c>
      <c r="I401" s="65" t="str">
        <f>IFERROR(INDEX('Docketed Comments'!D:D,MATCH(A401,'Docketed Comments'!H:H,0)),"")</f>
        <v>Scottsdale</v>
      </c>
      <c r="J401" s="65" t="str">
        <f>IFERROR(INDEX('Docketed Comments'!I:I,MATCH(A401,'Docketed Comments'!H:H,0)),"")</f>
        <v>R3-47</v>
      </c>
      <c r="K401" s="65" t="str">
        <f t="shared" si="13"/>
        <v>✅ On Best Plan</v>
      </c>
      <c r="L401" s="65" t="str">
        <f>IFERROR(INDEX('Docketed Comments'!F:F,MATCH(A401,'Docketed Comments'!H:H,0)),"")</f>
        <v>Outrageous</v>
      </c>
      <c r="M401" s="137" t="str">
        <f>IFERROR(HYPERLINK(INDEX('Docketed Comments'!G:G,MATCH(A401,'Docketed Comments'!H:H,0)),"📄 View Docket"),"")</f>
        <v>📄 View Docket</v>
      </c>
      <c r="N401" s="135" t="str">
        <f>IFERROR(INDEX('Docketed Comments'!N:N,MATCH(A401,'Docketed Comments'!H:H,0)),"")</f>
        <v>No</v>
      </c>
      <c r="O401" s="135" t="str">
        <f>IFERROR(INDEX('Docketed Comments'!L:L,MATCH(A401,'Docketed Comments'!H:H,0)),"")</f>
        <v>Yes</v>
      </c>
      <c r="P401" s="136">
        <f t="shared" si="12"/>
        <v>0</v>
      </c>
      <c r="Q401" s="140"/>
      <c r="R401" s="144">
        <v>1</v>
      </c>
    </row>
    <row r="402" spans="1:18" ht="21.95" customHeight="1">
      <c r="A402" s="71" t="s">
        <v>5124</v>
      </c>
      <c r="B402" s="69"/>
      <c r="C402" s="70"/>
      <c r="D402" s="69"/>
      <c r="E402" s="69"/>
      <c r="F402" s="65"/>
      <c r="G402" s="65" t="s">
        <v>5811</v>
      </c>
      <c r="H402" s="65" t="str">
        <f>IFERROR(INDEX('Docketed Comments'!C:C,MATCH(A402,'Docketed Comments'!H:H,0))&amp;", "&amp;INDEX('Docketed Comments'!B:B,MATCH(A402,'Docketed Comments'!H:H,0)),"")</f>
        <v>Cathy, Hozian</v>
      </c>
      <c r="I402" s="65" t="str">
        <f>IFERROR(INDEX('Docketed Comments'!D:D,MATCH(A402,'Docketed Comments'!H:H,0)),"")</f>
        <v>Goodyear</v>
      </c>
      <c r="J402" s="65" t="str">
        <f>IFERROR(INDEX('Docketed Comments'!I:I,MATCH(A402,'Docketed Comments'!H:H,0)),"")</f>
        <v>R3-47</v>
      </c>
      <c r="K402" s="65" t="str">
        <f t="shared" si="13"/>
        <v>✅ On Best Plan</v>
      </c>
      <c r="L402" s="65" t="str">
        <f>IFERROR(INDEX('Docketed Comments'!F:F,MATCH(A402,'Docketed Comments'!H:H,0)),"")</f>
        <v>APS is greedy and evil</v>
      </c>
      <c r="M402" s="137" t="str">
        <f>IFERROR(HYPERLINK(INDEX('Docketed Comments'!G:G,MATCH(A402,'Docketed Comments'!H:H,0)),"📄 View Docket"),"")</f>
        <v>📄 View Docket</v>
      </c>
      <c r="N402" s="135" t="str">
        <f>IFERROR(INDEX('Docketed Comments'!N:N,MATCH(A402,'Docketed Comments'!H:H,0)),"")</f>
        <v>No</v>
      </c>
      <c r="O402" s="135" t="str">
        <f>IFERROR(INDEX('Docketed Comments'!L:L,MATCH(A402,'Docketed Comments'!H:H,0)),"")</f>
        <v>Yes</v>
      </c>
      <c r="P402" s="136">
        <f t="shared" si="12"/>
        <v>0</v>
      </c>
      <c r="Q402" s="140"/>
      <c r="R402" s="144">
        <v>1</v>
      </c>
    </row>
    <row r="403" spans="1:18" ht="21.95" customHeight="1">
      <c r="A403" s="71" t="s">
        <v>5125</v>
      </c>
      <c r="B403" s="69" t="s">
        <v>111</v>
      </c>
      <c r="C403" s="70">
        <v>46074</v>
      </c>
      <c r="D403" s="69" t="s">
        <v>4888</v>
      </c>
      <c r="E403" s="69"/>
      <c r="F403" s="65"/>
      <c r="G403" s="65"/>
      <c r="H403" s="65" t="str">
        <f>IFERROR(INDEX('Docketed Comments'!C:C,MATCH(A403,'Docketed Comments'!H:H,0))&amp;", "&amp;INDEX('Docketed Comments'!B:B,MATCH(A403,'Docketed Comments'!H:H,0)),"")</f>
        <v>Ria, Hendrickson</v>
      </c>
      <c r="I403" s="65" t="str">
        <f>IFERROR(INDEX('Docketed Comments'!D:D,MATCH(A403,'Docketed Comments'!H:H,0)),"")</f>
        <v>Phoenix</v>
      </c>
      <c r="J403" s="65" t="str">
        <f>IFERROR(INDEX('Docketed Comments'!I:I,MATCH(A403,'Docketed Comments'!H:H,0)),"")</f>
        <v>R-XS</v>
      </c>
      <c r="K403" s="65" t="str">
        <f t="shared" si="13"/>
        <v>✅ On Best Plan</v>
      </c>
      <c r="L403" s="65" t="str">
        <f>IFERROR(INDEX('Docketed Comments'!F:F,MATCH(A403,'Docketed Comments'!H:H,0)),"")</f>
        <v>Form letter</v>
      </c>
      <c r="M403" s="137" t="str">
        <f>IFERROR(HYPERLINK(INDEX('Docketed Comments'!G:G,MATCH(A403,'Docketed Comments'!H:H,0)),"📄 View Docket"),"")</f>
        <v>📄 View Docket</v>
      </c>
      <c r="N403" s="135" t="str">
        <f>IFERROR(INDEX('Docketed Comments'!N:N,MATCH(A403,'Docketed Comments'!H:H,0)),"")</f>
        <v>No</v>
      </c>
      <c r="O403" s="135" t="str">
        <f>IFERROR(INDEX('Docketed Comments'!L:L,MATCH(A403,'Docketed Comments'!H:H,0)),"")</f>
        <v>Yes</v>
      </c>
      <c r="P403" s="136">
        <f t="shared" si="12"/>
        <v>0</v>
      </c>
      <c r="Q403" s="140" t="s">
        <v>5809</v>
      </c>
      <c r="R403" s="144">
        <v>0</v>
      </c>
    </row>
    <row r="404" spans="1:18" ht="21.95" customHeight="1">
      <c r="A404" s="71" t="s">
        <v>5126</v>
      </c>
      <c r="B404" s="69"/>
      <c r="C404" s="70"/>
      <c r="D404" s="69"/>
      <c r="E404" s="69"/>
      <c r="F404" s="65"/>
      <c r="G404" s="65" t="s">
        <v>5811</v>
      </c>
      <c r="H404" s="65" t="str">
        <f>IFERROR(INDEX('Docketed Comments'!C:C,MATCH(A404,'Docketed Comments'!H:H,0))&amp;", "&amp;INDEX('Docketed Comments'!B:B,MATCH(A404,'Docketed Comments'!H:H,0)),"")</f>
        <v>Victor, Meraz</v>
      </c>
      <c r="I404" s="65" t="str">
        <f>IFERROR(INDEX('Docketed Comments'!D:D,MATCH(A404,'Docketed Comments'!H:H,0)),"")</f>
        <v>Goodyear</v>
      </c>
      <c r="J404" s="65" t="str">
        <f>IFERROR(INDEX('Docketed Comments'!I:I,MATCH(A404,'Docketed Comments'!H:H,0)),"")</f>
        <v>R-XS</v>
      </c>
      <c r="K404" s="65" t="str">
        <f t="shared" si="13"/>
        <v>✅ On Best Plan</v>
      </c>
      <c r="L404" s="65" t="str">
        <f>IFERROR(INDEX('Docketed Comments'!F:F,MATCH(A404,'Docketed Comments'!H:H,0)),"")</f>
        <v>Already expensive enough</v>
      </c>
      <c r="M404" s="137" t="str">
        <f>IFERROR(HYPERLINK(INDEX('Docketed Comments'!G:G,MATCH(A404,'Docketed Comments'!H:H,0)),"📄 View Docket"),"")</f>
        <v>📄 View Docket</v>
      </c>
      <c r="N404" s="135" t="str">
        <f>IFERROR(INDEX('Docketed Comments'!N:N,MATCH(A404,'Docketed Comments'!H:H,0)),"")</f>
        <v>No</v>
      </c>
      <c r="O404" s="135" t="str">
        <f>IFERROR(INDEX('Docketed Comments'!L:L,MATCH(A404,'Docketed Comments'!H:H,0)),"")</f>
        <v>Yes</v>
      </c>
      <c r="P404" s="136">
        <f t="shared" si="12"/>
        <v>0</v>
      </c>
      <c r="Q404" s="140"/>
      <c r="R404" s="144">
        <v>1</v>
      </c>
    </row>
    <row r="405" spans="1:18" ht="21.95" customHeight="1">
      <c r="A405" s="71" t="s">
        <v>5127</v>
      </c>
      <c r="B405" s="69" t="s">
        <v>111</v>
      </c>
      <c r="C405" s="70">
        <v>46081</v>
      </c>
      <c r="D405" s="69" t="s">
        <v>4865</v>
      </c>
      <c r="E405" s="69" t="s">
        <v>4898</v>
      </c>
      <c r="F405" s="65"/>
      <c r="G405" s="65"/>
      <c r="H405" s="65" t="str">
        <f>IFERROR(INDEX('Docketed Comments'!C:C,MATCH(A405,'Docketed Comments'!H:H,0))&amp;", "&amp;INDEX('Docketed Comments'!B:B,MATCH(A405,'Docketed Comments'!H:H,0)),"")</f>
        <v>Jacqueline, Garrick</v>
      </c>
      <c r="I405" s="65" t="str">
        <f>IFERROR(INDEX('Docketed Comments'!D:D,MATCH(A405,'Docketed Comments'!H:H,0)),"")</f>
        <v>Litchfield Park</v>
      </c>
      <c r="J405" s="65" t="str">
        <f>IFERROR(INDEX('Docketed Comments'!I:I,MATCH(A405,'Docketed Comments'!H:H,0)),"")</f>
        <v>R-XS</v>
      </c>
      <c r="K405" s="65" t="str">
        <f t="shared" si="13"/>
        <v>✅ On Best Plan</v>
      </c>
      <c r="L405" s="65" t="str">
        <f>IFERROR(INDEX('Docketed Comments'!F:F,MATCH(A405,'Docketed Comments'!H:H,0)),"")</f>
        <v>Opposed</v>
      </c>
      <c r="M405" s="137" t="str">
        <f>IFERROR(HYPERLINK(INDEX('Docketed Comments'!G:G,MATCH(A405,'Docketed Comments'!H:H,0)),"📄 View Docket"),"")</f>
        <v>📄 View Docket</v>
      </c>
      <c r="N405" s="135" t="str">
        <f>IFERROR(INDEX('Docketed Comments'!N:N,MATCH(A405,'Docketed Comments'!H:H,0)),"")</f>
        <v>No</v>
      </c>
      <c r="O405" s="135" t="str">
        <f>IFERROR(INDEX('Docketed Comments'!L:L,MATCH(A405,'Docketed Comments'!H:H,0)),"")</f>
        <v>Yes</v>
      </c>
      <c r="P405" s="136">
        <f t="shared" si="12"/>
        <v>0</v>
      </c>
      <c r="Q405" s="140" t="s">
        <v>5809</v>
      </c>
      <c r="R405" s="144">
        <v>0</v>
      </c>
    </row>
    <row r="406" spans="1:18" ht="21.95" customHeight="1">
      <c r="A406" s="71" t="s">
        <v>5128</v>
      </c>
      <c r="B406" s="69"/>
      <c r="C406" s="70"/>
      <c r="D406" s="69"/>
      <c r="E406" s="69"/>
      <c r="F406" s="65"/>
      <c r="G406" s="65" t="s">
        <v>5811</v>
      </c>
      <c r="H406" s="65" t="str">
        <f>IFERROR(INDEX('Docketed Comments'!C:C,MATCH(A406,'Docketed Comments'!H:H,0))&amp;", "&amp;INDEX('Docketed Comments'!B:B,MATCH(A406,'Docketed Comments'!H:H,0)),"")</f>
        <v>Dante, Zuniga</v>
      </c>
      <c r="I406" s="65" t="str">
        <f>IFERROR(INDEX('Docketed Comments'!D:D,MATCH(A406,'Docketed Comments'!H:H,0)),"")</f>
        <v>Glendale</v>
      </c>
      <c r="J406" s="65" t="str">
        <f>IFERROR(INDEX('Docketed Comments'!I:I,MATCH(A406,'Docketed Comments'!H:H,0)),"")</f>
        <v>R-XS</v>
      </c>
      <c r="K406" s="65" t="str">
        <f t="shared" si="13"/>
        <v>✅ On Best Plan</v>
      </c>
      <c r="L406" s="65" t="str">
        <f>IFERROR(INDEX('Docketed Comments'!F:F,MATCH(A406,'Docketed Comments'!H:H,0)),"")</f>
        <v>Opposed</v>
      </c>
      <c r="M406" s="137" t="str">
        <f>IFERROR(HYPERLINK(INDEX('Docketed Comments'!G:G,MATCH(A406,'Docketed Comments'!H:H,0)),"📄 View Docket"),"")</f>
        <v>📄 View Docket</v>
      </c>
      <c r="N406" s="135" t="str">
        <f>IFERROR(INDEX('Docketed Comments'!N:N,MATCH(A406,'Docketed Comments'!H:H,0)),"")</f>
        <v>No</v>
      </c>
      <c r="O406" s="135" t="str">
        <f>IFERROR(INDEX('Docketed Comments'!L:L,MATCH(A406,'Docketed Comments'!H:H,0)),"")</f>
        <v>Yes</v>
      </c>
      <c r="P406" s="136">
        <f t="shared" si="12"/>
        <v>0</v>
      </c>
      <c r="Q406" s="140"/>
      <c r="R406" s="144">
        <v>1</v>
      </c>
    </row>
    <row r="407" spans="1:18" ht="21.95" customHeight="1">
      <c r="A407" s="71" t="s">
        <v>5129</v>
      </c>
      <c r="B407" s="69"/>
      <c r="C407" s="70"/>
      <c r="D407" s="69"/>
      <c r="E407" s="69"/>
      <c r="F407" s="65"/>
      <c r="G407" s="65" t="s">
        <v>5811</v>
      </c>
      <c r="H407" s="65" t="str">
        <f>IFERROR(INDEX('Docketed Comments'!C:C,MATCH(A407,'Docketed Comments'!H:H,0))&amp;", "&amp;INDEX('Docketed Comments'!B:B,MATCH(A407,'Docketed Comments'!H:H,0)),"")</f>
        <v>Anthony, Corona</v>
      </c>
      <c r="I407" s="65" t="str">
        <f>IFERROR(INDEX('Docketed Comments'!D:D,MATCH(A407,'Docketed Comments'!H:H,0)),"")</f>
        <v>Phoenix</v>
      </c>
      <c r="J407" s="65" t="str">
        <f>IFERROR(INDEX('Docketed Comments'!I:I,MATCH(A407,'Docketed Comments'!H:H,0)),"")</f>
        <v>R-2</v>
      </c>
      <c r="K407" s="65" t="str">
        <f t="shared" si="13"/>
        <v>⚠ Frozen Rate</v>
      </c>
      <c r="L407" s="65" t="str">
        <f>IFERROR(INDEX('Docketed Comments'!F:F,MATCH(A407,'Docketed Comments'!H:H,0)),"")</f>
        <v>Opposed</v>
      </c>
      <c r="M407" s="137" t="str">
        <f>IFERROR(HYPERLINK(INDEX('Docketed Comments'!G:G,MATCH(A407,'Docketed Comments'!H:H,0)),"📄 View Docket"),"")</f>
        <v>📄 View Docket</v>
      </c>
      <c r="N407" s="135" t="str">
        <f>IFERROR(INDEX('Docketed Comments'!N:N,MATCH(A407,'Docketed Comments'!H:H,0)),"")</f>
        <v>No</v>
      </c>
      <c r="O407" s="135" t="str">
        <f>IFERROR(INDEX('Docketed Comments'!L:L,MATCH(A407,'Docketed Comments'!H:H,0)),"")</f>
        <v>Frozen Rate</v>
      </c>
      <c r="P407" s="136">
        <f t="shared" si="12"/>
        <v>0</v>
      </c>
      <c r="Q407" s="140"/>
      <c r="R407" s="144">
        <v>1</v>
      </c>
    </row>
    <row r="408" spans="1:18" ht="21.95" customHeight="1">
      <c r="A408" s="71" t="s">
        <v>5130</v>
      </c>
      <c r="B408" s="69"/>
      <c r="C408" s="70"/>
      <c r="D408" s="69"/>
      <c r="E408" s="69"/>
      <c r="F408" s="65"/>
      <c r="G408" s="65" t="s">
        <v>5811</v>
      </c>
      <c r="H408" s="65" t="str">
        <f>IFERROR(INDEX('Docketed Comments'!C:C,MATCH(A408,'Docketed Comments'!H:H,0))&amp;", "&amp;INDEX('Docketed Comments'!B:B,MATCH(A408,'Docketed Comments'!H:H,0)),"")</f>
        <v>Jayne, Bahoura</v>
      </c>
      <c r="I408" s="65" t="str">
        <f>IFERROR(INDEX('Docketed Comments'!D:D,MATCH(A408,'Docketed Comments'!H:H,0)),"")</f>
        <v>Scottsdale</v>
      </c>
      <c r="J408" s="65" t="str">
        <f>IFERROR(INDEX('Docketed Comments'!I:I,MATCH(A408,'Docketed Comments'!H:H,0)),"")</f>
        <v>R3-47</v>
      </c>
      <c r="K408" s="65" t="str">
        <f t="shared" si="13"/>
        <v>✅ On Best Plan</v>
      </c>
      <c r="L408" s="65" t="str">
        <f>IFERROR(INDEX('Docketed Comments'!F:F,MATCH(A408,'Docketed Comments'!H:H,0)),"")</f>
        <v>Opposed</v>
      </c>
      <c r="M408" s="137" t="str">
        <f>IFERROR(HYPERLINK(INDEX('Docketed Comments'!G:G,MATCH(A408,'Docketed Comments'!H:H,0)),"📄 View Docket"),"")</f>
        <v>📄 View Docket</v>
      </c>
      <c r="N408" s="135" t="str">
        <f>IFERROR(INDEX('Docketed Comments'!N:N,MATCH(A408,'Docketed Comments'!H:H,0)),"")</f>
        <v>No</v>
      </c>
      <c r="O408" s="135" t="str">
        <f>IFERROR(INDEX('Docketed Comments'!L:L,MATCH(A408,'Docketed Comments'!H:H,0)),"")</f>
        <v>Yes</v>
      </c>
      <c r="P408" s="136">
        <f t="shared" si="12"/>
        <v>0</v>
      </c>
      <c r="Q408" s="140"/>
      <c r="R408" s="144">
        <v>1</v>
      </c>
    </row>
    <row r="409" spans="1:18" ht="21.95" customHeight="1">
      <c r="A409" s="71" t="s">
        <v>5131</v>
      </c>
      <c r="B409" s="69"/>
      <c r="C409" s="70"/>
      <c r="D409" s="69"/>
      <c r="E409" s="69"/>
      <c r="F409" s="65"/>
      <c r="G409" s="65" t="s">
        <v>5811</v>
      </c>
      <c r="H409" s="65" t="str">
        <f>IFERROR(INDEX('Docketed Comments'!C:C,MATCH(A409,'Docketed Comments'!H:H,0))&amp;", "&amp;INDEX('Docketed Comments'!B:B,MATCH(A409,'Docketed Comments'!H:H,0)),"")</f>
        <v>Dominic, Porchia</v>
      </c>
      <c r="I409" s="65" t="str">
        <f>IFERROR(INDEX('Docketed Comments'!D:D,MATCH(A409,'Docketed Comments'!H:H,0)),"")</f>
        <v>Avondale</v>
      </c>
      <c r="J409" s="65" t="str">
        <f>IFERROR(INDEX('Docketed Comments'!I:I,MATCH(A409,'Docketed Comments'!H:H,0)),"")</f>
        <v>RTOUE47</v>
      </c>
      <c r="K409" s="65" t="str">
        <f t="shared" si="13"/>
        <v>✅ On Best Plan</v>
      </c>
      <c r="L409" s="65" t="str">
        <f>IFERROR(INDEX('Docketed Comments'!F:F,MATCH(A409,'Docketed Comments'!H:H,0)),"")</f>
        <v>Opposed</v>
      </c>
      <c r="M409" s="137" t="str">
        <f>IFERROR(HYPERLINK(INDEX('Docketed Comments'!G:G,MATCH(A409,'Docketed Comments'!H:H,0)),"📄 View Docket"),"")</f>
        <v>📄 View Docket</v>
      </c>
      <c r="N409" s="135" t="str">
        <f>IFERROR(INDEX('Docketed Comments'!N:N,MATCH(A409,'Docketed Comments'!H:H,0)),"")</f>
        <v>No</v>
      </c>
      <c r="O409" s="135" t="str">
        <f>IFERROR(INDEX('Docketed Comments'!L:L,MATCH(A409,'Docketed Comments'!H:H,0)),"")</f>
        <v>Yes</v>
      </c>
      <c r="P409" s="136">
        <f t="shared" si="12"/>
        <v>0</v>
      </c>
      <c r="Q409" s="140"/>
      <c r="R409" s="144">
        <v>1</v>
      </c>
    </row>
    <row r="410" spans="1:18" ht="21.95" customHeight="1">
      <c r="A410" s="71" t="s">
        <v>5132</v>
      </c>
      <c r="B410" s="69"/>
      <c r="C410" s="70"/>
      <c r="D410" s="69"/>
      <c r="E410" s="69"/>
      <c r="F410" s="65"/>
      <c r="G410" s="65" t="s">
        <v>5811</v>
      </c>
      <c r="H410" s="65" t="str">
        <f>IFERROR(INDEX('Docketed Comments'!C:C,MATCH(A410,'Docketed Comments'!H:H,0))&amp;", "&amp;INDEX('Docketed Comments'!B:B,MATCH(A410,'Docketed Comments'!H:H,0)),"")</f>
        <v>Amarnath, Vivekananthan</v>
      </c>
      <c r="I410" s="65" t="str">
        <f>IFERROR(INDEX('Docketed Comments'!D:D,MATCH(A410,'Docketed Comments'!H:H,0)),"")</f>
        <v>Phoenix</v>
      </c>
      <c r="J410" s="65" t="str">
        <f>IFERROR(INDEX('Docketed Comments'!I:I,MATCH(A410,'Docketed Comments'!H:H,0)),"")</f>
        <v>RTOUE47</v>
      </c>
      <c r="K410" s="65" t="str">
        <f t="shared" si="13"/>
        <v>✅ On Best Plan</v>
      </c>
      <c r="L410" s="65" t="str">
        <f>IFERROR(INDEX('Docketed Comments'!F:F,MATCH(A410,'Docketed Comments'!H:H,0)),"")</f>
        <v>Form letter</v>
      </c>
      <c r="M410" s="137" t="str">
        <f>IFERROR(HYPERLINK(INDEX('Docketed Comments'!G:G,MATCH(A410,'Docketed Comments'!H:H,0)),"📄 View Docket"),"")</f>
        <v>📄 View Docket</v>
      </c>
      <c r="N410" s="135" t="str">
        <f>IFERROR(INDEX('Docketed Comments'!N:N,MATCH(A410,'Docketed Comments'!H:H,0)),"")</f>
        <v>No</v>
      </c>
      <c r="O410" s="135" t="str">
        <f>IFERROR(INDEX('Docketed Comments'!L:L,MATCH(A410,'Docketed Comments'!H:H,0)),"")</f>
        <v>Yes</v>
      </c>
      <c r="P410" s="136">
        <f t="shared" si="12"/>
        <v>0</v>
      </c>
      <c r="Q410" s="140"/>
      <c r="R410" s="144">
        <v>1</v>
      </c>
    </row>
    <row r="411" spans="1:18" ht="21.95" customHeight="1">
      <c r="A411" s="71" t="s">
        <v>1037</v>
      </c>
      <c r="B411" s="69"/>
      <c r="C411" s="70"/>
      <c r="D411" s="69"/>
      <c r="E411" s="69"/>
      <c r="F411" s="65"/>
      <c r="G411" s="65" t="s">
        <v>5811</v>
      </c>
      <c r="H411" s="65" t="str">
        <f>IFERROR(INDEX('Docketed Comments'!C:C,MATCH(A411,'Docketed Comments'!H:H,0))&amp;", "&amp;INDEX('Docketed Comments'!B:B,MATCH(A411,'Docketed Comments'!H:H,0)),"")</f>
        <v>Amy, Nelson</v>
      </c>
      <c r="I411" s="65" t="str">
        <f>IFERROR(INDEX('Docketed Comments'!D:D,MATCH(A411,'Docketed Comments'!H:H,0)),"")</f>
        <v>Goodyear</v>
      </c>
      <c r="J411" s="65" t="str">
        <f>IFERROR(INDEX('Docketed Comments'!I:I,MATCH(A411,'Docketed Comments'!H:H,0)),"")</f>
        <v>R3-47</v>
      </c>
      <c r="K411" s="65" t="str">
        <f t="shared" si="13"/>
        <v>✅ On Best Plan</v>
      </c>
      <c r="L411" s="65" t="str">
        <f>IFERROR(INDEX('Docketed Comments'!F:F,MATCH(A411,'Docketed Comments'!H:H,0)),"")</f>
        <v>Opposed, struggling</v>
      </c>
      <c r="M411" s="137" t="str">
        <f>IFERROR(HYPERLINK(INDEX('Docketed Comments'!G:G,MATCH(A411,'Docketed Comments'!H:H,0)),"📄 View Docket"),"")</f>
        <v>📄 View Docket</v>
      </c>
      <c r="N411" s="135" t="str">
        <f>IFERROR(INDEX('Docketed Comments'!N:N,MATCH(A411,'Docketed Comments'!H:H,0)),"")</f>
        <v>No</v>
      </c>
      <c r="O411" s="135" t="str">
        <f>IFERROR(INDEX('Docketed Comments'!L:L,MATCH(A411,'Docketed Comments'!H:H,0)),"")</f>
        <v>Yes</v>
      </c>
      <c r="P411" s="136">
        <f t="shared" si="12"/>
        <v>0</v>
      </c>
      <c r="Q411" s="140"/>
      <c r="R411" s="144">
        <v>1</v>
      </c>
    </row>
    <row r="412" spans="1:18" ht="21.95" customHeight="1">
      <c r="A412" s="71" t="s">
        <v>5133</v>
      </c>
      <c r="B412" s="69"/>
      <c r="C412" s="70"/>
      <c r="D412" s="69"/>
      <c r="E412" s="69"/>
      <c r="F412" s="65"/>
      <c r="G412" s="65" t="s">
        <v>5811</v>
      </c>
      <c r="H412" s="65" t="str">
        <f>IFERROR(INDEX('Docketed Comments'!C:C,MATCH(A412,'Docketed Comments'!H:H,0))&amp;", "&amp;INDEX('Docketed Comments'!B:B,MATCH(A412,'Docketed Comments'!H:H,0)),"")</f>
        <v>Stephanie, Trudell</v>
      </c>
      <c r="I412" s="65" t="str">
        <f>IFERROR(INDEX('Docketed Comments'!D:D,MATCH(A412,'Docketed Comments'!H:H,0)),"")</f>
        <v>Goodyear</v>
      </c>
      <c r="J412" s="65" t="str">
        <f>IFERROR(INDEX('Docketed Comments'!I:I,MATCH(A412,'Docketed Comments'!H:H,0)),"")</f>
        <v>R3-47</v>
      </c>
      <c r="K412" s="65" t="str">
        <f t="shared" si="13"/>
        <v>✅ On Best Plan</v>
      </c>
      <c r="L412" s="65" t="str">
        <f>IFERROR(INDEX('Docketed Comments'!F:F,MATCH(A412,'Docketed Comments'!H:H,0)),"")</f>
        <v>No rate increase</v>
      </c>
      <c r="M412" s="137" t="str">
        <f>IFERROR(HYPERLINK(INDEX('Docketed Comments'!G:G,MATCH(A412,'Docketed Comments'!H:H,0)),"📄 View Docket"),"")</f>
        <v>📄 View Docket</v>
      </c>
      <c r="N412" s="135" t="str">
        <f>IFERROR(INDEX('Docketed Comments'!N:N,MATCH(A412,'Docketed Comments'!H:H,0)),"")</f>
        <v>No</v>
      </c>
      <c r="O412" s="135" t="str">
        <f>IFERROR(INDEX('Docketed Comments'!L:L,MATCH(A412,'Docketed Comments'!H:H,0)),"")</f>
        <v>Yes</v>
      </c>
      <c r="P412" s="136">
        <f t="shared" si="12"/>
        <v>0</v>
      </c>
      <c r="Q412" s="140"/>
      <c r="R412" s="144">
        <v>1</v>
      </c>
    </row>
    <row r="413" spans="1:18" ht="21.95" customHeight="1">
      <c r="A413" s="71" t="s">
        <v>5134</v>
      </c>
      <c r="B413" s="69"/>
      <c r="C413" s="70"/>
      <c r="D413" s="69"/>
      <c r="E413" s="69"/>
      <c r="F413" s="65"/>
      <c r="G413" s="65" t="s">
        <v>5811</v>
      </c>
      <c r="H413" s="65" t="str">
        <f>IFERROR(INDEX('Docketed Comments'!C:C,MATCH(A413,'Docketed Comments'!H:H,0))&amp;", "&amp;INDEX('Docketed Comments'!B:B,MATCH(A413,'Docketed Comments'!H:H,0)),"")</f>
        <v>Swapnil, Brahmecha</v>
      </c>
      <c r="I413" s="65" t="str">
        <f>IFERROR(INDEX('Docketed Comments'!D:D,MATCH(A413,'Docketed Comments'!H:H,0)),"")</f>
        <v>Peoria</v>
      </c>
      <c r="J413" s="65" t="str">
        <f>IFERROR(INDEX('Docketed Comments'!I:I,MATCH(A413,'Docketed Comments'!H:H,0)),"")</f>
        <v>R-2</v>
      </c>
      <c r="K413" s="65" t="str">
        <f t="shared" si="13"/>
        <v>⚠ Frozen Rate</v>
      </c>
      <c r="L413" s="65" t="str">
        <f>IFERROR(INDEX('Docketed Comments'!F:F,MATCH(A413,'Docketed Comments'!H:H,0)),"")</f>
        <v>Form letter</v>
      </c>
      <c r="M413" s="137" t="str">
        <f>IFERROR(HYPERLINK(INDEX('Docketed Comments'!G:G,MATCH(A413,'Docketed Comments'!H:H,0)),"📄 View Docket"),"")</f>
        <v>📄 View Docket</v>
      </c>
      <c r="N413" s="135" t="str">
        <f>IFERROR(INDEX('Docketed Comments'!N:N,MATCH(A413,'Docketed Comments'!H:H,0)),"")</f>
        <v>No</v>
      </c>
      <c r="O413" s="135" t="str">
        <f>IFERROR(INDEX('Docketed Comments'!L:L,MATCH(A413,'Docketed Comments'!H:H,0)),"")</f>
        <v>Frozen Rate</v>
      </c>
      <c r="P413" s="136">
        <f t="shared" si="12"/>
        <v>0</v>
      </c>
      <c r="Q413" s="140"/>
      <c r="R413" s="144">
        <v>1</v>
      </c>
    </row>
    <row r="414" spans="1:18" ht="21.95" customHeight="1">
      <c r="A414" s="71" t="s">
        <v>1188</v>
      </c>
      <c r="B414" s="69"/>
      <c r="C414" s="70"/>
      <c r="D414" s="69"/>
      <c r="E414" s="69"/>
      <c r="F414" s="65"/>
      <c r="G414" s="65" t="s">
        <v>5811</v>
      </c>
      <c r="H414" s="65" t="str">
        <f>IFERROR(INDEX('Docketed Comments'!C:C,MATCH(A414,'Docketed Comments'!H:H,0))&amp;", "&amp;INDEX('Docketed Comments'!B:B,MATCH(A414,'Docketed Comments'!H:H,0)),"")</f>
        <v>Valerie, Sutinen</v>
      </c>
      <c r="I414" s="65" t="str">
        <f>IFERROR(INDEX('Docketed Comments'!D:D,MATCH(A414,'Docketed Comments'!H:H,0)),"")</f>
        <v>Goodyear</v>
      </c>
      <c r="J414" s="65" t="str">
        <f>IFERROR(INDEX('Docketed Comments'!I:I,MATCH(A414,'Docketed Comments'!H:H,0)),"")</f>
        <v>RTOUE47</v>
      </c>
      <c r="K414" s="65" t="str">
        <f t="shared" si="13"/>
        <v>✅ On Best Plan</v>
      </c>
      <c r="L414" s="65" t="str">
        <f>IFERROR(INDEX('Docketed Comments'!F:F,MATCH(A414,'Docketed Comments'!H:H,0)),"")</f>
        <v>Family struggling to make ends meet</v>
      </c>
      <c r="M414" s="137" t="str">
        <f>IFERROR(HYPERLINK(INDEX('Docketed Comments'!G:G,MATCH(A414,'Docketed Comments'!H:H,0)),"📄 View Docket"),"")</f>
        <v>📄 View Docket</v>
      </c>
      <c r="N414" s="135" t="str">
        <f>IFERROR(INDEX('Docketed Comments'!N:N,MATCH(A414,'Docketed Comments'!H:H,0)),"")</f>
        <v>No</v>
      </c>
      <c r="O414" s="135" t="str">
        <f>IFERROR(INDEX('Docketed Comments'!L:L,MATCH(A414,'Docketed Comments'!H:H,0)),"")</f>
        <v>Yes</v>
      </c>
      <c r="P414" s="136">
        <f t="shared" si="12"/>
        <v>0</v>
      </c>
      <c r="Q414" s="140"/>
      <c r="R414" s="144">
        <v>1</v>
      </c>
    </row>
    <row r="415" spans="1:18" ht="21.95" customHeight="1">
      <c r="A415" s="71" t="s">
        <v>1194</v>
      </c>
      <c r="B415" s="69"/>
      <c r="C415" s="70"/>
      <c r="D415" s="69"/>
      <c r="E415" s="69"/>
      <c r="F415" s="65"/>
      <c r="G415" s="65" t="s">
        <v>5811</v>
      </c>
      <c r="H415" s="65" t="str">
        <f>IFERROR(INDEX('Docketed Comments'!C:C,MATCH(A415,'Docketed Comments'!H:H,0))&amp;", "&amp;INDEX('Docketed Comments'!B:B,MATCH(A415,'Docketed Comments'!H:H,0)),"")</f>
        <v>Juan E &amp; Helen, Osorio</v>
      </c>
      <c r="I415" s="65" t="str">
        <f>IFERROR(INDEX('Docketed Comments'!D:D,MATCH(A415,'Docketed Comments'!H:H,0)),"")</f>
        <v>Avondale</v>
      </c>
      <c r="J415" s="65" t="str">
        <f>IFERROR(INDEX('Docketed Comments'!I:I,MATCH(A415,'Docketed Comments'!H:H,0)),"")</f>
        <v>EPR-6w/ET-2</v>
      </c>
      <c r="K415" s="65" t="str">
        <f t="shared" si="13"/>
        <v>⚠ Frozen Rate</v>
      </c>
      <c r="L415" s="65" t="str">
        <f>IFERROR(INDEX('Docketed Comments'!F:F,MATCH(A415,'Docketed Comments'!H:H,0)),"")</f>
        <v>Retired/Hurt Financially</v>
      </c>
      <c r="M415" s="137" t="str">
        <f>IFERROR(HYPERLINK(INDEX('Docketed Comments'!G:G,MATCH(A415,'Docketed Comments'!H:H,0)),"📄 View Docket"),"")</f>
        <v>📄 View Docket</v>
      </c>
      <c r="N415" s="135" t="str">
        <f>IFERROR(INDEX('Docketed Comments'!N:N,MATCH(A415,'Docketed Comments'!H:H,0)),"")</f>
        <v>No</v>
      </c>
      <c r="O415" s="135" t="str">
        <f>IFERROR(INDEX('Docketed Comments'!L:L,MATCH(A415,'Docketed Comments'!H:H,0)),"")</f>
        <v>Frozen Rate</v>
      </c>
      <c r="P415" s="136">
        <f t="shared" si="12"/>
        <v>0</v>
      </c>
      <c r="Q415" s="140"/>
      <c r="R415" s="144">
        <v>1</v>
      </c>
    </row>
    <row r="416" spans="1:18" ht="21.95" customHeight="1">
      <c r="A416" s="71" t="s">
        <v>1201</v>
      </c>
      <c r="B416" s="69"/>
      <c r="C416" s="70"/>
      <c r="D416" s="69"/>
      <c r="E416" s="69"/>
      <c r="F416" s="65"/>
      <c r="G416" s="65" t="s">
        <v>5811</v>
      </c>
      <c r="H416" s="65" t="str">
        <f>IFERROR(INDEX('Docketed Comments'!C:C,MATCH(A416,'Docketed Comments'!H:H,0))&amp;", "&amp;INDEX('Docketed Comments'!B:B,MATCH(A416,'Docketed Comments'!H:H,0)),"")</f>
        <v>Shawna, Townsend</v>
      </c>
      <c r="I416" s="65" t="str">
        <f>IFERROR(INDEX('Docketed Comments'!D:D,MATCH(A416,'Docketed Comments'!H:H,0)),"")</f>
        <v>Glendale</v>
      </c>
      <c r="J416" s="65" t="str">
        <f>IFERROR(INDEX('Docketed Comments'!I:I,MATCH(A416,'Docketed Comments'!H:H,0)),"")</f>
        <v>R3-47</v>
      </c>
      <c r="K416" s="65" t="str">
        <f t="shared" si="13"/>
        <v>✅ On Best Plan</v>
      </c>
      <c r="L416" s="65" t="str">
        <f>IFERROR(INDEX('Docketed Comments'!F:F,MATCH(A416,'Docketed Comments'!H:H,0)),"")</f>
        <v>Opposed</v>
      </c>
      <c r="M416" s="137" t="str">
        <f>IFERROR(HYPERLINK(INDEX('Docketed Comments'!G:G,MATCH(A416,'Docketed Comments'!H:H,0)),"📄 View Docket"),"")</f>
        <v>📄 View Docket</v>
      </c>
      <c r="N416" s="135" t="str">
        <f>IFERROR(INDEX('Docketed Comments'!N:N,MATCH(A416,'Docketed Comments'!H:H,0)),"")</f>
        <v>No</v>
      </c>
      <c r="O416" s="135" t="str">
        <f>IFERROR(INDEX('Docketed Comments'!L:L,MATCH(A416,'Docketed Comments'!H:H,0)),"")</f>
        <v>Yes</v>
      </c>
      <c r="P416" s="136">
        <f t="shared" si="12"/>
        <v>0</v>
      </c>
      <c r="Q416" s="140"/>
      <c r="R416" s="144">
        <v>1</v>
      </c>
    </row>
    <row r="417" spans="1:18" ht="21.95" customHeight="1">
      <c r="A417" s="71" t="s">
        <v>1205</v>
      </c>
      <c r="B417" s="69" t="s">
        <v>4887</v>
      </c>
      <c r="C417" s="70">
        <v>46081</v>
      </c>
      <c r="D417" s="69" t="s">
        <v>4865</v>
      </c>
      <c r="E417" s="69" t="s">
        <v>4898</v>
      </c>
      <c r="F417" s="65" t="s">
        <v>5735</v>
      </c>
      <c r="G417" s="65"/>
      <c r="H417" s="65" t="str">
        <f>IFERROR(INDEX('Docketed Comments'!C:C,MATCH(A417,'Docketed Comments'!H:H,0))&amp;", "&amp;INDEX('Docketed Comments'!B:B,MATCH(A417,'Docketed Comments'!H:H,0)),"")</f>
        <v>Doug , Darfus</v>
      </c>
      <c r="I417" s="65" t="str">
        <f>IFERROR(INDEX('Docketed Comments'!D:D,MATCH(A417,'Docketed Comments'!H:H,0)),"")</f>
        <v>Phoenix</v>
      </c>
      <c r="J417" s="65" t="str">
        <f>IFERROR(INDEX('Docketed Comments'!I:I,MATCH(A417,'Docketed Comments'!H:H,0)),"")</f>
        <v>R3-47</v>
      </c>
      <c r="K417" s="65" t="str">
        <f t="shared" si="13"/>
        <v>✅ On Best Plan</v>
      </c>
      <c r="L417" s="65" t="str">
        <f>IFERROR(INDEX('Docketed Comments'!F:F,MATCH(A417,'Docketed Comments'!H:H,0)),"")</f>
        <v>Strain on family</v>
      </c>
      <c r="M417" s="137" t="str">
        <f>IFERROR(HYPERLINK(INDEX('Docketed Comments'!G:G,MATCH(A417,'Docketed Comments'!H:H,0)),"📄 View Docket"),"")</f>
        <v>📄 View Docket</v>
      </c>
      <c r="N417" s="135" t="str">
        <f>IFERROR(INDEX('Docketed Comments'!N:N,MATCH(A417,'Docketed Comments'!H:H,0)),"")</f>
        <v>No</v>
      </c>
      <c r="O417" s="135" t="str">
        <f>IFERROR(INDEX('Docketed Comments'!L:L,MATCH(A417,'Docketed Comments'!H:H,0)),"")</f>
        <v>Yes</v>
      </c>
      <c r="P417" s="136">
        <f t="shared" si="12"/>
        <v>0</v>
      </c>
      <c r="Q417" s="140" t="s">
        <v>5809</v>
      </c>
      <c r="R417" s="144">
        <v>0</v>
      </c>
    </row>
    <row r="418" spans="1:18" ht="21.95" customHeight="1">
      <c r="A418" s="71" t="s">
        <v>1207</v>
      </c>
      <c r="B418" s="69"/>
      <c r="C418" s="70"/>
      <c r="D418" s="69"/>
      <c r="E418" s="69"/>
      <c r="F418" s="65"/>
      <c r="G418" s="65" t="s">
        <v>5811</v>
      </c>
      <c r="H418" s="65" t="str">
        <f>IFERROR(INDEX('Docketed Comments'!C:C,MATCH(A418,'Docketed Comments'!H:H,0))&amp;", "&amp;INDEX('Docketed Comments'!B:B,MATCH(A418,'Docketed Comments'!H:H,0)),"")</f>
        <v>Douglas, Whitney</v>
      </c>
      <c r="I418" s="65" t="str">
        <f>IFERROR(INDEX('Docketed Comments'!D:D,MATCH(A418,'Docketed Comments'!H:H,0)),"")</f>
        <v>Sedona</v>
      </c>
      <c r="J418" s="65" t="str">
        <f>IFERROR(INDEX('Docketed Comments'!I:I,MATCH(A418,'Docketed Comments'!H:H,0)),"")</f>
        <v>R-XS</v>
      </c>
      <c r="K418" s="65" t="str">
        <f t="shared" si="13"/>
        <v>✅ On Best Plan</v>
      </c>
      <c r="L418" s="65" t="str">
        <f>IFERROR(INDEX('Docketed Comments'!F:F,MATCH(A418,'Docketed Comments'!H:H,0)),"")</f>
        <v>Opposed</v>
      </c>
      <c r="M418" s="137" t="str">
        <f>IFERROR(HYPERLINK(INDEX('Docketed Comments'!G:G,MATCH(A418,'Docketed Comments'!H:H,0)),"📄 View Docket"),"")</f>
        <v>📄 View Docket</v>
      </c>
      <c r="N418" s="135" t="str">
        <f>IFERROR(INDEX('Docketed Comments'!N:N,MATCH(A418,'Docketed Comments'!H:H,0)),"")</f>
        <v>No</v>
      </c>
      <c r="O418" s="135" t="str">
        <f>IFERROR(INDEX('Docketed Comments'!L:L,MATCH(A418,'Docketed Comments'!H:H,0)),"")</f>
        <v>Yes</v>
      </c>
      <c r="P418" s="136">
        <f t="shared" si="12"/>
        <v>0</v>
      </c>
      <c r="Q418" s="140"/>
      <c r="R418" s="144">
        <v>1</v>
      </c>
    </row>
    <row r="419" spans="1:18" ht="21.95" customHeight="1">
      <c r="A419" s="71" t="s">
        <v>1211</v>
      </c>
      <c r="B419" s="69"/>
      <c r="C419" s="70"/>
      <c r="D419" s="69"/>
      <c r="E419" s="69"/>
      <c r="F419" s="65"/>
      <c r="G419" s="65" t="s">
        <v>5811</v>
      </c>
      <c r="H419" s="65" t="str">
        <f>IFERROR(INDEX('Docketed Comments'!C:C,MATCH(A419,'Docketed Comments'!H:H,0))&amp;", "&amp;INDEX('Docketed Comments'!B:B,MATCH(A419,'Docketed Comments'!H:H,0)),"")</f>
        <v>Bryan, Haslett</v>
      </c>
      <c r="I419" s="65" t="str">
        <f>IFERROR(INDEX('Docketed Comments'!D:D,MATCH(A419,'Docketed Comments'!H:H,0)),"")</f>
        <v>Scottsdale</v>
      </c>
      <c r="J419" s="65" t="str">
        <f>IFERROR(INDEX('Docketed Comments'!I:I,MATCH(A419,'Docketed Comments'!H:H,0)),"")</f>
        <v>EPR-6w/ET-2</v>
      </c>
      <c r="K419" s="65" t="str">
        <f t="shared" si="13"/>
        <v>⚠ Frozen Rate</v>
      </c>
      <c r="L419" s="65" t="str">
        <f>IFERROR(INDEX('Docketed Comments'!F:F,MATCH(A419,'Docketed Comments'!H:H,0)),"")</f>
        <v>Opposed</v>
      </c>
      <c r="M419" s="137" t="str">
        <f>IFERROR(HYPERLINK(INDEX('Docketed Comments'!G:G,MATCH(A419,'Docketed Comments'!H:H,0)),"📄 View Docket"),"")</f>
        <v>📄 View Docket</v>
      </c>
      <c r="N419" s="135" t="str">
        <f>IFERROR(INDEX('Docketed Comments'!N:N,MATCH(A419,'Docketed Comments'!H:H,0)),"")</f>
        <v>No</v>
      </c>
      <c r="O419" s="135" t="str">
        <f>IFERROR(INDEX('Docketed Comments'!L:L,MATCH(A419,'Docketed Comments'!H:H,0)),"")</f>
        <v>Frozen Rate</v>
      </c>
      <c r="P419" s="136">
        <f t="shared" si="12"/>
        <v>0</v>
      </c>
      <c r="Q419" s="140"/>
      <c r="R419" s="144">
        <v>1</v>
      </c>
    </row>
    <row r="420" spans="1:18" ht="21.95" customHeight="1">
      <c r="A420" s="71" t="s">
        <v>1216</v>
      </c>
      <c r="B420" s="69"/>
      <c r="C420" s="70"/>
      <c r="D420" s="69"/>
      <c r="E420" s="69"/>
      <c r="F420" s="65"/>
      <c r="G420" s="65" t="s">
        <v>5811</v>
      </c>
      <c r="H420" s="65" t="str">
        <f>IFERROR(INDEX('Docketed Comments'!C:C,MATCH(A420,'Docketed Comments'!H:H,0))&amp;", "&amp;INDEX('Docketed Comments'!B:B,MATCH(A420,'Docketed Comments'!H:H,0)),"")</f>
        <v>Christine, Cagle</v>
      </c>
      <c r="I420" s="65" t="str">
        <f>IFERROR(INDEX('Docketed Comments'!D:D,MATCH(A420,'Docketed Comments'!H:H,0)),"")</f>
        <v>Goodyear</v>
      </c>
      <c r="J420" s="65" t="str">
        <f>IFERROR(INDEX('Docketed Comments'!I:I,MATCH(A420,'Docketed Comments'!H:H,0)),"")</f>
        <v>EPR-6w/ET-2</v>
      </c>
      <c r="K420" s="65" t="str">
        <f t="shared" si="13"/>
        <v>⚠ Frozen Rate</v>
      </c>
      <c r="L420" s="65" t="str">
        <f>IFERROR(INDEX('Docketed Comments'!F:F,MATCH(A420,'Docketed Comments'!H:H,0)),"")</f>
        <v>Opposed</v>
      </c>
      <c r="M420" s="137" t="str">
        <f>IFERROR(HYPERLINK(INDEX('Docketed Comments'!G:G,MATCH(A420,'Docketed Comments'!H:H,0)),"📄 View Docket"),"")</f>
        <v>📄 View Docket</v>
      </c>
      <c r="N420" s="135" t="str">
        <f>IFERROR(INDEX('Docketed Comments'!N:N,MATCH(A420,'Docketed Comments'!H:H,0)),"")</f>
        <v>No</v>
      </c>
      <c r="O420" s="135" t="str">
        <f>IFERROR(INDEX('Docketed Comments'!L:L,MATCH(A420,'Docketed Comments'!H:H,0)),"")</f>
        <v>Frozen Rate</v>
      </c>
      <c r="P420" s="136">
        <f t="shared" si="12"/>
        <v>0</v>
      </c>
      <c r="Q420" s="140"/>
      <c r="R420" s="144">
        <v>1</v>
      </c>
    </row>
    <row r="421" spans="1:18" ht="21.95" customHeight="1">
      <c r="A421" s="71" t="s">
        <v>1218</v>
      </c>
      <c r="B421" s="69"/>
      <c r="C421" s="70"/>
      <c r="D421" s="69"/>
      <c r="E421" s="69"/>
      <c r="F421" s="65"/>
      <c r="G421" s="65" t="s">
        <v>5811</v>
      </c>
      <c r="H421" s="65" t="str">
        <f>IFERROR(INDEX('Docketed Comments'!C:C,MATCH(A421,'Docketed Comments'!H:H,0))&amp;", "&amp;INDEX('Docketed Comments'!B:B,MATCH(A421,'Docketed Comments'!H:H,0)),"")</f>
        <v>Brad, Duell</v>
      </c>
      <c r="I421" s="65" t="str">
        <f>IFERROR(INDEX('Docketed Comments'!D:D,MATCH(A421,'Docketed Comments'!H:H,0)),"")</f>
        <v>Scottsdale</v>
      </c>
      <c r="J421" s="65" t="str">
        <f>IFERROR(INDEX('Docketed Comments'!I:I,MATCH(A421,'Docketed Comments'!H:H,0)),"")</f>
        <v>R3-47</v>
      </c>
      <c r="K421" s="65" t="str">
        <f t="shared" si="13"/>
        <v>✅ On Best Plan</v>
      </c>
      <c r="L421" s="65" t="str">
        <f>IFERROR(INDEX('Docketed Comments'!F:F,MATCH(A421,'Docketed Comments'!H:H,0)),"")</f>
        <v>Opposed</v>
      </c>
      <c r="M421" s="137" t="str">
        <f>IFERROR(HYPERLINK(INDEX('Docketed Comments'!G:G,MATCH(A421,'Docketed Comments'!H:H,0)),"📄 View Docket"),"")</f>
        <v>📄 View Docket</v>
      </c>
      <c r="N421" s="135" t="str">
        <f>IFERROR(INDEX('Docketed Comments'!N:N,MATCH(A421,'Docketed Comments'!H:H,0)),"")</f>
        <v>No</v>
      </c>
      <c r="O421" s="135" t="str">
        <f>IFERROR(INDEX('Docketed Comments'!L:L,MATCH(A421,'Docketed Comments'!H:H,0)),"")</f>
        <v>Yes</v>
      </c>
      <c r="P421" s="136">
        <f t="shared" si="12"/>
        <v>0</v>
      </c>
      <c r="Q421" s="140"/>
      <c r="R421" s="144">
        <v>1</v>
      </c>
    </row>
    <row r="422" spans="1:18" ht="21.95" customHeight="1">
      <c r="A422" s="71" t="s">
        <v>1221</v>
      </c>
      <c r="B422" s="69"/>
      <c r="C422" s="70"/>
      <c r="D422" s="69"/>
      <c r="E422" s="69"/>
      <c r="F422" s="65"/>
      <c r="G422" s="65" t="s">
        <v>5811</v>
      </c>
      <c r="H422" s="65" t="str">
        <f>IFERROR(INDEX('Docketed Comments'!C:C,MATCH(A422,'Docketed Comments'!H:H,0))&amp;", "&amp;INDEX('Docketed Comments'!B:B,MATCH(A422,'Docketed Comments'!H:H,0)),"")</f>
        <v>Aria, Roberts</v>
      </c>
      <c r="I422" s="65" t="str">
        <f>IFERROR(INDEX('Docketed Comments'!D:D,MATCH(A422,'Docketed Comments'!H:H,0)),"")</f>
        <v>Phoenix</v>
      </c>
      <c r="J422" s="65" t="str">
        <f>IFERROR(INDEX('Docketed Comments'!I:I,MATCH(A422,'Docketed Comments'!H:H,0)),"")</f>
        <v>R-XS</v>
      </c>
      <c r="K422" s="65" t="str">
        <f t="shared" si="13"/>
        <v>✅ On Best Plan</v>
      </c>
      <c r="L422" s="65" t="str">
        <f>IFERROR(INDEX('Docketed Comments'!F:F,MATCH(A422,'Docketed Comments'!H:H,0)),"")</f>
        <v>Form letter</v>
      </c>
      <c r="M422" s="137" t="str">
        <f>IFERROR(HYPERLINK(INDEX('Docketed Comments'!G:G,MATCH(A422,'Docketed Comments'!H:H,0)),"📄 View Docket"),"")</f>
        <v>📄 View Docket</v>
      </c>
      <c r="N422" s="135" t="str">
        <f>IFERROR(INDEX('Docketed Comments'!N:N,MATCH(A422,'Docketed Comments'!H:H,0)),"")</f>
        <v>No</v>
      </c>
      <c r="O422" s="135" t="str">
        <f>IFERROR(INDEX('Docketed Comments'!L:L,MATCH(A422,'Docketed Comments'!H:H,0)),"")</f>
        <v>Yes</v>
      </c>
      <c r="P422" s="136">
        <f t="shared" si="12"/>
        <v>0</v>
      </c>
      <c r="Q422" s="140"/>
      <c r="R422" s="144">
        <v>1</v>
      </c>
    </row>
    <row r="423" spans="1:18" ht="21.95" customHeight="1">
      <c r="A423" s="71" t="s">
        <v>1223</v>
      </c>
      <c r="B423" s="69"/>
      <c r="C423" s="70"/>
      <c r="D423" s="69"/>
      <c r="E423" s="69"/>
      <c r="F423" s="65"/>
      <c r="G423" s="65" t="s">
        <v>5811</v>
      </c>
      <c r="H423" s="65" t="str">
        <f>IFERROR(INDEX('Docketed Comments'!C:C,MATCH(A423,'Docketed Comments'!H:H,0))&amp;", "&amp;INDEX('Docketed Comments'!B:B,MATCH(A423,'Docketed Comments'!H:H,0)),"")</f>
        <v>Cathy, Schuit</v>
      </c>
      <c r="I423" s="65" t="str">
        <f>IFERROR(INDEX('Docketed Comments'!D:D,MATCH(A423,'Docketed Comments'!H:H,0)),"")</f>
        <v>Goodyear</v>
      </c>
      <c r="J423" s="65" t="str">
        <f>IFERROR(INDEX('Docketed Comments'!I:I,MATCH(A423,'Docketed Comments'!H:H,0)),"")</f>
        <v>R-2</v>
      </c>
      <c r="K423" s="65" t="str">
        <f t="shared" si="13"/>
        <v>⚠ Frozen Rate</v>
      </c>
      <c r="L423" s="65" t="str">
        <f>IFERROR(INDEX('Docketed Comments'!F:F,MATCH(A423,'Docketed Comments'!H:H,0)),"")</f>
        <v>Opposed</v>
      </c>
      <c r="M423" s="137" t="str">
        <f>IFERROR(HYPERLINK(INDEX('Docketed Comments'!G:G,MATCH(A423,'Docketed Comments'!H:H,0)),"📄 View Docket"),"")</f>
        <v>📄 View Docket</v>
      </c>
      <c r="N423" s="135" t="str">
        <f>IFERROR(INDEX('Docketed Comments'!N:N,MATCH(A423,'Docketed Comments'!H:H,0)),"")</f>
        <v>No</v>
      </c>
      <c r="O423" s="135" t="str">
        <f>IFERROR(INDEX('Docketed Comments'!L:L,MATCH(A423,'Docketed Comments'!H:H,0)),"")</f>
        <v>Frozen Rate</v>
      </c>
      <c r="P423" s="136">
        <f t="shared" si="12"/>
        <v>0</v>
      </c>
      <c r="Q423" s="140"/>
      <c r="R423" s="144">
        <v>1</v>
      </c>
    </row>
    <row r="424" spans="1:18" ht="21.95" customHeight="1">
      <c r="A424" s="71" t="s">
        <v>1226</v>
      </c>
      <c r="B424" s="69"/>
      <c r="C424" s="70"/>
      <c r="D424" s="69"/>
      <c r="E424" s="69"/>
      <c r="F424" s="65"/>
      <c r="G424" s="65" t="s">
        <v>5811</v>
      </c>
      <c r="H424" s="65" t="str">
        <f>IFERROR(INDEX('Docketed Comments'!C:C,MATCH(A424,'Docketed Comments'!H:H,0))&amp;", "&amp;INDEX('Docketed Comments'!B:B,MATCH(A424,'Docketed Comments'!H:H,0)),"")</f>
        <v>Robert, Zinn</v>
      </c>
      <c r="I424" s="65" t="str">
        <f>IFERROR(INDEX('Docketed Comments'!D:D,MATCH(A424,'Docketed Comments'!H:H,0)),"")</f>
        <v>Goodyear</v>
      </c>
      <c r="J424" s="65" t="str">
        <f>IFERROR(INDEX('Docketed Comments'!I:I,MATCH(A424,'Docketed Comments'!H:H,0)),"")</f>
        <v>R3-47</v>
      </c>
      <c r="K424" s="65" t="str">
        <f t="shared" si="13"/>
        <v>✅ On Best Plan</v>
      </c>
      <c r="L424" s="65" t="str">
        <f>IFERROR(INDEX('Docketed Comments'!F:F,MATCH(A424,'Docketed Comments'!H:H,0)),"")</f>
        <v>Extortion/Monopoly</v>
      </c>
      <c r="M424" s="137" t="str">
        <f>IFERROR(HYPERLINK(INDEX('Docketed Comments'!G:G,MATCH(A424,'Docketed Comments'!H:H,0)),"📄 View Docket"),"")</f>
        <v>📄 View Docket</v>
      </c>
      <c r="N424" s="135" t="str">
        <f>IFERROR(INDEX('Docketed Comments'!N:N,MATCH(A424,'Docketed Comments'!H:H,0)),"")</f>
        <v>No</v>
      </c>
      <c r="O424" s="135" t="str">
        <f>IFERROR(INDEX('Docketed Comments'!L:L,MATCH(A424,'Docketed Comments'!H:H,0)),"")</f>
        <v>Yes</v>
      </c>
      <c r="P424" s="136">
        <f t="shared" si="12"/>
        <v>0</v>
      </c>
      <c r="Q424" s="140"/>
      <c r="R424" s="144">
        <v>1</v>
      </c>
    </row>
    <row r="425" spans="1:18" ht="21.95" customHeight="1">
      <c r="A425" s="71" t="s">
        <v>1231</v>
      </c>
      <c r="B425" s="69"/>
      <c r="C425" s="70"/>
      <c r="D425" s="69"/>
      <c r="E425" s="69"/>
      <c r="F425" s="65"/>
      <c r="G425" s="65" t="s">
        <v>5811</v>
      </c>
      <c r="H425" s="65" t="str">
        <f>IFERROR(INDEX('Docketed Comments'!C:C,MATCH(A425,'Docketed Comments'!H:H,0))&amp;", "&amp;INDEX('Docketed Comments'!B:B,MATCH(A425,'Docketed Comments'!H:H,0)),"")</f>
        <v>Phillip, Wolfe</v>
      </c>
      <c r="I425" s="65" t="str">
        <f>IFERROR(INDEX('Docketed Comments'!D:D,MATCH(A425,'Docketed Comments'!H:H,0)),"")</f>
        <v>Yuma</v>
      </c>
      <c r="J425" s="65" t="str">
        <f>IFERROR(INDEX('Docketed Comments'!I:I,MATCH(A425,'Docketed Comments'!H:H,0)),"")</f>
        <v>R-2</v>
      </c>
      <c r="K425" s="65" t="str">
        <f t="shared" si="13"/>
        <v>⚠ Frozen Rate</v>
      </c>
      <c r="L425" s="65" t="str">
        <f>IFERROR(INDEX('Docketed Comments'!F:F,MATCH(A425,'Docketed Comments'!H:H,0)),"")</f>
        <v>Opposed</v>
      </c>
      <c r="M425" s="137" t="str">
        <f>IFERROR(HYPERLINK(INDEX('Docketed Comments'!G:G,MATCH(A425,'Docketed Comments'!H:H,0)),"📄 View Docket"),"")</f>
        <v>📄 View Docket</v>
      </c>
      <c r="N425" s="135" t="str">
        <f>IFERROR(INDEX('Docketed Comments'!N:N,MATCH(A425,'Docketed Comments'!H:H,0)),"")</f>
        <v>No</v>
      </c>
      <c r="O425" s="135" t="str">
        <f>IFERROR(INDEX('Docketed Comments'!L:L,MATCH(A425,'Docketed Comments'!H:H,0)),"")</f>
        <v>Frozen Rate</v>
      </c>
      <c r="P425" s="136">
        <f t="shared" si="12"/>
        <v>0</v>
      </c>
      <c r="Q425" s="140"/>
      <c r="R425" s="144">
        <v>1</v>
      </c>
    </row>
    <row r="426" spans="1:18" ht="21.95" customHeight="1">
      <c r="A426" s="71" t="s">
        <v>1247</v>
      </c>
      <c r="B426" s="69"/>
      <c r="C426" s="70"/>
      <c r="D426" s="69"/>
      <c r="E426" s="69"/>
      <c r="F426" s="65"/>
      <c r="G426" s="65" t="s">
        <v>5811</v>
      </c>
      <c r="H426" s="65" t="str">
        <f>IFERROR(INDEX('Docketed Comments'!C:C,MATCH(A426,'Docketed Comments'!H:H,0))&amp;", "&amp;INDEX('Docketed Comments'!B:B,MATCH(A426,'Docketed Comments'!H:H,0)),"")</f>
        <v>Sangeetha, Ravikumar</v>
      </c>
      <c r="I426" s="65" t="str">
        <f>IFERROR(INDEX('Docketed Comments'!D:D,MATCH(A426,'Docketed Comments'!H:H,0)),"")</f>
        <v>Glendale</v>
      </c>
      <c r="J426" s="65" t="str">
        <f>IFERROR(INDEX('Docketed Comments'!I:I,MATCH(A426,'Docketed Comments'!H:H,0)),"")</f>
        <v>R3-47</v>
      </c>
      <c r="K426" s="65" t="str">
        <f t="shared" si="13"/>
        <v>✅ On Best Plan</v>
      </c>
      <c r="L426" s="65" t="str">
        <f>IFERROR(INDEX('Docketed Comments'!F:F,MATCH(A426,'Docketed Comments'!H:H,0)),"")</f>
        <v>Form letter</v>
      </c>
      <c r="M426" s="137" t="str">
        <f>IFERROR(HYPERLINK(INDEX('Docketed Comments'!G:G,MATCH(A426,'Docketed Comments'!H:H,0)),"📄 View Docket"),"")</f>
        <v>📄 View Docket</v>
      </c>
      <c r="N426" s="135" t="str">
        <f>IFERROR(INDEX('Docketed Comments'!N:N,MATCH(A426,'Docketed Comments'!H:H,0)),"")</f>
        <v>No</v>
      </c>
      <c r="O426" s="135" t="str">
        <f>IFERROR(INDEX('Docketed Comments'!L:L,MATCH(A426,'Docketed Comments'!H:H,0)),"")</f>
        <v>Yes</v>
      </c>
      <c r="P426" s="136">
        <f t="shared" si="12"/>
        <v>0</v>
      </c>
      <c r="Q426" s="140"/>
      <c r="R426" s="144">
        <v>1</v>
      </c>
    </row>
    <row r="427" spans="1:18" ht="21.95" customHeight="1">
      <c r="A427" s="71" t="s">
        <v>1256</v>
      </c>
      <c r="B427" s="69"/>
      <c r="C427" s="70"/>
      <c r="D427" s="69"/>
      <c r="E427" s="69"/>
      <c r="F427" s="65"/>
      <c r="G427" s="65" t="s">
        <v>5811</v>
      </c>
      <c r="H427" s="65" t="str">
        <f>IFERROR(INDEX('Docketed Comments'!C:C,MATCH(A427,'Docketed Comments'!H:H,0))&amp;", "&amp;INDEX('Docketed Comments'!B:B,MATCH(A427,'Docketed Comments'!H:H,0)),"")</f>
        <v>Leigh, Penny</v>
      </c>
      <c r="I427" s="65" t="str">
        <f>IFERROR(INDEX('Docketed Comments'!D:D,MATCH(A427,'Docketed Comments'!H:H,0)),"")</f>
        <v>Phoenix</v>
      </c>
      <c r="J427" s="65" t="str">
        <f>IFERROR(INDEX('Docketed Comments'!I:I,MATCH(A427,'Docketed Comments'!H:H,0)),"")</f>
        <v>R-2</v>
      </c>
      <c r="K427" s="65" t="str">
        <f t="shared" si="13"/>
        <v>⚠ Frozen Rate</v>
      </c>
      <c r="L427" s="65" t="str">
        <f>IFERROR(INDEX('Docketed Comments'!F:F,MATCH(A427,'Docketed Comments'!H:H,0)),"")</f>
        <v>Form letter</v>
      </c>
      <c r="M427" s="137" t="str">
        <f>IFERROR(HYPERLINK(INDEX('Docketed Comments'!G:G,MATCH(A427,'Docketed Comments'!H:H,0)),"📄 View Docket"),"")</f>
        <v>📄 View Docket</v>
      </c>
      <c r="N427" s="135" t="str">
        <f>IFERROR(INDEX('Docketed Comments'!N:N,MATCH(A427,'Docketed Comments'!H:H,0)),"")</f>
        <v>No</v>
      </c>
      <c r="O427" s="135" t="str">
        <f>IFERROR(INDEX('Docketed Comments'!L:L,MATCH(A427,'Docketed Comments'!H:H,0)),"")</f>
        <v>Frozen Rate</v>
      </c>
      <c r="P427" s="136">
        <f t="shared" si="12"/>
        <v>0</v>
      </c>
      <c r="Q427" s="140"/>
      <c r="R427" s="144">
        <v>1</v>
      </c>
    </row>
    <row r="428" spans="1:18" ht="21.95" customHeight="1">
      <c r="A428" s="71" t="s">
        <v>1263</v>
      </c>
      <c r="B428" s="69"/>
      <c r="C428" s="70"/>
      <c r="D428" s="69"/>
      <c r="E428" s="69"/>
      <c r="F428" s="65"/>
      <c r="G428" s="65" t="s">
        <v>5811</v>
      </c>
      <c r="H428" s="65" t="str">
        <f>IFERROR(INDEX('Docketed Comments'!C:C,MATCH(A428,'Docketed Comments'!H:H,0))&amp;", "&amp;INDEX('Docketed Comments'!B:B,MATCH(A428,'Docketed Comments'!H:H,0)),"")</f>
        <v>Ravi, Koripella</v>
      </c>
      <c r="I428" s="65" t="str">
        <f>IFERROR(INDEX('Docketed Comments'!D:D,MATCH(A428,'Docketed Comments'!H:H,0)),"")</f>
        <v>Surprise</v>
      </c>
      <c r="J428" s="65" t="str">
        <f>IFERROR(INDEX('Docketed Comments'!I:I,MATCH(A428,'Docketed Comments'!H:H,0)),"")</f>
        <v>R3-47</v>
      </c>
      <c r="K428" s="65" t="str">
        <f t="shared" si="13"/>
        <v>✅ On Best Plan</v>
      </c>
      <c r="L428" s="65" t="str">
        <f>IFERROR(INDEX('Docketed Comments'!F:F,MATCH(A428,'Docketed Comments'!H:H,0)),"")</f>
        <v>Form letter</v>
      </c>
      <c r="M428" s="137" t="str">
        <f>IFERROR(HYPERLINK(INDEX('Docketed Comments'!G:G,MATCH(A428,'Docketed Comments'!H:H,0)),"📄 View Docket"),"")</f>
        <v>📄 View Docket</v>
      </c>
      <c r="N428" s="135" t="str">
        <f>IFERROR(INDEX('Docketed Comments'!N:N,MATCH(A428,'Docketed Comments'!H:H,0)),"")</f>
        <v>No</v>
      </c>
      <c r="O428" s="135" t="str">
        <f>IFERROR(INDEX('Docketed Comments'!L:L,MATCH(A428,'Docketed Comments'!H:H,0)),"")</f>
        <v>Yes</v>
      </c>
      <c r="P428" s="136">
        <f t="shared" si="12"/>
        <v>0</v>
      </c>
      <c r="Q428" s="140"/>
      <c r="R428" s="144">
        <v>1</v>
      </c>
    </row>
    <row r="429" spans="1:18" ht="21.95" customHeight="1">
      <c r="A429" s="71" t="s">
        <v>1277</v>
      </c>
      <c r="B429" s="69"/>
      <c r="C429" s="70"/>
      <c r="D429" s="69"/>
      <c r="E429" s="69"/>
      <c r="F429" s="65"/>
      <c r="G429" s="65" t="s">
        <v>5811</v>
      </c>
      <c r="H429" s="65" t="str">
        <f>IFERROR(INDEX('Docketed Comments'!C:C,MATCH(A429,'Docketed Comments'!H:H,0))&amp;", "&amp;INDEX('Docketed Comments'!B:B,MATCH(A429,'Docketed Comments'!H:H,0)),"")</f>
        <v>Kiran, Rajan</v>
      </c>
      <c r="I429" s="65" t="str">
        <f>IFERROR(INDEX('Docketed Comments'!D:D,MATCH(A429,'Docketed Comments'!H:H,0)),"")</f>
        <v>Phoenix</v>
      </c>
      <c r="J429" s="65" t="str">
        <f>IFERROR(INDEX('Docketed Comments'!I:I,MATCH(A429,'Docketed Comments'!H:H,0)),"")</f>
        <v>RCPw/RTOUE47</v>
      </c>
      <c r="K429" s="65" t="str">
        <f t="shared" si="13"/>
        <v>⚠ NA</v>
      </c>
      <c r="L429" s="65" t="str">
        <f>IFERROR(INDEX('Docketed Comments'!F:F,MATCH(A429,'Docketed Comments'!H:H,0)),"")</f>
        <v>Form letter</v>
      </c>
      <c r="M429" s="137" t="str">
        <f>IFERROR(HYPERLINK(INDEX('Docketed Comments'!G:G,MATCH(A429,'Docketed Comments'!H:H,0)),"📄 View Docket"),"")</f>
        <v>📄 View Docket</v>
      </c>
      <c r="N429" s="135" t="str">
        <f>IFERROR(INDEX('Docketed Comments'!N:N,MATCH(A429,'Docketed Comments'!H:H,0)),"")</f>
        <v>No</v>
      </c>
      <c r="O429" s="135" t="str">
        <f>IFERROR(INDEX('Docketed Comments'!L:L,MATCH(A429,'Docketed Comments'!H:H,0)),"")</f>
        <v>NA</v>
      </c>
      <c r="P429" s="136">
        <f t="shared" si="12"/>
        <v>0</v>
      </c>
      <c r="Q429" s="140"/>
      <c r="R429" s="144">
        <v>1</v>
      </c>
    </row>
    <row r="430" spans="1:18" ht="21.95" customHeight="1">
      <c r="A430" s="71" t="s">
        <v>1282</v>
      </c>
      <c r="B430" s="69"/>
      <c r="C430" s="70"/>
      <c r="D430" s="69"/>
      <c r="E430" s="69"/>
      <c r="F430" s="65"/>
      <c r="G430" s="65" t="s">
        <v>5811</v>
      </c>
      <c r="H430" s="65" t="str">
        <f>IFERROR(INDEX('Docketed Comments'!C:C,MATCH(A430,'Docketed Comments'!H:H,0))&amp;", "&amp;INDEX('Docketed Comments'!B:B,MATCH(A430,'Docketed Comments'!H:H,0)),"")</f>
        <v>Kimberly, Vanos</v>
      </c>
      <c r="I430" s="65" t="str">
        <f>IFERROR(INDEX('Docketed Comments'!D:D,MATCH(A430,'Docketed Comments'!H:H,0)),"")</f>
        <v>Avondale</v>
      </c>
      <c r="J430" s="65" t="str">
        <f>IFERROR(INDEX('Docketed Comments'!I:I,MATCH(A430,'Docketed Comments'!H:H,0)),"")</f>
        <v>EPR-6w/ET-2</v>
      </c>
      <c r="K430" s="65" t="str">
        <f t="shared" si="13"/>
        <v>⚠ Frozen Rate</v>
      </c>
      <c r="L430" s="65" t="str">
        <f>IFERROR(INDEX('Docketed Comments'!F:F,MATCH(A430,'Docketed Comments'!H:H,0)),"")</f>
        <v>Opposed</v>
      </c>
      <c r="M430" s="137" t="str">
        <f>IFERROR(HYPERLINK(INDEX('Docketed Comments'!G:G,MATCH(A430,'Docketed Comments'!H:H,0)),"📄 View Docket"),"")</f>
        <v>📄 View Docket</v>
      </c>
      <c r="N430" s="135" t="str">
        <f>IFERROR(INDEX('Docketed Comments'!N:N,MATCH(A430,'Docketed Comments'!H:H,0)),"")</f>
        <v>No</v>
      </c>
      <c r="O430" s="135" t="str">
        <f>IFERROR(INDEX('Docketed Comments'!L:L,MATCH(A430,'Docketed Comments'!H:H,0)),"")</f>
        <v>Frozen Rate</v>
      </c>
      <c r="P430" s="136">
        <f t="shared" si="12"/>
        <v>0</v>
      </c>
      <c r="Q430" s="140"/>
      <c r="R430" s="144">
        <v>1</v>
      </c>
    </row>
    <row r="431" spans="1:18" ht="21.95" customHeight="1">
      <c r="A431" s="71" t="s">
        <v>1291</v>
      </c>
      <c r="B431" s="69"/>
      <c r="C431" s="70"/>
      <c r="D431" s="69"/>
      <c r="E431" s="69"/>
      <c r="F431" s="65"/>
      <c r="G431" s="65" t="s">
        <v>5811</v>
      </c>
      <c r="H431" s="65" t="str">
        <f>IFERROR(INDEX('Docketed Comments'!C:C,MATCH(A431,'Docketed Comments'!H:H,0))&amp;", "&amp;INDEX('Docketed Comments'!B:B,MATCH(A431,'Docketed Comments'!H:H,0)),"")</f>
        <v>Ashish, Yadav</v>
      </c>
      <c r="I431" s="65" t="str">
        <f>IFERROR(INDEX('Docketed Comments'!D:D,MATCH(A431,'Docketed Comments'!H:H,0)),"")</f>
        <v>Phoenix</v>
      </c>
      <c r="J431" s="65" t="str">
        <f>IFERROR(INDEX('Docketed Comments'!I:I,MATCH(A431,'Docketed Comments'!H:H,0)),"")</f>
        <v>R3-47</v>
      </c>
      <c r="K431" s="65" t="str">
        <f t="shared" si="13"/>
        <v>✅ On Best Plan</v>
      </c>
      <c r="L431" s="65" t="str">
        <f>IFERROR(INDEX('Docketed Comments'!F:F,MATCH(A431,'Docketed Comments'!H:H,0)),"")</f>
        <v>Form letter</v>
      </c>
      <c r="M431" s="137" t="str">
        <f>IFERROR(HYPERLINK(INDEX('Docketed Comments'!G:G,MATCH(A431,'Docketed Comments'!H:H,0)),"📄 View Docket"),"")</f>
        <v>📄 View Docket</v>
      </c>
      <c r="N431" s="135" t="str">
        <f>IFERROR(INDEX('Docketed Comments'!N:N,MATCH(A431,'Docketed Comments'!H:H,0)),"")</f>
        <v>No</v>
      </c>
      <c r="O431" s="135" t="str">
        <f>IFERROR(INDEX('Docketed Comments'!L:L,MATCH(A431,'Docketed Comments'!H:H,0)),"")</f>
        <v>Yes</v>
      </c>
      <c r="P431" s="136">
        <f t="shared" si="12"/>
        <v>0</v>
      </c>
      <c r="Q431" s="140"/>
      <c r="R431" s="144">
        <v>1</v>
      </c>
    </row>
    <row r="432" spans="1:18" ht="21.95" customHeight="1">
      <c r="A432" s="71" t="s">
        <v>1298</v>
      </c>
      <c r="B432" s="69"/>
      <c r="C432" s="70"/>
      <c r="D432" s="69"/>
      <c r="E432" s="69"/>
      <c r="F432" s="65"/>
      <c r="G432" s="65" t="s">
        <v>5811</v>
      </c>
      <c r="H432" s="65" t="str">
        <f>IFERROR(INDEX('Docketed Comments'!C:C,MATCH(A432,'Docketed Comments'!H:H,0))&amp;", "&amp;INDEX('Docketed Comments'!B:B,MATCH(A432,'Docketed Comments'!H:H,0)),"")</f>
        <v>Bhavanishankar, Chinta</v>
      </c>
      <c r="I432" s="65" t="str">
        <f>IFERROR(INDEX('Docketed Comments'!D:D,MATCH(A432,'Docketed Comments'!H:H,0)),"")</f>
        <v>Surprise</v>
      </c>
      <c r="J432" s="65" t="str">
        <f>IFERROR(INDEX('Docketed Comments'!I:I,MATCH(A432,'Docketed Comments'!H:H,0)),"")</f>
        <v>R3-47</v>
      </c>
      <c r="K432" s="65" t="str">
        <f t="shared" si="13"/>
        <v>✅ On Best Plan</v>
      </c>
      <c r="L432" s="65" t="str">
        <f>IFERROR(INDEX('Docketed Comments'!F:F,MATCH(A432,'Docketed Comments'!H:H,0)),"")</f>
        <v>Opposed</v>
      </c>
      <c r="M432" s="137" t="str">
        <f>IFERROR(HYPERLINK(INDEX('Docketed Comments'!G:G,MATCH(A432,'Docketed Comments'!H:H,0)),"📄 View Docket"),"")</f>
        <v>📄 View Docket</v>
      </c>
      <c r="N432" s="135" t="str">
        <f>IFERROR(INDEX('Docketed Comments'!N:N,MATCH(A432,'Docketed Comments'!H:H,0)),"")</f>
        <v>No</v>
      </c>
      <c r="O432" s="135" t="str">
        <f>IFERROR(INDEX('Docketed Comments'!L:L,MATCH(A432,'Docketed Comments'!H:H,0)),"")</f>
        <v>Yes</v>
      </c>
      <c r="P432" s="136">
        <f t="shared" si="12"/>
        <v>0</v>
      </c>
      <c r="Q432" s="140"/>
      <c r="R432" s="144">
        <v>1</v>
      </c>
    </row>
    <row r="433" spans="1:18" ht="21.95" customHeight="1">
      <c r="A433" s="71" t="s">
        <v>1303</v>
      </c>
      <c r="B433" s="69"/>
      <c r="C433" s="70"/>
      <c r="D433" s="69"/>
      <c r="E433" s="69"/>
      <c r="F433" s="65"/>
      <c r="G433" s="65" t="s">
        <v>5811</v>
      </c>
      <c r="H433" s="65" t="str">
        <f>IFERROR(INDEX('Docketed Comments'!C:C,MATCH(A433,'Docketed Comments'!H:H,0))&amp;", "&amp;INDEX('Docketed Comments'!B:B,MATCH(A433,'Docketed Comments'!H:H,0)),"")</f>
        <v>Justin, Paul</v>
      </c>
      <c r="I433" s="65" t="str">
        <f>IFERROR(INDEX('Docketed Comments'!D:D,MATCH(A433,'Docketed Comments'!H:H,0)),"")</f>
        <v>Phoenix</v>
      </c>
      <c r="J433" s="65" t="str">
        <f>IFERROR(INDEX('Docketed Comments'!I:I,MATCH(A433,'Docketed Comments'!H:H,0)),"")</f>
        <v>RCPw/R3-47</v>
      </c>
      <c r="K433" s="65" t="str">
        <f t="shared" si="13"/>
        <v>✅ On Best Plan</v>
      </c>
      <c r="L433" s="65" t="str">
        <f>IFERROR(INDEX('Docketed Comments'!F:F,MATCH(A433,'Docketed Comments'!H:H,0)),"")</f>
        <v>Opposed</v>
      </c>
      <c r="M433" s="137" t="str">
        <f>IFERROR(HYPERLINK(INDEX('Docketed Comments'!G:G,MATCH(A433,'Docketed Comments'!H:H,0)),"📄 View Docket"),"")</f>
        <v>📄 View Docket</v>
      </c>
      <c r="N433" s="135" t="str">
        <f>IFERROR(INDEX('Docketed Comments'!N:N,MATCH(A433,'Docketed Comments'!H:H,0)),"")</f>
        <v>No</v>
      </c>
      <c r="O433" s="135" t="str">
        <f>IFERROR(INDEX('Docketed Comments'!L:L,MATCH(A433,'Docketed Comments'!H:H,0)),"")</f>
        <v>Yes</v>
      </c>
      <c r="P433" s="136">
        <f t="shared" si="12"/>
        <v>0</v>
      </c>
      <c r="Q433" s="140"/>
      <c r="R433" s="144">
        <v>1</v>
      </c>
    </row>
    <row r="434" spans="1:18" ht="21.95" customHeight="1">
      <c r="A434" s="71" t="s">
        <v>1306</v>
      </c>
      <c r="B434" s="69"/>
      <c r="C434" s="70"/>
      <c r="D434" s="69"/>
      <c r="E434" s="69"/>
      <c r="F434" s="65"/>
      <c r="G434" s="65" t="s">
        <v>5811</v>
      </c>
      <c r="H434" s="65" t="str">
        <f>IFERROR(INDEX('Docketed Comments'!C:C,MATCH(A434,'Docketed Comments'!H:H,0))&amp;", "&amp;INDEX('Docketed Comments'!B:B,MATCH(A434,'Docketed Comments'!H:H,0)),"")</f>
        <v>Kirsten, Fugiel</v>
      </c>
      <c r="I434" s="65" t="str">
        <f>IFERROR(INDEX('Docketed Comments'!D:D,MATCH(A434,'Docketed Comments'!H:H,0)),"")</f>
        <v>Phoenix</v>
      </c>
      <c r="J434" s="65" t="str">
        <f>IFERROR(INDEX('Docketed Comments'!I:I,MATCH(A434,'Docketed Comments'!H:H,0)),"")</f>
        <v>RCPw/R3-47</v>
      </c>
      <c r="K434" s="65" t="str">
        <f t="shared" si="13"/>
        <v>✅ On Best Plan</v>
      </c>
      <c r="L434" s="65" t="str">
        <f>IFERROR(INDEX('Docketed Comments'!F:F,MATCH(A434,'Docketed Comments'!H:H,0)),"")</f>
        <v>Opposed</v>
      </c>
      <c r="M434" s="137" t="str">
        <f>IFERROR(HYPERLINK(INDEX('Docketed Comments'!G:G,MATCH(A434,'Docketed Comments'!H:H,0)),"📄 View Docket"),"")</f>
        <v>📄 View Docket</v>
      </c>
      <c r="N434" s="135" t="str">
        <f>IFERROR(INDEX('Docketed Comments'!N:N,MATCH(A434,'Docketed Comments'!H:H,0)),"")</f>
        <v>No</v>
      </c>
      <c r="O434" s="135" t="str">
        <f>IFERROR(INDEX('Docketed Comments'!L:L,MATCH(A434,'Docketed Comments'!H:H,0)),"")</f>
        <v>Yes</v>
      </c>
      <c r="P434" s="136">
        <f t="shared" si="12"/>
        <v>0</v>
      </c>
      <c r="Q434" s="140"/>
      <c r="R434" s="144">
        <v>1</v>
      </c>
    </row>
    <row r="435" spans="1:18" ht="21.95" customHeight="1">
      <c r="A435" s="71" t="s">
        <v>1309</v>
      </c>
      <c r="B435" s="69"/>
      <c r="C435" s="70"/>
      <c r="D435" s="69"/>
      <c r="E435" s="69"/>
      <c r="F435" s="65"/>
      <c r="G435" s="65" t="s">
        <v>5811</v>
      </c>
      <c r="H435" s="65" t="str">
        <f>IFERROR(INDEX('Docketed Comments'!C:C,MATCH(A435,'Docketed Comments'!H:H,0))&amp;", "&amp;INDEX('Docketed Comments'!B:B,MATCH(A435,'Docketed Comments'!H:H,0)),"")</f>
        <v>Randall, Brower</v>
      </c>
      <c r="I435" s="65" t="str">
        <f>IFERROR(INDEX('Docketed Comments'!D:D,MATCH(A435,'Docketed Comments'!H:H,0)),"")</f>
        <v>Goodyear</v>
      </c>
      <c r="J435" s="65" t="str">
        <f>IFERROR(INDEX('Docketed Comments'!I:I,MATCH(A435,'Docketed Comments'!H:H,0)),"")</f>
        <v>EPR-6w/E-12</v>
      </c>
      <c r="K435" s="65" t="str">
        <f t="shared" si="13"/>
        <v>⚠ Frozen Rate</v>
      </c>
      <c r="L435" s="65" t="str">
        <f>IFERROR(INDEX('Docketed Comments'!F:F,MATCH(A435,'Docketed Comments'!H:H,0)),"")</f>
        <v>Opposed</v>
      </c>
      <c r="M435" s="137" t="str">
        <f>IFERROR(HYPERLINK(INDEX('Docketed Comments'!G:G,MATCH(A435,'Docketed Comments'!H:H,0)),"📄 View Docket"),"")</f>
        <v>📄 View Docket</v>
      </c>
      <c r="N435" s="135" t="str">
        <f>IFERROR(INDEX('Docketed Comments'!N:N,MATCH(A435,'Docketed Comments'!H:H,0)),"")</f>
        <v>No</v>
      </c>
      <c r="O435" s="135" t="str">
        <f>IFERROR(INDEX('Docketed Comments'!L:L,MATCH(A435,'Docketed Comments'!H:H,0)),"")</f>
        <v>Frozen Rate</v>
      </c>
      <c r="P435" s="136">
        <f t="shared" si="12"/>
        <v>0</v>
      </c>
      <c r="Q435" s="140"/>
      <c r="R435" s="144">
        <v>1</v>
      </c>
    </row>
    <row r="436" spans="1:18" ht="21.95" customHeight="1">
      <c r="A436" s="71" t="s">
        <v>1311</v>
      </c>
      <c r="B436" s="69"/>
      <c r="C436" s="70"/>
      <c r="D436" s="69"/>
      <c r="E436" s="69"/>
      <c r="F436" s="65"/>
      <c r="G436" s="65" t="s">
        <v>5811</v>
      </c>
      <c r="H436" s="65" t="str">
        <f>IFERROR(INDEX('Docketed Comments'!C:C,MATCH(A436,'Docketed Comments'!H:H,0))&amp;", "&amp;INDEX('Docketed Comments'!B:B,MATCH(A436,'Docketed Comments'!H:H,0)),"")</f>
        <v>Dale, Willems</v>
      </c>
      <c r="I436" s="65" t="str">
        <f>IFERROR(INDEX('Docketed Comments'!D:D,MATCH(A436,'Docketed Comments'!H:H,0)),"")</f>
        <v>Casa Grande</v>
      </c>
      <c r="J436" s="65" t="str">
        <f>IFERROR(INDEX('Docketed Comments'!I:I,MATCH(A436,'Docketed Comments'!H:H,0)),"")</f>
        <v>R-BASIC</v>
      </c>
      <c r="K436" s="65" t="str">
        <f t="shared" si="13"/>
        <v>✅ On Best Plan</v>
      </c>
      <c r="L436" s="65" t="str">
        <f>IFERROR(INDEX('Docketed Comments'!F:F,MATCH(A436,'Docketed Comments'!H:H,0)),"")</f>
        <v>Opposed</v>
      </c>
      <c r="M436" s="137" t="str">
        <f>IFERROR(HYPERLINK(INDEX('Docketed Comments'!G:G,MATCH(A436,'Docketed Comments'!H:H,0)),"📄 View Docket"),"")</f>
        <v>📄 View Docket</v>
      </c>
      <c r="N436" s="135" t="str">
        <f>IFERROR(INDEX('Docketed Comments'!N:N,MATCH(A436,'Docketed Comments'!H:H,0)),"")</f>
        <v>No</v>
      </c>
      <c r="O436" s="135" t="str">
        <f>IFERROR(INDEX('Docketed Comments'!L:L,MATCH(A436,'Docketed Comments'!H:H,0)),"")</f>
        <v>Yes</v>
      </c>
      <c r="P436" s="136">
        <f t="shared" si="12"/>
        <v>0</v>
      </c>
      <c r="Q436" s="140"/>
      <c r="R436" s="144">
        <v>1</v>
      </c>
    </row>
    <row r="437" spans="1:18" ht="21.95" customHeight="1">
      <c r="A437" s="71" t="s">
        <v>1318</v>
      </c>
      <c r="B437" s="69"/>
      <c r="C437" s="70"/>
      <c r="D437" s="69"/>
      <c r="E437" s="69"/>
      <c r="F437" s="65"/>
      <c r="G437" s="65" t="s">
        <v>5811</v>
      </c>
      <c r="H437" s="65" t="str">
        <f>IFERROR(INDEX('Docketed Comments'!C:C,MATCH(A437,'Docketed Comments'!H:H,0))&amp;", "&amp;INDEX('Docketed Comments'!B:B,MATCH(A437,'Docketed Comments'!H:H,0)),"")</f>
        <v>Pradeep, Anna</v>
      </c>
      <c r="I437" s="65" t="str">
        <f>IFERROR(INDEX('Docketed Comments'!D:D,MATCH(A437,'Docketed Comments'!H:H,0)),"")</f>
        <v>Phoenix</v>
      </c>
      <c r="J437" s="65" t="str">
        <f>IFERROR(INDEX('Docketed Comments'!I:I,MATCH(A437,'Docketed Comments'!H:H,0)),"")</f>
        <v>R-XS</v>
      </c>
      <c r="K437" s="65" t="str">
        <f t="shared" si="13"/>
        <v>✅ On Best Plan</v>
      </c>
      <c r="L437" s="65" t="str">
        <f>IFERROR(INDEX('Docketed Comments'!F:F,MATCH(A437,'Docketed Comments'!H:H,0)),"")</f>
        <v>Opposed</v>
      </c>
      <c r="M437" s="137" t="str">
        <f>IFERROR(HYPERLINK(INDEX('Docketed Comments'!G:G,MATCH(A437,'Docketed Comments'!H:H,0)),"📄 View Docket"),"")</f>
        <v>📄 View Docket</v>
      </c>
      <c r="N437" s="135" t="str">
        <f>IFERROR(INDEX('Docketed Comments'!N:N,MATCH(A437,'Docketed Comments'!H:H,0)),"")</f>
        <v>No</v>
      </c>
      <c r="O437" s="135" t="str">
        <f>IFERROR(INDEX('Docketed Comments'!L:L,MATCH(A437,'Docketed Comments'!H:H,0)),"")</f>
        <v>Yes</v>
      </c>
      <c r="P437" s="136">
        <f t="shared" si="12"/>
        <v>0</v>
      </c>
      <c r="Q437" s="140"/>
      <c r="R437" s="144">
        <v>1</v>
      </c>
    </row>
    <row r="438" spans="1:18" ht="21.95" customHeight="1">
      <c r="A438" s="71" t="s">
        <v>1322</v>
      </c>
      <c r="B438" s="69"/>
      <c r="C438" s="70"/>
      <c r="D438" s="69"/>
      <c r="E438" s="69"/>
      <c r="F438" s="65"/>
      <c r="G438" s="65" t="s">
        <v>5811</v>
      </c>
      <c r="H438" s="65" t="str">
        <f>IFERROR(INDEX('Docketed Comments'!C:C,MATCH(A438,'Docketed Comments'!H:H,0))&amp;", "&amp;INDEX('Docketed Comments'!B:B,MATCH(A438,'Docketed Comments'!H:H,0)),"")</f>
        <v>Renee, Rivarde</v>
      </c>
      <c r="I438" s="65" t="str">
        <f>IFERROR(INDEX('Docketed Comments'!D:D,MATCH(A438,'Docketed Comments'!H:H,0)),"")</f>
        <v>Goodyear</v>
      </c>
      <c r="J438" s="65" t="str">
        <f>IFERROR(INDEX('Docketed Comments'!I:I,MATCH(A438,'Docketed Comments'!H:H,0)),"")</f>
        <v>R-XS</v>
      </c>
      <c r="K438" s="65" t="str">
        <f t="shared" si="13"/>
        <v>✅ On Best Plan</v>
      </c>
      <c r="L438" s="65" t="str">
        <f>IFERROR(INDEX('Docketed Comments'!F:F,MATCH(A438,'Docketed Comments'!H:H,0)),"")</f>
        <v>Opposed</v>
      </c>
      <c r="M438" s="137" t="str">
        <f>IFERROR(HYPERLINK(INDEX('Docketed Comments'!G:G,MATCH(A438,'Docketed Comments'!H:H,0)),"📄 View Docket"),"")</f>
        <v>📄 View Docket</v>
      </c>
      <c r="N438" s="135" t="str">
        <f>IFERROR(INDEX('Docketed Comments'!N:N,MATCH(A438,'Docketed Comments'!H:H,0)),"")</f>
        <v>No</v>
      </c>
      <c r="O438" s="135" t="str">
        <f>IFERROR(INDEX('Docketed Comments'!L:L,MATCH(A438,'Docketed Comments'!H:H,0)),"")</f>
        <v>Yes</v>
      </c>
      <c r="P438" s="136">
        <f t="shared" si="12"/>
        <v>0</v>
      </c>
      <c r="Q438" s="140"/>
      <c r="R438" s="144">
        <v>1</v>
      </c>
    </row>
    <row r="439" spans="1:18" ht="21.95" customHeight="1">
      <c r="A439" s="71" t="s">
        <v>1331</v>
      </c>
      <c r="B439" s="69"/>
      <c r="C439" s="70"/>
      <c r="D439" s="69"/>
      <c r="E439" s="69"/>
      <c r="F439" s="65"/>
      <c r="G439" s="65" t="s">
        <v>5811</v>
      </c>
      <c r="H439" s="65" t="str">
        <f>IFERROR(INDEX('Docketed Comments'!C:C,MATCH(A439,'Docketed Comments'!H:H,0))&amp;", "&amp;INDEX('Docketed Comments'!B:B,MATCH(A439,'Docketed Comments'!H:H,0)),"")</f>
        <v>Patti, Boersma</v>
      </c>
      <c r="I439" s="65" t="str">
        <f>IFERROR(INDEX('Docketed Comments'!D:D,MATCH(A439,'Docketed Comments'!H:H,0)),"")</f>
        <v>Goodyear</v>
      </c>
      <c r="J439" s="65" t="str">
        <f>IFERROR(INDEX('Docketed Comments'!I:I,MATCH(A439,'Docketed Comments'!H:H,0)),"")</f>
        <v>RCPw/R3-47</v>
      </c>
      <c r="K439" s="65" t="str">
        <f t="shared" si="13"/>
        <v>✅ On Best Plan</v>
      </c>
      <c r="L439" s="65" t="str">
        <f>IFERROR(INDEX('Docketed Comments'!F:F,MATCH(A439,'Docketed Comments'!H:H,0)),"")</f>
        <v>Opposed</v>
      </c>
      <c r="M439" s="137" t="str">
        <f>IFERROR(HYPERLINK(INDEX('Docketed Comments'!G:G,MATCH(A439,'Docketed Comments'!H:H,0)),"📄 View Docket"),"")</f>
        <v>📄 View Docket</v>
      </c>
      <c r="N439" s="135" t="str">
        <f>IFERROR(INDEX('Docketed Comments'!N:N,MATCH(A439,'Docketed Comments'!H:H,0)),"")</f>
        <v>No</v>
      </c>
      <c r="O439" s="135" t="str">
        <f>IFERROR(INDEX('Docketed Comments'!L:L,MATCH(A439,'Docketed Comments'!H:H,0)),"")</f>
        <v>Yes</v>
      </c>
      <c r="P439" s="136">
        <f t="shared" si="12"/>
        <v>0</v>
      </c>
      <c r="Q439" s="140"/>
      <c r="R439" s="144">
        <v>1</v>
      </c>
    </row>
    <row r="440" spans="1:18" ht="21.95" customHeight="1">
      <c r="A440" s="71" t="s">
        <v>1338</v>
      </c>
      <c r="B440" s="69"/>
      <c r="C440" s="70"/>
      <c r="D440" s="69"/>
      <c r="E440" s="69"/>
      <c r="F440" s="65"/>
      <c r="G440" s="65" t="s">
        <v>5811</v>
      </c>
      <c r="H440" s="65" t="str">
        <f>IFERROR(INDEX('Docketed Comments'!C:C,MATCH(A440,'Docketed Comments'!H:H,0))&amp;", "&amp;INDEX('Docketed Comments'!B:B,MATCH(A440,'Docketed Comments'!H:H,0)),"")</f>
        <v>Najaraj, Pandit</v>
      </c>
      <c r="I440" s="65" t="str">
        <f>IFERROR(INDEX('Docketed Comments'!D:D,MATCH(A440,'Docketed Comments'!H:H,0)),"")</f>
        <v>Peoria</v>
      </c>
      <c r="J440" s="65" t="str">
        <f>IFERROR(INDEX('Docketed Comments'!I:I,MATCH(A440,'Docketed Comments'!H:H,0)),"")</f>
        <v>R3-47</v>
      </c>
      <c r="K440" s="65" t="str">
        <f t="shared" si="13"/>
        <v>✅ On Best Plan</v>
      </c>
      <c r="L440" s="65" t="str">
        <f>IFERROR(INDEX('Docketed Comments'!F:F,MATCH(A440,'Docketed Comments'!H:H,0)),"")</f>
        <v>Form letter</v>
      </c>
      <c r="M440" s="137" t="str">
        <f>IFERROR(HYPERLINK(INDEX('Docketed Comments'!G:G,MATCH(A440,'Docketed Comments'!H:H,0)),"📄 View Docket"),"")</f>
        <v>📄 View Docket</v>
      </c>
      <c r="N440" s="135" t="str">
        <f>IFERROR(INDEX('Docketed Comments'!N:N,MATCH(A440,'Docketed Comments'!H:H,0)),"")</f>
        <v>No</v>
      </c>
      <c r="O440" s="135" t="str">
        <f>IFERROR(INDEX('Docketed Comments'!L:L,MATCH(A440,'Docketed Comments'!H:H,0)),"")</f>
        <v>Yes</v>
      </c>
      <c r="P440" s="136">
        <f t="shared" si="12"/>
        <v>0</v>
      </c>
      <c r="Q440" s="140"/>
      <c r="R440" s="144">
        <v>1</v>
      </c>
    </row>
    <row r="441" spans="1:18" ht="21.95" customHeight="1">
      <c r="A441" s="71" t="s">
        <v>1345</v>
      </c>
      <c r="B441" s="69"/>
      <c r="C441" s="70"/>
      <c r="D441" s="69"/>
      <c r="E441" s="69"/>
      <c r="F441" s="65"/>
      <c r="G441" s="65" t="s">
        <v>5811</v>
      </c>
      <c r="H441" s="65" t="str">
        <f>IFERROR(INDEX('Docketed Comments'!C:C,MATCH(A441,'Docketed Comments'!H:H,0))&amp;", "&amp;INDEX('Docketed Comments'!B:B,MATCH(A441,'Docketed Comments'!H:H,0)),"")</f>
        <v>Evan, Mallory</v>
      </c>
      <c r="I441" s="65" t="str">
        <f>IFERROR(INDEX('Docketed Comments'!D:D,MATCH(A441,'Docketed Comments'!H:H,0)),"")</f>
        <v>Peoria</v>
      </c>
      <c r="J441" s="65" t="str">
        <f>IFERROR(INDEX('Docketed Comments'!I:I,MATCH(A441,'Docketed Comments'!H:H,0)),"")</f>
        <v>RCPw/R-2</v>
      </c>
      <c r="K441" s="65" t="str">
        <f t="shared" si="13"/>
        <v>⚠ Frozen Rate</v>
      </c>
      <c r="L441" s="65" t="str">
        <f>IFERROR(INDEX('Docketed Comments'!F:F,MATCH(A441,'Docketed Comments'!H:H,0)),"")</f>
        <v>Opposed</v>
      </c>
      <c r="M441" s="137" t="str">
        <f>IFERROR(HYPERLINK(INDEX('Docketed Comments'!G:G,MATCH(A441,'Docketed Comments'!H:H,0)),"📄 View Docket"),"")</f>
        <v>📄 View Docket</v>
      </c>
      <c r="N441" s="135" t="str">
        <f>IFERROR(INDEX('Docketed Comments'!N:N,MATCH(A441,'Docketed Comments'!H:H,0)),"")</f>
        <v>No</v>
      </c>
      <c r="O441" s="135" t="str">
        <f>IFERROR(INDEX('Docketed Comments'!L:L,MATCH(A441,'Docketed Comments'!H:H,0)),"")</f>
        <v>Frozen Rate</v>
      </c>
      <c r="P441" s="136">
        <f t="shared" si="12"/>
        <v>0</v>
      </c>
      <c r="Q441" s="140"/>
      <c r="R441" s="144">
        <v>1</v>
      </c>
    </row>
    <row r="442" spans="1:18" ht="21.95" customHeight="1">
      <c r="A442" s="71" t="s">
        <v>1357</v>
      </c>
      <c r="B442" s="69"/>
      <c r="C442" s="70"/>
      <c r="D442" s="69"/>
      <c r="E442" s="69"/>
      <c r="F442" s="65"/>
      <c r="G442" s="65" t="s">
        <v>5811</v>
      </c>
      <c r="H442" s="65" t="str">
        <f>IFERROR(INDEX('Docketed Comments'!C:C,MATCH(A442,'Docketed Comments'!H:H,0))&amp;", "&amp;INDEX('Docketed Comments'!B:B,MATCH(A442,'Docketed Comments'!H:H,0)),"")</f>
        <v>Partha, Mahato</v>
      </c>
      <c r="I442" s="65" t="str">
        <f>IFERROR(INDEX('Docketed Comments'!D:D,MATCH(A442,'Docketed Comments'!H:H,0)),"")</f>
        <v>Phoenix</v>
      </c>
      <c r="J442" s="65" t="str">
        <f>IFERROR(INDEX('Docketed Comments'!I:I,MATCH(A442,'Docketed Comments'!H:H,0)),"")</f>
        <v>REV47</v>
      </c>
      <c r="K442" s="65" t="str">
        <f t="shared" si="13"/>
        <v>✅ On Best Plan</v>
      </c>
      <c r="L442" s="65" t="str">
        <f>IFERROR(INDEX('Docketed Comments'!F:F,MATCH(A442,'Docketed Comments'!H:H,0)),"")</f>
        <v>Opposed</v>
      </c>
      <c r="M442" s="137" t="str">
        <f>IFERROR(HYPERLINK(INDEX('Docketed Comments'!G:G,MATCH(A442,'Docketed Comments'!H:H,0)),"📄 View Docket"),"")</f>
        <v>📄 View Docket</v>
      </c>
      <c r="N442" s="135" t="str">
        <f>IFERROR(INDEX('Docketed Comments'!N:N,MATCH(A442,'Docketed Comments'!H:H,0)),"")</f>
        <v>No</v>
      </c>
      <c r="O442" s="135" t="str">
        <f>IFERROR(INDEX('Docketed Comments'!L:L,MATCH(A442,'Docketed Comments'!H:H,0)),"")</f>
        <v>Yes</v>
      </c>
      <c r="P442" s="136">
        <f t="shared" si="12"/>
        <v>0</v>
      </c>
      <c r="Q442" s="140"/>
      <c r="R442" s="144">
        <v>1</v>
      </c>
    </row>
    <row r="443" spans="1:18" ht="21.95" customHeight="1">
      <c r="A443" s="71" t="s">
        <v>1360</v>
      </c>
      <c r="B443" s="69"/>
      <c r="C443" s="70"/>
      <c r="D443" s="69"/>
      <c r="E443" s="69"/>
      <c r="F443" s="65"/>
      <c r="G443" s="65" t="s">
        <v>5811</v>
      </c>
      <c r="H443" s="65" t="str">
        <f>IFERROR(INDEX('Docketed Comments'!C:C,MATCH(A443,'Docketed Comments'!H:H,0))&amp;", "&amp;INDEX('Docketed Comments'!B:B,MATCH(A443,'Docketed Comments'!H:H,0)),"")</f>
        <v>Cameron, Klug</v>
      </c>
      <c r="I443" s="65" t="str">
        <f>IFERROR(INDEX('Docketed Comments'!D:D,MATCH(A443,'Docketed Comments'!H:H,0)),"")</f>
        <v>Phoenix</v>
      </c>
      <c r="J443" s="65" t="str">
        <f>IFERROR(INDEX('Docketed Comments'!I:I,MATCH(A443,'Docketed Comments'!H:H,0)),"")</f>
        <v>R3-47</v>
      </c>
      <c r="K443" s="65" t="str">
        <f t="shared" si="13"/>
        <v>✅ On Best Plan</v>
      </c>
      <c r="L443" s="65" t="str">
        <f>IFERROR(INDEX('Docketed Comments'!F:F,MATCH(A443,'Docketed Comments'!H:H,0)),"")</f>
        <v>Form letter</v>
      </c>
      <c r="M443" s="137" t="str">
        <f>IFERROR(HYPERLINK(INDEX('Docketed Comments'!G:G,MATCH(A443,'Docketed Comments'!H:H,0)),"📄 View Docket"),"")</f>
        <v>📄 View Docket</v>
      </c>
      <c r="N443" s="135" t="str">
        <f>IFERROR(INDEX('Docketed Comments'!N:N,MATCH(A443,'Docketed Comments'!H:H,0)),"")</f>
        <v>No</v>
      </c>
      <c r="O443" s="135" t="str">
        <f>IFERROR(INDEX('Docketed Comments'!L:L,MATCH(A443,'Docketed Comments'!H:H,0)),"")</f>
        <v>Yes</v>
      </c>
      <c r="P443" s="136">
        <f t="shared" si="12"/>
        <v>0</v>
      </c>
      <c r="Q443" s="140"/>
      <c r="R443" s="144">
        <v>1</v>
      </c>
    </row>
    <row r="444" spans="1:18" ht="21.95" customHeight="1">
      <c r="A444" s="71" t="s">
        <v>1379</v>
      </c>
      <c r="B444" s="69"/>
      <c r="C444" s="70"/>
      <c r="D444" s="69"/>
      <c r="E444" s="69"/>
      <c r="F444" s="65"/>
      <c r="G444" s="65" t="s">
        <v>5811</v>
      </c>
      <c r="H444" s="65" t="str">
        <f>IFERROR(INDEX('Docketed Comments'!C:C,MATCH(A444,'Docketed Comments'!H:H,0))&amp;", "&amp;INDEX('Docketed Comments'!B:B,MATCH(A444,'Docketed Comments'!H:H,0)),"")</f>
        <v>Harinatha, Bedadala</v>
      </c>
      <c r="I444" s="65" t="str">
        <f>IFERROR(INDEX('Docketed Comments'!D:D,MATCH(A444,'Docketed Comments'!H:H,0)),"")</f>
        <v>Peoria</v>
      </c>
      <c r="J444" s="65" t="str">
        <f>IFERROR(INDEX('Docketed Comments'!I:I,MATCH(A444,'Docketed Comments'!H:H,0)),"")</f>
        <v>R-XS</v>
      </c>
      <c r="K444" s="65" t="str">
        <f t="shared" si="13"/>
        <v>✅ On Best Plan</v>
      </c>
      <c r="L444" s="65" t="str">
        <f>IFERROR(INDEX('Docketed Comments'!F:F,MATCH(A444,'Docketed Comments'!H:H,0)),"")</f>
        <v>Form letter</v>
      </c>
      <c r="M444" s="137" t="str">
        <f>IFERROR(HYPERLINK(INDEX('Docketed Comments'!G:G,MATCH(A444,'Docketed Comments'!H:H,0)),"📄 View Docket"),"")</f>
        <v>📄 View Docket</v>
      </c>
      <c r="N444" s="135" t="str">
        <f>IFERROR(INDEX('Docketed Comments'!N:N,MATCH(A444,'Docketed Comments'!H:H,0)),"")</f>
        <v>No</v>
      </c>
      <c r="O444" s="135" t="str">
        <f>IFERROR(INDEX('Docketed Comments'!L:L,MATCH(A444,'Docketed Comments'!H:H,0)),"")</f>
        <v>Yes</v>
      </c>
      <c r="P444" s="136">
        <f t="shared" si="12"/>
        <v>0</v>
      </c>
      <c r="Q444" s="140"/>
      <c r="R444" s="144">
        <v>1</v>
      </c>
    </row>
    <row r="445" spans="1:18" ht="21.95" customHeight="1">
      <c r="A445" s="71" t="s">
        <v>1425</v>
      </c>
      <c r="B445" s="69"/>
      <c r="C445" s="70"/>
      <c r="D445" s="69"/>
      <c r="E445" s="69"/>
      <c r="F445" s="65"/>
      <c r="G445" s="65" t="s">
        <v>5811</v>
      </c>
      <c r="H445" s="65" t="str">
        <f>IFERROR(INDEX('Docketed Comments'!C:C,MATCH(A445,'Docketed Comments'!H:H,0))&amp;", "&amp;INDEX('Docketed Comments'!B:B,MATCH(A445,'Docketed Comments'!H:H,0)),"")</f>
        <v>Fred &amp; Carolyn, Lukson</v>
      </c>
      <c r="I445" s="65" t="str">
        <f>IFERROR(INDEX('Docketed Comments'!D:D,MATCH(A445,'Docketed Comments'!H:H,0)),"")</f>
        <v>Goodyear</v>
      </c>
      <c r="J445" s="65" t="str">
        <f>IFERROR(INDEX('Docketed Comments'!I:I,MATCH(A445,'Docketed Comments'!H:H,0)),"")</f>
        <v>EPR-6w/E-12</v>
      </c>
      <c r="K445" s="65" t="str">
        <f t="shared" si="13"/>
        <v>⚠ Frozen Rate</v>
      </c>
      <c r="L445" s="65" t="str">
        <f>IFERROR(INDEX('Docketed Comments'!F:F,MATCH(A445,'Docketed Comments'!H:H,0)),"")</f>
        <v>Retired/Fixed income</v>
      </c>
      <c r="M445" s="137" t="str">
        <f>IFERROR(HYPERLINK(INDEX('Docketed Comments'!G:G,MATCH(A445,'Docketed Comments'!H:H,0)),"📄 View Docket"),"")</f>
        <v>📄 View Docket</v>
      </c>
      <c r="N445" s="135" t="str">
        <f>IFERROR(INDEX('Docketed Comments'!N:N,MATCH(A445,'Docketed Comments'!H:H,0)),"")</f>
        <v>No</v>
      </c>
      <c r="O445" s="135" t="str">
        <f>IFERROR(INDEX('Docketed Comments'!L:L,MATCH(A445,'Docketed Comments'!H:H,0)),"")</f>
        <v>Frozen Rate</v>
      </c>
      <c r="P445" s="136">
        <f t="shared" si="12"/>
        <v>0</v>
      </c>
      <c r="Q445" s="140"/>
      <c r="R445" s="144">
        <v>1</v>
      </c>
    </row>
    <row r="446" spans="1:18" ht="21.95" customHeight="1">
      <c r="A446" s="71" t="s">
        <v>1428</v>
      </c>
      <c r="B446" s="69"/>
      <c r="C446" s="70"/>
      <c r="D446" s="69"/>
      <c r="E446" s="69"/>
      <c r="F446" s="65"/>
      <c r="G446" s="65" t="s">
        <v>5811</v>
      </c>
      <c r="H446" s="65" t="str">
        <f>IFERROR(INDEX('Docketed Comments'!C:C,MATCH(A446,'Docketed Comments'!H:H,0))&amp;", "&amp;INDEX('Docketed Comments'!B:B,MATCH(A446,'Docketed Comments'!H:H,0)),"")</f>
        <v>Nichole, Williams</v>
      </c>
      <c r="I446" s="65" t="str">
        <f>IFERROR(INDEX('Docketed Comments'!D:D,MATCH(A446,'Docketed Comments'!H:H,0)),"")</f>
        <v>Avondale</v>
      </c>
      <c r="J446" s="65" t="str">
        <f>IFERROR(INDEX('Docketed Comments'!I:I,MATCH(A446,'Docketed Comments'!H:H,0)),"")</f>
        <v>RCPw/RTOUE47</v>
      </c>
      <c r="K446" s="65" t="str">
        <f t="shared" si="13"/>
        <v>✅ On Best Plan</v>
      </c>
      <c r="L446" s="65" t="str">
        <f>IFERROR(INDEX('Docketed Comments'!F:F,MATCH(A446,'Docketed Comments'!H:H,0)),"")</f>
        <v>Opposed</v>
      </c>
      <c r="M446" s="137" t="str">
        <f>IFERROR(HYPERLINK(INDEX('Docketed Comments'!G:G,MATCH(A446,'Docketed Comments'!H:H,0)),"📄 View Docket"),"")</f>
        <v>📄 View Docket</v>
      </c>
      <c r="N446" s="135" t="str">
        <f>IFERROR(INDEX('Docketed Comments'!N:N,MATCH(A446,'Docketed Comments'!H:H,0)),"")</f>
        <v>No</v>
      </c>
      <c r="O446" s="135" t="str">
        <f>IFERROR(INDEX('Docketed Comments'!L:L,MATCH(A446,'Docketed Comments'!H:H,0)),"")</f>
        <v>Y</v>
      </c>
      <c r="P446" s="136">
        <f t="shared" si="12"/>
        <v>0</v>
      </c>
      <c r="Q446" s="140"/>
      <c r="R446" s="144">
        <v>1</v>
      </c>
    </row>
    <row r="447" spans="1:18" ht="21.95" customHeight="1">
      <c r="A447" s="71" t="s">
        <v>1432</v>
      </c>
      <c r="B447" s="69"/>
      <c r="C447" s="70"/>
      <c r="D447" s="69"/>
      <c r="E447" s="69"/>
      <c r="F447" s="65"/>
      <c r="G447" s="65" t="s">
        <v>5811</v>
      </c>
      <c r="H447" s="65" t="str">
        <f>IFERROR(INDEX('Docketed Comments'!C:C,MATCH(A447,'Docketed Comments'!H:H,0))&amp;", "&amp;INDEX('Docketed Comments'!B:B,MATCH(A447,'Docketed Comments'!H:H,0)),"")</f>
        <v>Ravindranath, Malladi</v>
      </c>
      <c r="I447" s="65" t="str">
        <f>IFERROR(INDEX('Docketed Comments'!D:D,MATCH(A447,'Docketed Comments'!H:H,0)),"")</f>
        <v>Phoenix</v>
      </c>
      <c r="J447" s="65" t="str">
        <f>IFERROR(INDEX('Docketed Comments'!I:I,MATCH(A447,'Docketed Comments'!H:H,0)),"")</f>
        <v>RCPw/R3-47</v>
      </c>
      <c r="K447" s="65" t="str">
        <f t="shared" si="13"/>
        <v>✅ On Best Plan</v>
      </c>
      <c r="L447" s="65" t="str">
        <f>IFERROR(INDEX('Docketed Comments'!F:F,MATCH(A447,'Docketed Comments'!H:H,0)),"")</f>
        <v>Form letter</v>
      </c>
      <c r="M447" s="137" t="str">
        <f>IFERROR(HYPERLINK(INDEX('Docketed Comments'!G:G,MATCH(A447,'Docketed Comments'!H:H,0)),"📄 View Docket"),"")</f>
        <v>📄 View Docket</v>
      </c>
      <c r="N447" s="135" t="str">
        <f>IFERROR(INDEX('Docketed Comments'!N:N,MATCH(A447,'Docketed Comments'!H:H,0)),"")</f>
        <v>No</v>
      </c>
      <c r="O447" s="135" t="str">
        <f>IFERROR(INDEX('Docketed Comments'!L:L,MATCH(A447,'Docketed Comments'!H:H,0)),"")</f>
        <v>Y</v>
      </c>
      <c r="P447" s="136">
        <f t="shared" si="12"/>
        <v>0</v>
      </c>
      <c r="Q447" s="140"/>
      <c r="R447" s="144">
        <v>1</v>
      </c>
    </row>
    <row r="448" spans="1:18" ht="21.95" customHeight="1">
      <c r="A448" s="71" t="s">
        <v>5135</v>
      </c>
      <c r="B448" s="69"/>
      <c r="C448" s="70"/>
      <c r="D448" s="69"/>
      <c r="E448" s="69"/>
      <c r="F448" s="65"/>
      <c r="G448" s="65" t="s">
        <v>5811</v>
      </c>
      <c r="H448" s="65" t="str">
        <f>IFERROR(INDEX('Docketed Comments'!C:C,MATCH(A448,'Docketed Comments'!H:H,0))&amp;", "&amp;INDEX('Docketed Comments'!B:B,MATCH(A448,'Docketed Comments'!H:H,0)),"")</f>
        <v>Michele, DeFilippo</v>
      </c>
      <c r="I448" s="65" t="str">
        <f>IFERROR(INDEX('Docketed Comments'!D:D,MATCH(A448,'Docketed Comments'!H:H,0)),"")</f>
        <v>Phoenix</v>
      </c>
      <c r="J448" s="65" t="str">
        <f>IFERROR(INDEX('Docketed Comments'!I:I,MATCH(A448,'Docketed Comments'!H:H,0)),"")</f>
        <v>R-2</v>
      </c>
      <c r="K448" s="65" t="str">
        <f t="shared" si="13"/>
        <v>⚠ Frozen Rate</v>
      </c>
      <c r="L448" s="65" t="str">
        <f>IFERROR(INDEX('Docketed Comments'!F:F,MATCH(A448,'Docketed Comments'!H:H,0)),"")</f>
        <v>Opposed</v>
      </c>
      <c r="M448" s="137" t="str">
        <f>IFERROR(HYPERLINK(INDEX('Docketed Comments'!G:G,MATCH(A448,'Docketed Comments'!H:H,0)),"📄 View Docket"),"")</f>
        <v>📄 View Docket</v>
      </c>
      <c r="N448" s="135" t="str">
        <f>IFERROR(INDEX('Docketed Comments'!N:N,MATCH(A448,'Docketed Comments'!H:H,0)),"")</f>
        <v>No</v>
      </c>
      <c r="O448" s="135" t="str">
        <f>IFERROR(INDEX('Docketed Comments'!L:L,MATCH(A448,'Docketed Comments'!H:H,0)),"")</f>
        <v>Frozen Rate</v>
      </c>
      <c r="P448" s="136">
        <f t="shared" si="12"/>
        <v>0</v>
      </c>
      <c r="Q448" s="140"/>
      <c r="R448" s="144">
        <v>1</v>
      </c>
    </row>
    <row r="449" spans="1:18" ht="21.95" customHeight="1">
      <c r="A449" s="71" t="s">
        <v>5136</v>
      </c>
      <c r="B449" s="69"/>
      <c r="C449" s="70"/>
      <c r="D449" s="69"/>
      <c r="E449" s="69"/>
      <c r="F449" s="65"/>
      <c r="G449" s="65" t="s">
        <v>5811</v>
      </c>
      <c r="H449" s="65" t="str">
        <f>IFERROR(INDEX('Docketed Comments'!C:C,MATCH(A449,'Docketed Comments'!H:H,0))&amp;", "&amp;INDEX('Docketed Comments'!B:B,MATCH(A449,'Docketed Comments'!H:H,0)),"")</f>
        <v>Halie, Pederson</v>
      </c>
      <c r="I449" s="65" t="str">
        <f>IFERROR(INDEX('Docketed Comments'!D:D,MATCH(A449,'Docketed Comments'!H:H,0)),"")</f>
        <v>Prescott Valley</v>
      </c>
      <c r="J449" s="65" t="str">
        <f>IFERROR(INDEX('Docketed Comments'!I:I,MATCH(A449,'Docketed Comments'!H:H,0)),"")</f>
        <v>R-XS</v>
      </c>
      <c r="K449" s="65" t="str">
        <f t="shared" si="13"/>
        <v>✅ On Best Plan</v>
      </c>
      <c r="L449" s="65" t="str">
        <f>IFERROR(INDEX('Docketed Comments'!F:F,MATCH(A449,'Docketed Comments'!H:H,0)),"")</f>
        <v>Form letter</v>
      </c>
      <c r="M449" s="137" t="str">
        <f>IFERROR(HYPERLINK(INDEX('Docketed Comments'!G:G,MATCH(A449,'Docketed Comments'!H:H,0)),"📄 View Docket"),"")</f>
        <v>📄 View Docket</v>
      </c>
      <c r="N449" s="135" t="str">
        <f>IFERROR(INDEX('Docketed Comments'!N:N,MATCH(A449,'Docketed Comments'!H:H,0)),"")</f>
        <v>No</v>
      </c>
      <c r="O449" s="135" t="str">
        <f>IFERROR(INDEX('Docketed Comments'!L:L,MATCH(A449,'Docketed Comments'!H:H,0)),"")</f>
        <v>Yes</v>
      </c>
      <c r="P449" s="136">
        <f t="shared" si="12"/>
        <v>0</v>
      </c>
      <c r="Q449" s="140"/>
      <c r="R449" s="144">
        <v>1</v>
      </c>
    </row>
    <row r="450" spans="1:18" ht="21.95" customHeight="1">
      <c r="A450" s="71" t="s">
        <v>5137</v>
      </c>
      <c r="B450" s="69"/>
      <c r="C450" s="70"/>
      <c r="D450" s="69"/>
      <c r="E450" s="69"/>
      <c r="F450" s="65"/>
      <c r="G450" s="65" t="s">
        <v>5811</v>
      </c>
      <c r="H450" s="65" t="str">
        <f>IFERROR(INDEX('Docketed Comments'!C:C,MATCH(A450,'Docketed Comments'!H:H,0))&amp;", "&amp;INDEX('Docketed Comments'!B:B,MATCH(A450,'Docketed Comments'!H:H,0)),"")</f>
        <v>Ken, Gram</v>
      </c>
      <c r="I450" s="65" t="str">
        <f>IFERROR(INDEX('Docketed Comments'!D:D,MATCH(A450,'Docketed Comments'!H:H,0)),"")</f>
        <v>Scottsdale</v>
      </c>
      <c r="J450" s="65" t="str">
        <f>IFERROR(INDEX('Docketed Comments'!I:I,MATCH(A450,'Docketed Comments'!H:H,0)),"")</f>
        <v>Multiple SAs</v>
      </c>
      <c r="K450" s="65" t="str">
        <f t="shared" si="13"/>
        <v>✅ On Best Plan</v>
      </c>
      <c r="L450" s="65" t="str">
        <f>IFERROR(INDEX('Docketed Comments'!F:F,MATCH(A450,'Docketed Comments'!H:H,0)),"")</f>
        <v>Opposed</v>
      </c>
      <c r="M450" s="137" t="str">
        <f>IFERROR(HYPERLINK(INDEX('Docketed Comments'!G:G,MATCH(A450,'Docketed Comments'!H:H,0)),"📄 View Docket"),"")</f>
        <v>📄 View Docket</v>
      </c>
      <c r="N450" s="135" t="str">
        <f>IFERROR(INDEX('Docketed Comments'!N:N,MATCH(A450,'Docketed Comments'!H:H,0)),"")</f>
        <v>No</v>
      </c>
      <c r="O450" s="135" t="str">
        <f>IFERROR(INDEX('Docketed Comments'!L:L,MATCH(A450,'Docketed Comments'!H:H,0)),"")</f>
        <v>Yes</v>
      </c>
      <c r="P450" s="136">
        <f t="shared" ref="P450:P513" si="14">IFERROR(IF(ISNUMBER(SEARCH("$",O450)),VALUE(SUBSTITUTE(SUBSTITUTE(MID(O450,FIND("$",O450)+1,FIND(")",O450)-FIND("$",O450)-1),",","")," ","")),VALUE(SUBSTITUTE(SUBSTITUTE(MID(O450,FIND("(",O450)+1,FIND(")",O450)-FIND("(",O450)-1),",","")," ",""))),0)</f>
        <v>0</v>
      </c>
      <c r="Q450" s="140"/>
      <c r="R450" s="144">
        <v>1</v>
      </c>
    </row>
    <row r="451" spans="1:18" ht="21.95" customHeight="1">
      <c r="A451" s="71" t="s">
        <v>5138</v>
      </c>
      <c r="B451" s="69"/>
      <c r="C451" s="70"/>
      <c r="D451" s="69"/>
      <c r="E451" s="69"/>
      <c r="F451" s="65"/>
      <c r="G451" s="65" t="s">
        <v>5811</v>
      </c>
      <c r="H451" s="65" t="str">
        <f>IFERROR(INDEX('Docketed Comments'!C:C,MATCH(A451,'Docketed Comments'!H:H,0))&amp;", "&amp;INDEX('Docketed Comments'!B:B,MATCH(A451,'Docketed Comments'!H:H,0)),"")</f>
        <v>Lianne, Liddell</v>
      </c>
      <c r="I451" s="65" t="str">
        <f>IFERROR(INDEX('Docketed Comments'!D:D,MATCH(A451,'Docketed Comments'!H:H,0)),"")</f>
        <v>Phoenix</v>
      </c>
      <c r="J451" s="65" t="str">
        <f>IFERROR(INDEX('Docketed Comments'!I:I,MATCH(A451,'Docketed Comments'!H:H,0)),"")</f>
        <v>RCPw/RTOUE47</v>
      </c>
      <c r="K451" s="65" t="str">
        <f t="shared" ref="K451:K514" si="15">IFERROR(IF(OR(LEFT(O451,2)="No",LEFT(O451,3)="Not"),"❌ Not on Best Plan",IF(OR(O451="Yes",O451="Y",O451="Yes "),"✅ On Best Plan","⚠ "&amp;O451)),"")</f>
        <v>✅ On Best Plan</v>
      </c>
      <c r="L451" s="65" t="str">
        <f>IFERROR(INDEX('Docketed Comments'!F:F,MATCH(A451,'Docketed Comments'!H:H,0)),"")</f>
        <v>Form letter</v>
      </c>
      <c r="M451" s="137" t="str">
        <f>IFERROR(HYPERLINK(INDEX('Docketed Comments'!G:G,MATCH(A451,'Docketed Comments'!H:H,0)),"📄 View Docket"),"")</f>
        <v>📄 View Docket</v>
      </c>
      <c r="N451" s="135" t="str">
        <f>IFERROR(INDEX('Docketed Comments'!N:N,MATCH(A451,'Docketed Comments'!H:H,0)),"")</f>
        <v>No</v>
      </c>
      <c r="O451" s="135" t="str">
        <f>IFERROR(INDEX('Docketed Comments'!L:L,MATCH(A451,'Docketed Comments'!H:H,0)),"")</f>
        <v>Yes</v>
      </c>
      <c r="P451" s="136">
        <f t="shared" si="14"/>
        <v>0</v>
      </c>
      <c r="Q451" s="140"/>
      <c r="R451" s="144">
        <v>1</v>
      </c>
    </row>
    <row r="452" spans="1:18" ht="21.95" customHeight="1">
      <c r="A452" s="71" t="s">
        <v>5139</v>
      </c>
      <c r="B452" s="69"/>
      <c r="C452" s="70"/>
      <c r="D452" s="69"/>
      <c r="E452" s="69"/>
      <c r="F452" s="65"/>
      <c r="G452" s="65" t="s">
        <v>5811</v>
      </c>
      <c r="H452" s="65" t="str">
        <f>IFERROR(INDEX('Docketed Comments'!C:C,MATCH(A452,'Docketed Comments'!H:H,0))&amp;", "&amp;INDEX('Docketed Comments'!B:B,MATCH(A452,'Docketed Comments'!H:H,0)),"")</f>
        <v>Evan, Rees</v>
      </c>
      <c r="I452" s="65" t="str">
        <f>IFERROR(INDEX('Docketed Comments'!D:D,MATCH(A452,'Docketed Comments'!H:H,0)),"")</f>
        <v>Phoenix</v>
      </c>
      <c r="J452" s="65" t="str">
        <f>IFERROR(INDEX('Docketed Comments'!I:I,MATCH(A452,'Docketed Comments'!H:H,0)),"")</f>
        <v>R-XS</v>
      </c>
      <c r="K452" s="65" t="str">
        <f t="shared" si="15"/>
        <v>✅ On Best Plan</v>
      </c>
      <c r="L452" s="65" t="str">
        <f>IFERROR(INDEX('Docketed Comments'!F:F,MATCH(A452,'Docketed Comments'!H:H,0)),"")</f>
        <v>Form letter</v>
      </c>
      <c r="M452" s="137" t="str">
        <f>IFERROR(HYPERLINK(INDEX('Docketed Comments'!G:G,MATCH(A452,'Docketed Comments'!H:H,0)),"📄 View Docket"),"")</f>
        <v>📄 View Docket</v>
      </c>
      <c r="N452" s="135" t="str">
        <f>IFERROR(INDEX('Docketed Comments'!N:N,MATCH(A452,'Docketed Comments'!H:H,0)),"")</f>
        <v>No</v>
      </c>
      <c r="O452" s="135" t="str">
        <f>IFERROR(INDEX('Docketed Comments'!L:L,MATCH(A452,'Docketed Comments'!H:H,0)),"")</f>
        <v>Yes</v>
      </c>
      <c r="P452" s="136">
        <f t="shared" si="14"/>
        <v>0</v>
      </c>
      <c r="Q452" s="140"/>
      <c r="R452" s="144">
        <v>1</v>
      </c>
    </row>
    <row r="453" spans="1:18" ht="21.95" customHeight="1">
      <c r="A453" s="71" t="s">
        <v>5140</v>
      </c>
      <c r="B453" s="69"/>
      <c r="C453" s="70"/>
      <c r="D453" s="69"/>
      <c r="E453" s="69"/>
      <c r="F453" s="65"/>
      <c r="G453" s="65" t="s">
        <v>5811</v>
      </c>
      <c r="H453" s="65" t="str">
        <f>IFERROR(INDEX('Docketed Comments'!C:C,MATCH(A453,'Docketed Comments'!H:H,0))&amp;", "&amp;INDEX('Docketed Comments'!B:B,MATCH(A453,'Docketed Comments'!H:H,0)),"")</f>
        <v>Allen, Vestal</v>
      </c>
      <c r="I453" s="65" t="str">
        <f>IFERROR(INDEX('Docketed Comments'!D:D,MATCH(A453,'Docketed Comments'!H:H,0)),"")</f>
        <v xml:space="preserve">Sun City </v>
      </c>
      <c r="J453" s="65" t="str">
        <f>IFERROR(INDEX('Docketed Comments'!I:I,MATCH(A453,'Docketed Comments'!H:H,0)),"")</f>
        <v>EPR-6w/ET-2</v>
      </c>
      <c r="K453" s="65" t="str">
        <f t="shared" si="15"/>
        <v>⚠ Frozen Rate</v>
      </c>
      <c r="L453" s="65" t="str">
        <f>IFERROR(INDEX('Docketed Comments'!F:F,MATCH(A453,'Docketed Comments'!H:H,0)),"")</f>
        <v>Form letter</v>
      </c>
      <c r="M453" s="137" t="str">
        <f>IFERROR(HYPERLINK(INDEX('Docketed Comments'!G:G,MATCH(A453,'Docketed Comments'!H:H,0)),"📄 View Docket"),"")</f>
        <v>📄 View Docket</v>
      </c>
      <c r="N453" s="135" t="str">
        <f>IFERROR(INDEX('Docketed Comments'!N:N,MATCH(A453,'Docketed Comments'!H:H,0)),"")</f>
        <v>No</v>
      </c>
      <c r="O453" s="135" t="str">
        <f>IFERROR(INDEX('Docketed Comments'!L:L,MATCH(A453,'Docketed Comments'!H:H,0)),"")</f>
        <v>Frozen Rate</v>
      </c>
      <c r="P453" s="136">
        <f t="shared" si="14"/>
        <v>0</v>
      </c>
      <c r="Q453" s="140"/>
      <c r="R453" s="144">
        <v>1</v>
      </c>
    </row>
    <row r="454" spans="1:18" ht="21.95" customHeight="1">
      <c r="A454" s="71" t="s">
        <v>5141</v>
      </c>
      <c r="B454" s="69"/>
      <c r="C454" s="70"/>
      <c r="D454" s="69"/>
      <c r="E454" s="69"/>
      <c r="F454" s="65"/>
      <c r="G454" s="65" t="s">
        <v>5811</v>
      </c>
      <c r="H454" s="65" t="str">
        <f>IFERROR(INDEX('Docketed Comments'!C:C,MATCH(A454,'Docketed Comments'!H:H,0))&amp;", "&amp;INDEX('Docketed Comments'!B:B,MATCH(A454,'Docketed Comments'!H:H,0)),"")</f>
        <v>Kevin, Coble</v>
      </c>
      <c r="I454" s="65" t="str">
        <f>IFERROR(INDEX('Docketed Comments'!D:D,MATCH(A454,'Docketed Comments'!H:H,0)),"")</f>
        <v>Scottsdale</v>
      </c>
      <c r="J454" s="65" t="str">
        <f>IFERROR(INDEX('Docketed Comments'!I:I,MATCH(A454,'Docketed Comments'!H:H,0)),"")</f>
        <v>R-BASIC</v>
      </c>
      <c r="K454" s="65" t="str">
        <f t="shared" si="15"/>
        <v>✅ On Best Plan</v>
      </c>
      <c r="L454" s="65" t="str">
        <f>IFERROR(INDEX('Docketed Comments'!F:F,MATCH(A454,'Docketed Comments'!H:H,0)),"")</f>
        <v>Opposed</v>
      </c>
      <c r="M454" s="137" t="str">
        <f>IFERROR(HYPERLINK(INDEX('Docketed Comments'!G:G,MATCH(A454,'Docketed Comments'!H:H,0)),"📄 View Docket"),"")</f>
        <v>📄 View Docket</v>
      </c>
      <c r="N454" s="135" t="str">
        <f>IFERROR(INDEX('Docketed Comments'!N:N,MATCH(A454,'Docketed Comments'!H:H,0)),"")</f>
        <v>No</v>
      </c>
      <c r="O454" s="135" t="str">
        <f>IFERROR(INDEX('Docketed Comments'!L:L,MATCH(A454,'Docketed Comments'!H:H,0)),"")</f>
        <v>Yes</v>
      </c>
      <c r="P454" s="136">
        <f t="shared" si="14"/>
        <v>0</v>
      </c>
      <c r="Q454" s="140"/>
      <c r="R454" s="144">
        <v>1</v>
      </c>
    </row>
    <row r="455" spans="1:18" ht="21.95" customHeight="1">
      <c r="A455" s="71" t="s">
        <v>5142</v>
      </c>
      <c r="B455" s="69"/>
      <c r="C455" s="70"/>
      <c r="D455" s="69"/>
      <c r="E455" s="69"/>
      <c r="F455" s="65"/>
      <c r="G455" s="65" t="s">
        <v>5811</v>
      </c>
      <c r="H455" s="65" t="str">
        <f>IFERROR(INDEX('Docketed Comments'!C:C,MATCH(A455,'Docketed Comments'!H:H,0))&amp;", "&amp;INDEX('Docketed Comments'!B:B,MATCH(A455,'Docketed Comments'!H:H,0)),"")</f>
        <v>Lee, McLeod</v>
      </c>
      <c r="I455" s="65" t="str">
        <f>IFERROR(INDEX('Docketed Comments'!D:D,MATCH(A455,'Docketed Comments'!H:H,0)),"")</f>
        <v>Hereford</v>
      </c>
      <c r="J455" s="65" t="str">
        <f>IFERROR(INDEX('Docketed Comments'!I:I,MATCH(A455,'Docketed Comments'!H:H,0)),"")</f>
        <v>R-2</v>
      </c>
      <c r="K455" s="65" t="str">
        <f t="shared" si="15"/>
        <v>⚠ Frozen Rate</v>
      </c>
      <c r="L455" s="65" t="str">
        <f>IFERROR(INDEX('Docketed Comments'!F:F,MATCH(A455,'Docketed Comments'!H:H,0)),"")</f>
        <v>Opposed</v>
      </c>
      <c r="M455" s="137" t="str">
        <f>IFERROR(HYPERLINK(INDEX('Docketed Comments'!G:G,MATCH(A455,'Docketed Comments'!H:H,0)),"📄 View Docket"),"")</f>
        <v>📄 View Docket</v>
      </c>
      <c r="N455" s="135" t="str">
        <f>IFERROR(INDEX('Docketed Comments'!N:N,MATCH(A455,'Docketed Comments'!H:H,0)),"")</f>
        <v>No</v>
      </c>
      <c r="O455" s="135" t="str">
        <f>IFERROR(INDEX('Docketed Comments'!L:L,MATCH(A455,'Docketed Comments'!H:H,0)),"")</f>
        <v>Frozen Rate</v>
      </c>
      <c r="P455" s="136">
        <f t="shared" si="14"/>
        <v>0</v>
      </c>
      <c r="Q455" s="140"/>
      <c r="R455" s="144">
        <v>1</v>
      </c>
    </row>
    <row r="456" spans="1:18" ht="21.95" customHeight="1">
      <c r="A456" s="71" t="s">
        <v>5143</v>
      </c>
      <c r="B456" s="69"/>
      <c r="C456" s="70"/>
      <c r="D456" s="69"/>
      <c r="E456" s="69"/>
      <c r="F456" s="65"/>
      <c r="G456" s="65" t="s">
        <v>5811</v>
      </c>
      <c r="H456" s="65" t="str">
        <f>IFERROR(INDEX('Docketed Comments'!C:C,MATCH(A456,'Docketed Comments'!H:H,0))&amp;", "&amp;INDEX('Docketed Comments'!B:B,MATCH(A456,'Docketed Comments'!H:H,0)),"")</f>
        <v>Bonny, Carpenter</v>
      </c>
      <c r="I456" s="65" t="str">
        <f>IFERROR(INDEX('Docketed Comments'!D:D,MATCH(A456,'Docketed Comments'!H:H,0)),"")</f>
        <v>Goodyear</v>
      </c>
      <c r="J456" s="65" t="str">
        <f>IFERROR(INDEX('Docketed Comments'!I:I,MATCH(A456,'Docketed Comments'!H:H,0)),"")</f>
        <v>EPR-6w/ET-2</v>
      </c>
      <c r="K456" s="65" t="str">
        <f t="shared" si="15"/>
        <v>⚠ Frozen Rate</v>
      </c>
      <c r="L456" s="65" t="str">
        <f>IFERROR(INDEX('Docketed Comments'!F:F,MATCH(A456,'Docketed Comments'!H:H,0)),"")</f>
        <v>Out of hand</v>
      </c>
      <c r="M456" s="137" t="str">
        <f>IFERROR(HYPERLINK(INDEX('Docketed Comments'!G:G,MATCH(A456,'Docketed Comments'!H:H,0)),"📄 View Docket"),"")</f>
        <v>📄 View Docket</v>
      </c>
      <c r="N456" s="135" t="str">
        <f>IFERROR(INDEX('Docketed Comments'!N:N,MATCH(A456,'Docketed Comments'!H:H,0)),"")</f>
        <v>No</v>
      </c>
      <c r="O456" s="135" t="str">
        <f>IFERROR(INDEX('Docketed Comments'!L:L,MATCH(A456,'Docketed Comments'!H:H,0)),"")</f>
        <v>Frozen Rate</v>
      </c>
      <c r="P456" s="136">
        <f t="shared" si="14"/>
        <v>0</v>
      </c>
      <c r="Q456" s="140"/>
      <c r="R456" s="144">
        <v>1</v>
      </c>
    </row>
    <row r="457" spans="1:18" ht="21.95" customHeight="1">
      <c r="A457" s="71" t="s">
        <v>5144</v>
      </c>
      <c r="B457" s="69"/>
      <c r="C457" s="70"/>
      <c r="D457" s="69"/>
      <c r="E457" s="69"/>
      <c r="F457" s="65"/>
      <c r="G457" s="65" t="s">
        <v>5811</v>
      </c>
      <c r="H457" s="65" t="str">
        <f>IFERROR(INDEX('Docketed Comments'!C:C,MATCH(A457,'Docketed Comments'!H:H,0))&amp;", "&amp;INDEX('Docketed Comments'!B:B,MATCH(A457,'Docketed Comments'!H:H,0)),"")</f>
        <v>Addison, Glanzer</v>
      </c>
      <c r="I457" s="65" t="str">
        <f>IFERROR(INDEX('Docketed Comments'!D:D,MATCH(A457,'Docketed Comments'!H:H,0)),"")</f>
        <v>Phoenix</v>
      </c>
      <c r="J457" s="65" t="str">
        <f>IFERROR(INDEX('Docketed Comments'!I:I,MATCH(A457,'Docketed Comments'!H:H,0)),"")</f>
        <v>R3-47</v>
      </c>
      <c r="K457" s="65" t="str">
        <f t="shared" si="15"/>
        <v>✅ On Best Plan</v>
      </c>
      <c r="L457" s="65" t="str">
        <f>IFERROR(INDEX('Docketed Comments'!F:F,MATCH(A457,'Docketed Comments'!H:H,0)),"")</f>
        <v>Facing financial hardship</v>
      </c>
      <c r="M457" s="137" t="str">
        <f>IFERROR(HYPERLINK(INDEX('Docketed Comments'!G:G,MATCH(A457,'Docketed Comments'!H:H,0)),"📄 View Docket"),"")</f>
        <v>📄 View Docket</v>
      </c>
      <c r="N457" s="135" t="str">
        <f>IFERROR(INDEX('Docketed Comments'!N:N,MATCH(A457,'Docketed Comments'!H:H,0)),"")</f>
        <v>No</v>
      </c>
      <c r="O457" s="135" t="str">
        <f>IFERROR(INDEX('Docketed Comments'!L:L,MATCH(A457,'Docketed Comments'!H:H,0)),"")</f>
        <v>Yes</v>
      </c>
      <c r="P457" s="136">
        <f t="shared" si="14"/>
        <v>0</v>
      </c>
      <c r="Q457" s="140"/>
      <c r="R457" s="144">
        <v>1</v>
      </c>
    </row>
    <row r="458" spans="1:18" ht="21.95" customHeight="1">
      <c r="A458" s="71" t="s">
        <v>5145</v>
      </c>
      <c r="B458" s="69"/>
      <c r="C458" s="70"/>
      <c r="D458" s="69"/>
      <c r="E458" s="69"/>
      <c r="F458" s="65"/>
      <c r="G458" s="65" t="s">
        <v>5811</v>
      </c>
      <c r="H458" s="65" t="str">
        <f>IFERROR(INDEX('Docketed Comments'!C:C,MATCH(A458,'Docketed Comments'!H:H,0))&amp;", "&amp;INDEX('Docketed Comments'!B:B,MATCH(A458,'Docketed Comments'!H:H,0)),"")</f>
        <v>Stacey, Stecker</v>
      </c>
      <c r="I458" s="65" t="str">
        <f>IFERROR(INDEX('Docketed Comments'!D:D,MATCH(A458,'Docketed Comments'!H:H,0)),"")</f>
        <v>Phoenix</v>
      </c>
      <c r="J458" s="65" t="str">
        <f>IFERROR(INDEX('Docketed Comments'!I:I,MATCH(A458,'Docketed Comments'!H:H,0)),"")</f>
        <v>RCPw/R3-47</v>
      </c>
      <c r="K458" s="65" t="str">
        <f t="shared" si="15"/>
        <v>✅ On Best Plan</v>
      </c>
      <c r="L458" s="65" t="str">
        <f>IFERROR(INDEX('Docketed Comments'!F:F,MATCH(A458,'Docketed Comments'!H:H,0)),"")</f>
        <v>Opposed</v>
      </c>
      <c r="M458" s="137" t="str">
        <f>IFERROR(HYPERLINK(INDEX('Docketed Comments'!G:G,MATCH(A458,'Docketed Comments'!H:H,0)),"📄 View Docket"),"")</f>
        <v>📄 View Docket</v>
      </c>
      <c r="N458" s="135" t="str">
        <f>IFERROR(INDEX('Docketed Comments'!N:N,MATCH(A458,'Docketed Comments'!H:H,0)),"")</f>
        <v>No</v>
      </c>
      <c r="O458" s="135" t="str">
        <f>IFERROR(INDEX('Docketed Comments'!L:L,MATCH(A458,'Docketed Comments'!H:H,0)),"")</f>
        <v>Yes</v>
      </c>
      <c r="P458" s="136">
        <f t="shared" si="14"/>
        <v>0</v>
      </c>
      <c r="Q458" s="140"/>
      <c r="R458" s="144">
        <v>1</v>
      </c>
    </row>
    <row r="459" spans="1:18" ht="21.95" customHeight="1">
      <c r="A459" s="71" t="s">
        <v>5146</v>
      </c>
      <c r="B459" s="69"/>
      <c r="C459" s="70"/>
      <c r="D459" s="69"/>
      <c r="E459" s="69"/>
      <c r="F459" s="65"/>
      <c r="G459" s="65" t="s">
        <v>5811</v>
      </c>
      <c r="H459" s="65" t="str">
        <f>IFERROR(INDEX('Docketed Comments'!C:C,MATCH(A459,'Docketed Comments'!H:H,0))&amp;", "&amp;INDEX('Docketed Comments'!B:B,MATCH(A459,'Docketed Comments'!H:H,0)),"")</f>
        <v>Joshua, Wallace</v>
      </c>
      <c r="I459" s="65" t="str">
        <f>IFERROR(INDEX('Docketed Comments'!D:D,MATCH(A459,'Docketed Comments'!H:H,0)),"")</f>
        <v>Phoenix</v>
      </c>
      <c r="J459" s="65" t="str">
        <f>IFERROR(INDEX('Docketed Comments'!I:I,MATCH(A459,'Docketed Comments'!H:H,0)),"")</f>
        <v>RTOUE47</v>
      </c>
      <c r="K459" s="65" t="str">
        <f t="shared" si="15"/>
        <v>✅ On Best Plan</v>
      </c>
      <c r="L459" s="65" t="str">
        <f>IFERROR(INDEX('Docketed Comments'!F:F,MATCH(A459,'Docketed Comments'!H:H,0)),"")</f>
        <v>Form letter</v>
      </c>
      <c r="M459" s="137" t="str">
        <f>IFERROR(HYPERLINK(INDEX('Docketed Comments'!G:G,MATCH(A459,'Docketed Comments'!H:H,0)),"📄 View Docket"),"")</f>
        <v>📄 View Docket</v>
      </c>
      <c r="N459" s="135" t="str">
        <f>IFERROR(INDEX('Docketed Comments'!N:N,MATCH(A459,'Docketed Comments'!H:H,0)),"")</f>
        <v>No</v>
      </c>
      <c r="O459" s="135" t="str">
        <f>IFERROR(INDEX('Docketed Comments'!L:L,MATCH(A459,'Docketed Comments'!H:H,0)),"")</f>
        <v>Yes</v>
      </c>
      <c r="P459" s="136">
        <f t="shared" si="14"/>
        <v>0</v>
      </c>
      <c r="Q459" s="140"/>
      <c r="R459" s="144">
        <v>1</v>
      </c>
    </row>
    <row r="460" spans="1:18" ht="21.95" customHeight="1">
      <c r="A460" s="71" t="s">
        <v>5147</v>
      </c>
      <c r="B460" s="69"/>
      <c r="C460" s="70"/>
      <c r="D460" s="69"/>
      <c r="E460" s="69"/>
      <c r="F460" s="65"/>
      <c r="G460" s="65" t="s">
        <v>5811</v>
      </c>
      <c r="H460" s="65" t="str">
        <f>IFERROR(INDEX('Docketed Comments'!C:C,MATCH(A460,'Docketed Comments'!H:H,0))&amp;", "&amp;INDEX('Docketed Comments'!B:B,MATCH(A460,'Docketed Comments'!H:H,0)),"")</f>
        <v>Gregory, Short</v>
      </c>
      <c r="I460" s="65" t="str">
        <f>IFERROR(INDEX('Docketed Comments'!D:D,MATCH(A460,'Docketed Comments'!H:H,0)),"")</f>
        <v>Surprise</v>
      </c>
      <c r="J460" s="65" t="str">
        <f>IFERROR(INDEX('Docketed Comments'!I:I,MATCH(A460,'Docketed Comments'!H:H,0)),"")</f>
        <v>R3-47</v>
      </c>
      <c r="K460" s="65" t="str">
        <f t="shared" si="15"/>
        <v>✅ On Best Plan</v>
      </c>
      <c r="L460" s="65" t="str">
        <f>IFERROR(INDEX('Docketed Comments'!F:F,MATCH(A460,'Docketed Comments'!H:H,0)),"")</f>
        <v>Form letter</v>
      </c>
      <c r="M460" s="137" t="str">
        <f>IFERROR(HYPERLINK(INDEX('Docketed Comments'!G:G,MATCH(A460,'Docketed Comments'!H:H,0)),"📄 View Docket"),"")</f>
        <v>📄 View Docket</v>
      </c>
      <c r="N460" s="135" t="str">
        <f>IFERROR(INDEX('Docketed Comments'!N:N,MATCH(A460,'Docketed Comments'!H:H,0)),"")</f>
        <v>No</v>
      </c>
      <c r="O460" s="135" t="str">
        <f>IFERROR(INDEX('Docketed Comments'!L:L,MATCH(A460,'Docketed Comments'!H:H,0)),"")</f>
        <v>Yes</v>
      </c>
      <c r="P460" s="136">
        <f t="shared" si="14"/>
        <v>0</v>
      </c>
      <c r="Q460" s="140"/>
      <c r="R460" s="144">
        <v>1</v>
      </c>
    </row>
    <row r="461" spans="1:18" ht="21.95" customHeight="1">
      <c r="A461" s="71" t="s">
        <v>5148</v>
      </c>
      <c r="B461" s="69"/>
      <c r="C461" s="70"/>
      <c r="D461" s="69"/>
      <c r="E461" s="69"/>
      <c r="F461" s="65"/>
      <c r="G461" s="65" t="s">
        <v>5811</v>
      </c>
      <c r="H461" s="65" t="str">
        <f>IFERROR(INDEX('Docketed Comments'!C:C,MATCH(A461,'Docketed Comments'!H:H,0))&amp;", "&amp;INDEX('Docketed Comments'!B:B,MATCH(A461,'Docketed Comments'!H:H,0)),"")</f>
        <v>Sara, Flam</v>
      </c>
      <c r="I461" s="65" t="str">
        <f>IFERROR(INDEX('Docketed Comments'!D:D,MATCH(A461,'Docketed Comments'!H:H,0)),"")</f>
        <v>Gilbert</v>
      </c>
      <c r="J461" s="65" t="str">
        <f>IFERROR(INDEX('Docketed Comments'!I:I,MATCH(A461,'Docketed Comments'!H:H,0)),"")</f>
        <v>R3-47</v>
      </c>
      <c r="K461" s="65" t="str">
        <f t="shared" si="15"/>
        <v>✅ On Best Plan</v>
      </c>
      <c r="L461" s="65" t="str">
        <f>IFERROR(INDEX('Docketed Comments'!F:F,MATCH(A461,'Docketed Comments'!H:H,0)),"")</f>
        <v>Opposed</v>
      </c>
      <c r="M461" s="137" t="str">
        <f>IFERROR(HYPERLINK(INDEX('Docketed Comments'!G:G,MATCH(A461,'Docketed Comments'!H:H,0)),"📄 View Docket"),"")</f>
        <v>📄 View Docket</v>
      </c>
      <c r="N461" s="135" t="str">
        <f>IFERROR(INDEX('Docketed Comments'!N:N,MATCH(A461,'Docketed Comments'!H:H,0)),"")</f>
        <v>No</v>
      </c>
      <c r="O461" s="135" t="str">
        <f>IFERROR(INDEX('Docketed Comments'!L:L,MATCH(A461,'Docketed Comments'!H:H,0)),"")</f>
        <v>Yes</v>
      </c>
      <c r="P461" s="136">
        <f t="shared" si="14"/>
        <v>0</v>
      </c>
      <c r="Q461" s="140"/>
      <c r="R461" s="144">
        <v>1</v>
      </c>
    </row>
    <row r="462" spans="1:18" ht="21.95" customHeight="1">
      <c r="A462" s="71" t="s">
        <v>5149</v>
      </c>
      <c r="B462" s="69"/>
      <c r="C462" s="70"/>
      <c r="D462" s="69"/>
      <c r="E462" s="69"/>
      <c r="F462" s="65"/>
      <c r="G462" s="65" t="s">
        <v>5811</v>
      </c>
      <c r="H462" s="65" t="str">
        <f>IFERROR(INDEX('Docketed Comments'!C:C,MATCH(A462,'Docketed Comments'!H:H,0))&amp;", "&amp;INDEX('Docketed Comments'!B:B,MATCH(A462,'Docketed Comments'!H:H,0)),"")</f>
        <v>Grace, Kwon</v>
      </c>
      <c r="I462" s="65" t="str">
        <f>IFERROR(INDEX('Docketed Comments'!D:D,MATCH(A462,'Docketed Comments'!H:H,0)),"")</f>
        <v>Phoenix</v>
      </c>
      <c r="J462" s="65" t="str">
        <f>IFERROR(INDEX('Docketed Comments'!I:I,MATCH(A462,'Docketed Comments'!H:H,0)),"")</f>
        <v>R3-47</v>
      </c>
      <c r="K462" s="65" t="str">
        <f t="shared" si="15"/>
        <v>✅ On Best Plan</v>
      </c>
      <c r="L462" s="65" t="str">
        <f>IFERROR(INDEX('Docketed Comments'!F:F,MATCH(A462,'Docketed Comments'!H:H,0)),"")</f>
        <v>Form letter</v>
      </c>
      <c r="M462" s="137" t="str">
        <f>IFERROR(HYPERLINK(INDEX('Docketed Comments'!G:G,MATCH(A462,'Docketed Comments'!H:H,0)),"📄 View Docket"),"")</f>
        <v>📄 View Docket</v>
      </c>
      <c r="N462" s="135" t="str">
        <f>IFERROR(INDEX('Docketed Comments'!N:N,MATCH(A462,'Docketed Comments'!H:H,0)),"")</f>
        <v>No</v>
      </c>
      <c r="O462" s="135" t="str">
        <f>IFERROR(INDEX('Docketed Comments'!L:L,MATCH(A462,'Docketed Comments'!H:H,0)),"")</f>
        <v>Yes</v>
      </c>
      <c r="P462" s="136">
        <f t="shared" si="14"/>
        <v>0</v>
      </c>
      <c r="Q462" s="140"/>
      <c r="R462" s="144">
        <v>1</v>
      </c>
    </row>
    <row r="463" spans="1:18" ht="21.95" customHeight="1">
      <c r="A463" s="71" t="s">
        <v>5150</v>
      </c>
      <c r="B463" s="69"/>
      <c r="C463" s="70"/>
      <c r="D463" s="69"/>
      <c r="E463" s="69"/>
      <c r="F463" s="65"/>
      <c r="G463" s="65" t="s">
        <v>5811</v>
      </c>
      <c r="H463" s="65" t="str">
        <f>IFERROR(INDEX('Docketed Comments'!C:C,MATCH(A463,'Docketed Comments'!H:H,0))&amp;", "&amp;INDEX('Docketed Comments'!B:B,MATCH(A463,'Docketed Comments'!H:H,0)),"")</f>
        <v>Cathy, Hernandez</v>
      </c>
      <c r="I463" s="65" t="str">
        <f>IFERROR(INDEX('Docketed Comments'!D:D,MATCH(A463,'Docketed Comments'!H:H,0)),"")</f>
        <v>Goodyear</v>
      </c>
      <c r="J463" s="65" t="str">
        <f>IFERROR(INDEX('Docketed Comments'!I:I,MATCH(A463,'Docketed Comments'!H:H,0)),"")</f>
        <v>R3-47</v>
      </c>
      <c r="K463" s="65" t="str">
        <f t="shared" si="15"/>
        <v>✅ On Best Plan</v>
      </c>
      <c r="L463" s="65" t="str">
        <f>IFERROR(INDEX('Docketed Comments'!F:F,MATCH(A463,'Docketed Comments'!H:H,0)),"")</f>
        <v xml:space="preserve">Monopoly,  </v>
      </c>
      <c r="M463" s="137" t="str">
        <f>IFERROR(HYPERLINK(INDEX('Docketed Comments'!G:G,MATCH(A463,'Docketed Comments'!H:H,0)),"📄 View Docket"),"")</f>
        <v>📄 View Docket</v>
      </c>
      <c r="N463" s="135" t="str">
        <f>IFERROR(INDEX('Docketed Comments'!N:N,MATCH(A463,'Docketed Comments'!H:H,0)),"")</f>
        <v>No</v>
      </c>
      <c r="O463" s="135" t="str">
        <f>IFERROR(INDEX('Docketed Comments'!L:L,MATCH(A463,'Docketed Comments'!H:H,0)),"")</f>
        <v>Yes</v>
      </c>
      <c r="P463" s="136">
        <f t="shared" si="14"/>
        <v>0</v>
      </c>
      <c r="Q463" s="140"/>
      <c r="R463" s="144">
        <v>1</v>
      </c>
    </row>
    <row r="464" spans="1:18" ht="21.95" customHeight="1">
      <c r="A464" s="71" t="s">
        <v>5151</v>
      </c>
      <c r="B464" s="69"/>
      <c r="C464" s="70"/>
      <c r="D464" s="69"/>
      <c r="E464" s="69"/>
      <c r="F464" s="65"/>
      <c r="G464" s="65" t="s">
        <v>5811</v>
      </c>
      <c r="H464" s="65" t="str">
        <f>IFERROR(INDEX('Docketed Comments'!C:C,MATCH(A464,'Docketed Comments'!H:H,0))&amp;", "&amp;INDEX('Docketed Comments'!B:B,MATCH(A464,'Docketed Comments'!H:H,0)),"")</f>
        <v>Coleen, Pierce</v>
      </c>
      <c r="I464" s="65" t="str">
        <f>IFERROR(INDEX('Docketed Comments'!D:D,MATCH(A464,'Docketed Comments'!H:H,0)),"")</f>
        <v>Goodyear</v>
      </c>
      <c r="J464" s="65" t="str">
        <f>IFERROR(INDEX('Docketed Comments'!I:I,MATCH(A464,'Docketed Comments'!H:H,0)),"")</f>
        <v>EPR-6w/ET-2</v>
      </c>
      <c r="K464" s="65" t="str">
        <f t="shared" si="15"/>
        <v>⚠ Frozen Rate</v>
      </c>
      <c r="L464" s="65" t="str">
        <f>IFERROR(INDEX('Docketed Comments'!F:F,MATCH(A464,'Docketed Comments'!H:H,0)),"")</f>
        <v xml:space="preserve">Senior/Fixed Income </v>
      </c>
      <c r="M464" s="137" t="str">
        <f>IFERROR(HYPERLINK(INDEX('Docketed Comments'!G:G,MATCH(A464,'Docketed Comments'!H:H,0)),"📄 View Docket"),"")</f>
        <v>📄 View Docket</v>
      </c>
      <c r="N464" s="135" t="str">
        <f>IFERROR(INDEX('Docketed Comments'!N:N,MATCH(A464,'Docketed Comments'!H:H,0)),"")</f>
        <v>No</v>
      </c>
      <c r="O464" s="135" t="str">
        <f>IFERROR(INDEX('Docketed Comments'!L:L,MATCH(A464,'Docketed Comments'!H:H,0)),"")</f>
        <v>Frozen Rate</v>
      </c>
      <c r="P464" s="136">
        <f t="shared" si="14"/>
        <v>0</v>
      </c>
      <c r="Q464" s="140"/>
      <c r="R464" s="144">
        <v>1</v>
      </c>
    </row>
    <row r="465" spans="1:18" ht="21.95" customHeight="1">
      <c r="A465" s="71" t="s">
        <v>5152</v>
      </c>
      <c r="B465" s="69"/>
      <c r="C465" s="70"/>
      <c r="D465" s="69"/>
      <c r="E465" s="69"/>
      <c r="F465" s="65"/>
      <c r="G465" s="65" t="s">
        <v>5811</v>
      </c>
      <c r="H465" s="65" t="str">
        <f>IFERROR(INDEX('Docketed Comments'!C:C,MATCH(A465,'Docketed Comments'!H:H,0))&amp;", "&amp;INDEX('Docketed Comments'!B:B,MATCH(A465,'Docketed Comments'!H:H,0)),"")</f>
        <v>Sandy, Roe</v>
      </c>
      <c r="I465" s="65" t="str">
        <f>IFERROR(INDEX('Docketed Comments'!D:D,MATCH(A465,'Docketed Comments'!H:H,0)),"")</f>
        <v>Goodyear</v>
      </c>
      <c r="J465" s="65" t="str">
        <f>IFERROR(INDEX('Docketed Comments'!I:I,MATCH(A465,'Docketed Comments'!H:H,0)),"")</f>
        <v>R-XS</v>
      </c>
      <c r="K465" s="65" t="str">
        <f t="shared" si="15"/>
        <v>✅ On Best Plan</v>
      </c>
      <c r="L465" s="65" t="str">
        <f>IFERROR(INDEX('Docketed Comments'!F:F,MATCH(A465,'Docketed Comments'!H:H,0)),"")</f>
        <v>Opposed</v>
      </c>
      <c r="M465" s="137" t="str">
        <f>IFERROR(HYPERLINK(INDEX('Docketed Comments'!G:G,MATCH(A465,'Docketed Comments'!H:H,0)),"📄 View Docket"),"")</f>
        <v>📄 View Docket</v>
      </c>
      <c r="N465" s="135" t="str">
        <f>IFERROR(INDEX('Docketed Comments'!N:N,MATCH(A465,'Docketed Comments'!H:H,0)),"")</f>
        <v>No</v>
      </c>
      <c r="O465" s="135" t="str">
        <f>IFERROR(INDEX('Docketed Comments'!L:L,MATCH(A465,'Docketed Comments'!H:H,0)),"")</f>
        <v>Yes</v>
      </c>
      <c r="P465" s="136">
        <f t="shared" si="14"/>
        <v>0</v>
      </c>
      <c r="Q465" s="140"/>
      <c r="R465" s="144">
        <v>1</v>
      </c>
    </row>
    <row r="466" spans="1:18" ht="21.95" customHeight="1">
      <c r="A466" s="71" t="s">
        <v>5153</v>
      </c>
      <c r="B466" s="69"/>
      <c r="C466" s="70"/>
      <c r="D466" s="69"/>
      <c r="E466" s="69"/>
      <c r="F466" s="65"/>
      <c r="G466" s="65" t="s">
        <v>5811</v>
      </c>
      <c r="H466" s="65" t="str">
        <f>IFERROR(INDEX('Docketed Comments'!C:C,MATCH(A466,'Docketed Comments'!H:H,0))&amp;", "&amp;INDEX('Docketed Comments'!B:B,MATCH(A466,'Docketed Comments'!H:H,0)),"")</f>
        <v>Dava, Esman</v>
      </c>
      <c r="I466" s="65" t="str">
        <f>IFERROR(INDEX('Docketed Comments'!D:D,MATCH(A466,'Docketed Comments'!H:H,0)),"")</f>
        <v>Goodyear</v>
      </c>
      <c r="J466" s="65" t="str">
        <f>IFERROR(INDEX('Docketed Comments'!I:I,MATCH(A466,'Docketed Comments'!H:H,0)),"")</f>
        <v>RTOUE47</v>
      </c>
      <c r="K466" s="65" t="str">
        <f t="shared" si="15"/>
        <v>✅ On Best Plan</v>
      </c>
      <c r="L466" s="65" t="str">
        <f>IFERROR(INDEX('Docketed Comments'!F:F,MATCH(A466,'Docketed Comments'!H:H,0)),"")</f>
        <v>Unfair and discriminatory</v>
      </c>
      <c r="M466" s="137" t="str">
        <f>IFERROR(HYPERLINK(INDEX('Docketed Comments'!G:G,MATCH(A466,'Docketed Comments'!H:H,0)),"📄 View Docket"),"")</f>
        <v>📄 View Docket</v>
      </c>
      <c r="N466" s="135" t="str">
        <f>IFERROR(INDEX('Docketed Comments'!N:N,MATCH(A466,'Docketed Comments'!H:H,0)),"")</f>
        <v>No</v>
      </c>
      <c r="O466" s="135" t="str">
        <f>IFERROR(INDEX('Docketed Comments'!L:L,MATCH(A466,'Docketed Comments'!H:H,0)),"")</f>
        <v>Yes</v>
      </c>
      <c r="P466" s="136">
        <f t="shared" si="14"/>
        <v>0</v>
      </c>
      <c r="Q466" s="140"/>
      <c r="R466" s="144">
        <v>1</v>
      </c>
    </row>
    <row r="467" spans="1:18" ht="21.95" customHeight="1">
      <c r="A467" s="71" t="s">
        <v>5154</v>
      </c>
      <c r="B467" s="69"/>
      <c r="C467" s="70"/>
      <c r="D467" s="69"/>
      <c r="E467" s="69"/>
      <c r="F467" s="65"/>
      <c r="G467" s="65" t="s">
        <v>5811</v>
      </c>
      <c r="H467" s="65" t="str">
        <f>IFERROR(INDEX('Docketed Comments'!C:C,MATCH(A467,'Docketed Comments'!H:H,0))&amp;", "&amp;INDEX('Docketed Comments'!B:B,MATCH(A467,'Docketed Comments'!H:H,0)),"")</f>
        <v xml:space="preserve">Luke, He </v>
      </c>
      <c r="I467" s="65" t="str">
        <f>IFERROR(INDEX('Docketed Comments'!D:D,MATCH(A467,'Docketed Comments'!H:H,0)),"")</f>
        <v>Phoenix</v>
      </c>
      <c r="J467" s="65" t="str">
        <f>IFERROR(INDEX('Docketed Comments'!I:I,MATCH(A467,'Docketed Comments'!H:H,0)),"")</f>
        <v>R3-47</v>
      </c>
      <c r="K467" s="65" t="str">
        <f t="shared" si="15"/>
        <v>✅ On Best Plan</v>
      </c>
      <c r="L467" s="65" t="str">
        <f>IFERROR(INDEX('Docketed Comments'!F:F,MATCH(A467,'Docketed Comments'!H:H,0)),"")</f>
        <v>Form letter</v>
      </c>
      <c r="M467" s="137" t="str">
        <f>IFERROR(HYPERLINK(INDEX('Docketed Comments'!G:G,MATCH(A467,'Docketed Comments'!H:H,0)),"📄 View Docket"),"")</f>
        <v>📄 View Docket</v>
      </c>
      <c r="N467" s="135" t="str">
        <f>IFERROR(INDEX('Docketed Comments'!N:N,MATCH(A467,'Docketed Comments'!H:H,0)),"")</f>
        <v>No</v>
      </c>
      <c r="O467" s="135" t="str">
        <f>IFERROR(INDEX('Docketed Comments'!L:L,MATCH(A467,'Docketed Comments'!H:H,0)),"")</f>
        <v>Yes</v>
      </c>
      <c r="P467" s="136">
        <f t="shared" si="14"/>
        <v>0</v>
      </c>
      <c r="Q467" s="140"/>
      <c r="R467" s="144">
        <v>1</v>
      </c>
    </row>
    <row r="468" spans="1:18" ht="21.95" customHeight="1">
      <c r="A468" s="71" t="s">
        <v>5155</v>
      </c>
      <c r="B468" s="69"/>
      <c r="C468" s="70"/>
      <c r="D468" s="69"/>
      <c r="E468" s="69"/>
      <c r="F468" s="65"/>
      <c r="G468" s="65" t="s">
        <v>5811</v>
      </c>
      <c r="H468" s="65" t="str">
        <f>IFERROR(INDEX('Docketed Comments'!C:C,MATCH(A468,'Docketed Comments'!H:H,0))&amp;", "&amp;INDEX('Docketed Comments'!B:B,MATCH(A468,'Docketed Comments'!H:H,0)),"")</f>
        <v>Alan, Duensing</v>
      </c>
      <c r="I468" s="65" t="str">
        <f>IFERROR(INDEX('Docketed Comments'!D:D,MATCH(A468,'Docketed Comments'!H:H,0)),"")</f>
        <v>Goodyear</v>
      </c>
      <c r="J468" s="65" t="str">
        <f>IFERROR(INDEX('Docketed Comments'!I:I,MATCH(A468,'Docketed Comments'!H:H,0)),"")</f>
        <v>R3-47</v>
      </c>
      <c r="K468" s="65" t="str">
        <f t="shared" si="15"/>
        <v>✅ On Best Plan</v>
      </c>
      <c r="L468" s="65" t="str">
        <f>IFERROR(INDEX('Docketed Comments'!F:F,MATCH(A468,'Docketed Comments'!H:H,0)),"")</f>
        <v>Opposed</v>
      </c>
      <c r="M468" s="137" t="str">
        <f>IFERROR(HYPERLINK(INDEX('Docketed Comments'!G:G,MATCH(A468,'Docketed Comments'!H:H,0)),"📄 View Docket"),"")</f>
        <v>📄 View Docket</v>
      </c>
      <c r="N468" s="135" t="str">
        <f>IFERROR(INDEX('Docketed Comments'!N:N,MATCH(A468,'Docketed Comments'!H:H,0)),"")</f>
        <v>No</v>
      </c>
      <c r="O468" s="135" t="str">
        <f>IFERROR(INDEX('Docketed Comments'!L:L,MATCH(A468,'Docketed Comments'!H:H,0)),"")</f>
        <v>Yes</v>
      </c>
      <c r="P468" s="136">
        <f t="shared" si="14"/>
        <v>0</v>
      </c>
      <c r="Q468" s="140"/>
      <c r="R468" s="144">
        <v>1</v>
      </c>
    </row>
    <row r="469" spans="1:18" ht="21.95" customHeight="1">
      <c r="A469" s="71" t="s">
        <v>5156</v>
      </c>
      <c r="B469" s="69"/>
      <c r="C469" s="70"/>
      <c r="D469" s="69"/>
      <c r="E469" s="69"/>
      <c r="F469" s="65"/>
      <c r="G469" s="65" t="s">
        <v>5811</v>
      </c>
      <c r="H469" s="65" t="str">
        <f>IFERROR(INDEX('Docketed Comments'!C:C,MATCH(A469,'Docketed Comments'!H:H,0))&amp;", "&amp;INDEX('Docketed Comments'!B:B,MATCH(A469,'Docketed Comments'!H:H,0)),"")</f>
        <v>Ravyn, Day</v>
      </c>
      <c r="I469" s="65" t="str">
        <f>IFERROR(INDEX('Docketed Comments'!D:D,MATCH(A469,'Docketed Comments'!H:H,0)),"")</f>
        <v>Scottsdale</v>
      </c>
      <c r="J469" s="65" t="str">
        <f>IFERROR(INDEX('Docketed Comments'!I:I,MATCH(A469,'Docketed Comments'!H:H,0)),"")</f>
        <v>R3-47</v>
      </c>
      <c r="K469" s="65" t="str">
        <f t="shared" si="15"/>
        <v>✅ On Best Plan</v>
      </c>
      <c r="L469" s="65" t="str">
        <f>IFERROR(INDEX('Docketed Comments'!F:F,MATCH(A469,'Docketed Comments'!H:H,0)),"")</f>
        <v>Opposed</v>
      </c>
      <c r="M469" s="137" t="str">
        <f>IFERROR(HYPERLINK(INDEX('Docketed Comments'!G:G,MATCH(A469,'Docketed Comments'!H:H,0)),"📄 View Docket"),"")</f>
        <v>📄 View Docket</v>
      </c>
      <c r="N469" s="135" t="str">
        <f>IFERROR(INDEX('Docketed Comments'!N:N,MATCH(A469,'Docketed Comments'!H:H,0)),"")</f>
        <v>No</v>
      </c>
      <c r="O469" s="135" t="str">
        <f>IFERROR(INDEX('Docketed Comments'!L:L,MATCH(A469,'Docketed Comments'!H:H,0)),"")</f>
        <v>Yes</v>
      </c>
      <c r="P469" s="136">
        <f t="shared" si="14"/>
        <v>0</v>
      </c>
      <c r="Q469" s="140"/>
      <c r="R469" s="144">
        <v>1</v>
      </c>
    </row>
    <row r="470" spans="1:18" ht="21.95" customHeight="1">
      <c r="A470" s="71" t="s">
        <v>5157</v>
      </c>
      <c r="B470" s="69"/>
      <c r="C470" s="70"/>
      <c r="D470" s="69"/>
      <c r="E470" s="69"/>
      <c r="F470" s="65"/>
      <c r="G470" s="65" t="s">
        <v>5811</v>
      </c>
      <c r="H470" s="65" t="str">
        <f>IFERROR(INDEX('Docketed Comments'!C:C,MATCH(A470,'Docketed Comments'!H:H,0))&amp;", "&amp;INDEX('Docketed Comments'!B:B,MATCH(A470,'Docketed Comments'!H:H,0)),"")</f>
        <v>Larry, Petersen</v>
      </c>
      <c r="I470" s="65" t="str">
        <f>IFERROR(INDEX('Docketed Comments'!D:D,MATCH(A470,'Docketed Comments'!H:H,0)),"")</f>
        <v>Goodyear</v>
      </c>
      <c r="J470" s="65" t="str">
        <f>IFERROR(INDEX('Docketed Comments'!I:I,MATCH(A470,'Docketed Comments'!H:H,0)),"")</f>
        <v>EPR-6w/ET-1</v>
      </c>
      <c r="K470" s="65" t="str">
        <f t="shared" si="15"/>
        <v>⚠ Frozen Rate</v>
      </c>
      <c r="L470" s="65" t="str">
        <f>IFERROR(INDEX('Docketed Comments'!F:F,MATCH(A470,'Docketed Comments'!H:H,0)),"")</f>
        <v>Opposed</v>
      </c>
      <c r="M470" s="137" t="str">
        <f>IFERROR(HYPERLINK(INDEX('Docketed Comments'!G:G,MATCH(A470,'Docketed Comments'!H:H,0)),"📄 View Docket"),"")</f>
        <v>📄 View Docket</v>
      </c>
      <c r="N470" s="135" t="str">
        <f>IFERROR(INDEX('Docketed Comments'!N:N,MATCH(A470,'Docketed Comments'!H:H,0)),"")</f>
        <v>No</v>
      </c>
      <c r="O470" s="135" t="str">
        <f>IFERROR(INDEX('Docketed Comments'!L:L,MATCH(A470,'Docketed Comments'!H:H,0)),"")</f>
        <v>Frozen Rate</v>
      </c>
      <c r="P470" s="136">
        <f t="shared" si="14"/>
        <v>0</v>
      </c>
      <c r="Q470" s="140"/>
      <c r="R470" s="144">
        <v>1</v>
      </c>
    </row>
    <row r="471" spans="1:18" ht="21.95" customHeight="1">
      <c r="A471" s="71" t="s">
        <v>5158</v>
      </c>
      <c r="B471" s="69"/>
      <c r="C471" s="70"/>
      <c r="D471" s="69"/>
      <c r="E471" s="69"/>
      <c r="F471" s="65"/>
      <c r="G471" s="65" t="s">
        <v>5811</v>
      </c>
      <c r="H471" s="65" t="str">
        <f>IFERROR(INDEX('Docketed Comments'!C:C,MATCH(A471,'Docketed Comments'!H:H,0))&amp;", "&amp;INDEX('Docketed Comments'!B:B,MATCH(A471,'Docketed Comments'!H:H,0)),"")</f>
        <v>Monica, Mahony</v>
      </c>
      <c r="I471" s="65" t="str">
        <f>IFERROR(INDEX('Docketed Comments'!D:D,MATCH(A471,'Docketed Comments'!H:H,0)),"")</f>
        <v>Scottsdale</v>
      </c>
      <c r="J471" s="65" t="str">
        <f>IFERROR(INDEX('Docketed Comments'!I:I,MATCH(A471,'Docketed Comments'!H:H,0)),"")</f>
        <v>R3-47</v>
      </c>
      <c r="K471" s="65" t="str">
        <f t="shared" si="15"/>
        <v>✅ On Best Plan</v>
      </c>
      <c r="L471" s="65" t="str">
        <f>IFERROR(INDEX('Docketed Comments'!F:F,MATCH(A471,'Docketed Comments'!H:H,0)),"")</f>
        <v>Opposed</v>
      </c>
      <c r="M471" s="137" t="str">
        <f>IFERROR(HYPERLINK(INDEX('Docketed Comments'!G:G,MATCH(A471,'Docketed Comments'!H:H,0)),"📄 View Docket"),"")</f>
        <v>📄 View Docket</v>
      </c>
      <c r="N471" s="135" t="str">
        <f>IFERROR(INDEX('Docketed Comments'!N:N,MATCH(A471,'Docketed Comments'!H:H,0)),"")</f>
        <v>No</v>
      </c>
      <c r="O471" s="135" t="str">
        <f>IFERROR(INDEX('Docketed Comments'!L:L,MATCH(A471,'Docketed Comments'!H:H,0)),"")</f>
        <v>Yes</v>
      </c>
      <c r="P471" s="136">
        <f t="shared" si="14"/>
        <v>0</v>
      </c>
      <c r="Q471" s="140"/>
      <c r="R471" s="144">
        <v>1</v>
      </c>
    </row>
    <row r="472" spans="1:18" ht="21.95" customHeight="1">
      <c r="A472" s="71" t="s">
        <v>5159</v>
      </c>
      <c r="B472" s="69"/>
      <c r="C472" s="70"/>
      <c r="D472" s="69"/>
      <c r="E472" s="69"/>
      <c r="F472" s="65"/>
      <c r="G472" s="65" t="s">
        <v>5811</v>
      </c>
      <c r="H472" s="65" t="str">
        <f>IFERROR(INDEX('Docketed Comments'!C:C,MATCH(A472,'Docketed Comments'!H:H,0))&amp;", "&amp;INDEX('Docketed Comments'!B:B,MATCH(A472,'Docketed Comments'!H:H,0)),"")</f>
        <v>Dave, Briney</v>
      </c>
      <c r="I472" s="65" t="str">
        <f>IFERROR(INDEX('Docketed Comments'!D:D,MATCH(A472,'Docketed Comments'!H:H,0)),"")</f>
        <v>Phoenix</v>
      </c>
      <c r="J472" s="65" t="str">
        <f>IFERROR(INDEX('Docketed Comments'!I:I,MATCH(A472,'Docketed Comments'!H:H,0)),"")</f>
        <v>R3-47</v>
      </c>
      <c r="K472" s="65" t="str">
        <f t="shared" si="15"/>
        <v>✅ On Best Plan</v>
      </c>
      <c r="L472" s="65" t="str">
        <f>IFERROR(INDEX('Docketed Comments'!F:F,MATCH(A472,'Docketed Comments'!H:H,0)),"")</f>
        <v>Form letter</v>
      </c>
      <c r="M472" s="137" t="str">
        <f>IFERROR(HYPERLINK(INDEX('Docketed Comments'!G:G,MATCH(A472,'Docketed Comments'!H:H,0)),"📄 View Docket"),"")</f>
        <v>📄 View Docket</v>
      </c>
      <c r="N472" s="135" t="str">
        <f>IFERROR(INDEX('Docketed Comments'!N:N,MATCH(A472,'Docketed Comments'!H:H,0)),"")</f>
        <v>No</v>
      </c>
      <c r="O472" s="135" t="str">
        <f>IFERROR(INDEX('Docketed Comments'!L:L,MATCH(A472,'Docketed Comments'!H:H,0)),"")</f>
        <v>Yes</v>
      </c>
      <c r="P472" s="136">
        <f t="shared" si="14"/>
        <v>0</v>
      </c>
      <c r="Q472" s="140"/>
      <c r="R472" s="144">
        <v>1</v>
      </c>
    </row>
    <row r="473" spans="1:18" ht="21.95" customHeight="1">
      <c r="A473" s="71" t="s">
        <v>5160</v>
      </c>
      <c r="B473" s="69"/>
      <c r="C473" s="70"/>
      <c r="D473" s="69"/>
      <c r="E473" s="69"/>
      <c r="F473" s="65"/>
      <c r="G473" s="65" t="s">
        <v>5811</v>
      </c>
      <c r="H473" s="65" t="str">
        <f>IFERROR(INDEX('Docketed Comments'!C:C,MATCH(A473,'Docketed Comments'!H:H,0))&amp;", "&amp;INDEX('Docketed Comments'!B:B,MATCH(A473,'Docketed Comments'!H:H,0)),"")</f>
        <v>Mariah, Nabity</v>
      </c>
      <c r="I473" s="65" t="str">
        <f>IFERROR(INDEX('Docketed Comments'!D:D,MATCH(A473,'Docketed Comments'!H:H,0)),"")</f>
        <v>Yuma</v>
      </c>
      <c r="J473" s="65" t="str">
        <f>IFERROR(INDEX('Docketed Comments'!I:I,MATCH(A473,'Docketed Comments'!H:H,0)),"")</f>
        <v>R-BASIC</v>
      </c>
      <c r="K473" s="65" t="str">
        <f t="shared" si="15"/>
        <v>✅ On Best Plan</v>
      </c>
      <c r="L473" s="65" t="str">
        <f>IFERROR(INDEX('Docketed Comments'!F:F,MATCH(A473,'Docketed Comments'!H:H,0)),"")</f>
        <v>Form letter</v>
      </c>
      <c r="M473" s="137" t="str">
        <f>IFERROR(HYPERLINK(INDEX('Docketed Comments'!G:G,MATCH(A473,'Docketed Comments'!H:H,0)),"📄 View Docket"),"")</f>
        <v>📄 View Docket</v>
      </c>
      <c r="N473" s="135" t="str">
        <f>IFERROR(INDEX('Docketed Comments'!N:N,MATCH(A473,'Docketed Comments'!H:H,0)),"")</f>
        <v>No</v>
      </c>
      <c r="O473" s="135" t="str">
        <f>IFERROR(INDEX('Docketed Comments'!L:L,MATCH(A473,'Docketed Comments'!H:H,0)),"")</f>
        <v>Yes</v>
      </c>
      <c r="P473" s="136">
        <f t="shared" si="14"/>
        <v>0</v>
      </c>
      <c r="Q473" s="140"/>
      <c r="R473" s="144">
        <v>1</v>
      </c>
    </row>
    <row r="474" spans="1:18" ht="21.95" customHeight="1">
      <c r="A474" s="71" t="s">
        <v>5161</v>
      </c>
      <c r="B474" s="69"/>
      <c r="C474" s="70"/>
      <c r="D474" s="69"/>
      <c r="E474" s="69"/>
      <c r="F474" s="65"/>
      <c r="G474" s="65" t="s">
        <v>5811</v>
      </c>
      <c r="H474" s="65" t="str">
        <f>IFERROR(INDEX('Docketed Comments'!C:C,MATCH(A474,'Docketed Comments'!H:H,0))&amp;", "&amp;INDEX('Docketed Comments'!B:B,MATCH(A474,'Docketed Comments'!H:H,0)),"")</f>
        <v>Jason, Lund</v>
      </c>
      <c r="I474" s="65" t="str">
        <f>IFERROR(INDEX('Docketed Comments'!D:D,MATCH(A474,'Docketed Comments'!H:H,0)),"")</f>
        <v>Phoenix</v>
      </c>
      <c r="J474" s="65" t="str">
        <f>IFERROR(INDEX('Docketed Comments'!I:I,MATCH(A474,'Docketed Comments'!H:H,0)),"")</f>
        <v>R-2</v>
      </c>
      <c r="K474" s="65" t="str">
        <f t="shared" si="15"/>
        <v>⚠ Frozen Rate</v>
      </c>
      <c r="L474" s="65" t="str">
        <f>IFERROR(INDEX('Docketed Comments'!F:F,MATCH(A474,'Docketed Comments'!H:H,0)),"")</f>
        <v>Form letter</v>
      </c>
      <c r="M474" s="137" t="str">
        <f>IFERROR(HYPERLINK(INDEX('Docketed Comments'!G:G,MATCH(A474,'Docketed Comments'!H:H,0)),"📄 View Docket"),"")</f>
        <v>📄 View Docket</v>
      </c>
      <c r="N474" s="135" t="str">
        <f>IFERROR(INDEX('Docketed Comments'!N:N,MATCH(A474,'Docketed Comments'!H:H,0)),"")</f>
        <v>No</v>
      </c>
      <c r="O474" s="135" t="str">
        <f>IFERROR(INDEX('Docketed Comments'!L:L,MATCH(A474,'Docketed Comments'!H:H,0)),"")</f>
        <v>Frozen Rate</v>
      </c>
      <c r="P474" s="136">
        <f t="shared" si="14"/>
        <v>0</v>
      </c>
      <c r="Q474" s="140"/>
      <c r="R474" s="144">
        <v>1</v>
      </c>
    </row>
    <row r="475" spans="1:18" ht="21.95" customHeight="1">
      <c r="A475" s="71" t="s">
        <v>5162</v>
      </c>
      <c r="B475" s="69"/>
      <c r="C475" s="70"/>
      <c r="D475" s="69"/>
      <c r="E475" s="69"/>
      <c r="F475" s="65"/>
      <c r="G475" s="65" t="s">
        <v>5811</v>
      </c>
      <c r="H475" s="65" t="str">
        <f>IFERROR(INDEX('Docketed Comments'!C:C,MATCH(A475,'Docketed Comments'!H:H,0))&amp;", "&amp;INDEX('Docketed Comments'!B:B,MATCH(A475,'Docketed Comments'!H:H,0)),"")</f>
        <v>Rebecca, Scheigert</v>
      </c>
      <c r="I475" s="65" t="str">
        <f>IFERROR(INDEX('Docketed Comments'!D:D,MATCH(A475,'Docketed Comments'!H:H,0)),"")</f>
        <v>Phoenix</v>
      </c>
      <c r="J475" s="65" t="str">
        <f>IFERROR(INDEX('Docketed Comments'!I:I,MATCH(A475,'Docketed Comments'!H:H,0)),"")</f>
        <v>R-BASICL</v>
      </c>
      <c r="K475" s="65" t="str">
        <f t="shared" si="15"/>
        <v>✅ On Best Plan</v>
      </c>
      <c r="L475" s="65" t="str">
        <f>IFERROR(INDEX('Docketed Comments'!F:F,MATCH(A475,'Docketed Comments'!H:H,0)),"")</f>
        <v>Form letter</v>
      </c>
      <c r="M475" s="137" t="str">
        <f>IFERROR(HYPERLINK(INDEX('Docketed Comments'!G:G,MATCH(A475,'Docketed Comments'!H:H,0)),"📄 View Docket"),"")</f>
        <v>📄 View Docket</v>
      </c>
      <c r="N475" s="135" t="str">
        <f>IFERROR(INDEX('Docketed Comments'!N:N,MATCH(A475,'Docketed Comments'!H:H,0)),"")</f>
        <v>No</v>
      </c>
      <c r="O475" s="135" t="str">
        <f>IFERROR(INDEX('Docketed Comments'!L:L,MATCH(A475,'Docketed Comments'!H:H,0)),"")</f>
        <v>Yes</v>
      </c>
      <c r="P475" s="136">
        <f t="shared" si="14"/>
        <v>0</v>
      </c>
      <c r="Q475" s="140"/>
      <c r="R475" s="144">
        <v>1</v>
      </c>
    </row>
    <row r="476" spans="1:18" ht="21.95" customHeight="1">
      <c r="A476" s="71" t="s">
        <v>5163</v>
      </c>
      <c r="B476" s="69"/>
      <c r="C476" s="70"/>
      <c r="D476" s="69"/>
      <c r="E476" s="69"/>
      <c r="F476" s="65"/>
      <c r="G476" s="65" t="s">
        <v>5811</v>
      </c>
      <c r="H476" s="65" t="str">
        <f>IFERROR(INDEX('Docketed Comments'!C:C,MATCH(A476,'Docketed Comments'!H:H,0))&amp;", "&amp;INDEX('Docketed Comments'!B:B,MATCH(A476,'Docketed Comments'!H:H,0)),"")</f>
        <v>Samuel, Scheele</v>
      </c>
      <c r="I476" s="65" t="str">
        <f>IFERROR(INDEX('Docketed Comments'!D:D,MATCH(A476,'Docketed Comments'!H:H,0)),"")</f>
        <v>Chandler</v>
      </c>
      <c r="J476" s="65" t="str">
        <f>IFERROR(INDEX('Docketed Comments'!I:I,MATCH(A476,'Docketed Comments'!H:H,0)),"")</f>
        <v>R-XS</v>
      </c>
      <c r="K476" s="65" t="str">
        <f t="shared" si="15"/>
        <v>✅ On Best Plan</v>
      </c>
      <c r="L476" s="65" t="str">
        <f>IFERROR(INDEX('Docketed Comments'!F:F,MATCH(A476,'Docketed Comments'!H:H,0)),"")</f>
        <v>Form letter</v>
      </c>
      <c r="M476" s="137" t="str">
        <f>IFERROR(HYPERLINK(INDEX('Docketed Comments'!G:G,MATCH(A476,'Docketed Comments'!H:H,0)),"📄 View Docket"),"")</f>
        <v>📄 View Docket</v>
      </c>
      <c r="N476" s="135" t="str">
        <f>IFERROR(INDEX('Docketed Comments'!N:N,MATCH(A476,'Docketed Comments'!H:H,0)),"")</f>
        <v>No</v>
      </c>
      <c r="O476" s="135" t="str">
        <f>IFERROR(INDEX('Docketed Comments'!L:L,MATCH(A476,'Docketed Comments'!H:H,0)),"")</f>
        <v>Yes</v>
      </c>
      <c r="P476" s="136">
        <f t="shared" si="14"/>
        <v>0</v>
      </c>
      <c r="Q476" s="140"/>
      <c r="R476" s="144">
        <v>1</v>
      </c>
    </row>
    <row r="477" spans="1:18" ht="21.95" customHeight="1">
      <c r="A477" s="71" t="s">
        <v>5164</v>
      </c>
      <c r="B477" s="69"/>
      <c r="C477" s="70"/>
      <c r="D477" s="69"/>
      <c r="E477" s="69"/>
      <c r="F477" s="65"/>
      <c r="G477" s="65" t="s">
        <v>5811</v>
      </c>
      <c r="H477" s="65" t="str">
        <f>IFERROR(INDEX('Docketed Comments'!C:C,MATCH(A477,'Docketed Comments'!H:H,0))&amp;", "&amp;INDEX('Docketed Comments'!B:B,MATCH(A477,'Docketed Comments'!H:H,0)),"")</f>
        <v>William, Geiger</v>
      </c>
      <c r="I477" s="65" t="str">
        <f>IFERROR(INDEX('Docketed Comments'!D:D,MATCH(A477,'Docketed Comments'!H:H,0)),"")</f>
        <v>Casa Grande</v>
      </c>
      <c r="J477" s="65" t="str">
        <f>IFERROR(INDEX('Docketed Comments'!I:I,MATCH(A477,'Docketed Comments'!H:H,0)),"")</f>
        <v>R3-47</v>
      </c>
      <c r="K477" s="65" t="str">
        <f t="shared" si="15"/>
        <v>✅ On Best Plan</v>
      </c>
      <c r="L477" s="65" t="str">
        <f>IFERROR(INDEX('Docketed Comments'!F:F,MATCH(A477,'Docketed Comments'!H:H,0)),"")</f>
        <v xml:space="preserve">Opposed </v>
      </c>
      <c r="M477" s="137" t="str">
        <f>IFERROR(HYPERLINK(INDEX('Docketed Comments'!G:G,MATCH(A477,'Docketed Comments'!H:H,0)),"📄 View Docket"),"")</f>
        <v>📄 View Docket</v>
      </c>
      <c r="N477" s="135" t="str">
        <f>IFERROR(INDEX('Docketed Comments'!N:N,MATCH(A477,'Docketed Comments'!H:H,0)),"")</f>
        <v>No</v>
      </c>
      <c r="O477" s="135" t="str">
        <f>IFERROR(INDEX('Docketed Comments'!L:L,MATCH(A477,'Docketed Comments'!H:H,0)),"")</f>
        <v>Yes</v>
      </c>
      <c r="P477" s="136">
        <f t="shared" si="14"/>
        <v>0</v>
      </c>
      <c r="Q477" s="140"/>
      <c r="R477" s="144">
        <v>1</v>
      </c>
    </row>
    <row r="478" spans="1:18" ht="21.95" customHeight="1">
      <c r="A478" s="71" t="s">
        <v>5165</v>
      </c>
      <c r="B478" s="69"/>
      <c r="C478" s="70"/>
      <c r="D478" s="69"/>
      <c r="E478" s="69"/>
      <c r="F478" s="65"/>
      <c r="G478" s="65" t="s">
        <v>5811</v>
      </c>
      <c r="H478" s="65" t="str">
        <f>IFERROR(INDEX('Docketed Comments'!C:C,MATCH(A478,'Docketed Comments'!H:H,0))&amp;", "&amp;INDEX('Docketed Comments'!B:B,MATCH(A478,'Docketed Comments'!H:H,0)),"")</f>
        <v xml:space="preserve">Soni, Singh </v>
      </c>
      <c r="I478" s="65" t="str">
        <f>IFERROR(INDEX('Docketed Comments'!D:D,MATCH(A478,'Docketed Comments'!H:H,0)),"")</f>
        <v>Phoenix</v>
      </c>
      <c r="J478" s="65" t="str">
        <f>IFERROR(INDEX('Docketed Comments'!I:I,MATCH(A478,'Docketed Comments'!H:H,0)),"")</f>
        <v>R3-47</v>
      </c>
      <c r="K478" s="65" t="str">
        <f t="shared" si="15"/>
        <v>✅ On Best Plan</v>
      </c>
      <c r="L478" s="65" t="str">
        <f>IFERROR(INDEX('Docketed Comments'!F:F,MATCH(A478,'Docketed Comments'!H:H,0)),"")</f>
        <v>Too high already, opposed</v>
      </c>
      <c r="M478" s="137" t="str">
        <f>IFERROR(HYPERLINK(INDEX('Docketed Comments'!G:G,MATCH(A478,'Docketed Comments'!H:H,0)),"📄 View Docket"),"")</f>
        <v>📄 View Docket</v>
      </c>
      <c r="N478" s="135" t="str">
        <f>IFERROR(INDEX('Docketed Comments'!N:N,MATCH(A478,'Docketed Comments'!H:H,0)),"")</f>
        <v>No</v>
      </c>
      <c r="O478" s="135" t="str">
        <f>IFERROR(INDEX('Docketed Comments'!L:L,MATCH(A478,'Docketed Comments'!H:H,0)),"")</f>
        <v>Yes</v>
      </c>
      <c r="P478" s="136">
        <f t="shared" si="14"/>
        <v>0</v>
      </c>
      <c r="Q478" s="140"/>
      <c r="R478" s="144">
        <v>1</v>
      </c>
    </row>
    <row r="479" spans="1:18" ht="21.95" customHeight="1">
      <c r="A479" s="71" t="s">
        <v>5166</v>
      </c>
      <c r="B479" s="69"/>
      <c r="C479" s="70"/>
      <c r="D479" s="69"/>
      <c r="E479" s="69"/>
      <c r="F479" s="65"/>
      <c r="G479" s="65" t="s">
        <v>5811</v>
      </c>
      <c r="H479" s="65" t="str">
        <f>IFERROR(INDEX('Docketed Comments'!C:C,MATCH(A479,'Docketed Comments'!H:H,0))&amp;", "&amp;INDEX('Docketed Comments'!B:B,MATCH(A479,'Docketed Comments'!H:H,0)),"")</f>
        <v>Rahul, Pratik</v>
      </c>
      <c r="I479" s="65" t="str">
        <f>IFERROR(INDEX('Docketed Comments'!D:D,MATCH(A479,'Docketed Comments'!H:H,0)),"")</f>
        <v>Phoenix</v>
      </c>
      <c r="J479" s="65" t="str">
        <f>IFERROR(INDEX('Docketed Comments'!I:I,MATCH(A479,'Docketed Comments'!H:H,0)),"")</f>
        <v>R3-47</v>
      </c>
      <c r="K479" s="65" t="str">
        <f t="shared" si="15"/>
        <v>✅ On Best Plan</v>
      </c>
      <c r="L479" s="65" t="str">
        <f>IFERROR(INDEX('Docketed Comments'!F:F,MATCH(A479,'Docketed Comments'!H:H,0)),"")</f>
        <v>Form letter</v>
      </c>
      <c r="M479" s="137" t="str">
        <f>IFERROR(HYPERLINK(INDEX('Docketed Comments'!G:G,MATCH(A479,'Docketed Comments'!H:H,0)),"📄 View Docket"),"")</f>
        <v>📄 View Docket</v>
      </c>
      <c r="N479" s="135" t="str">
        <f>IFERROR(INDEX('Docketed Comments'!N:N,MATCH(A479,'Docketed Comments'!H:H,0)),"")</f>
        <v>No</v>
      </c>
      <c r="O479" s="135" t="str">
        <f>IFERROR(INDEX('Docketed Comments'!L:L,MATCH(A479,'Docketed Comments'!H:H,0)),"")</f>
        <v>Yes</v>
      </c>
      <c r="P479" s="136">
        <f t="shared" si="14"/>
        <v>0</v>
      </c>
      <c r="Q479" s="140"/>
      <c r="R479" s="144">
        <v>1</v>
      </c>
    </row>
    <row r="480" spans="1:18" ht="21.95" customHeight="1">
      <c r="A480" s="71" t="s">
        <v>5167</v>
      </c>
      <c r="B480" s="69"/>
      <c r="C480" s="70"/>
      <c r="D480" s="69"/>
      <c r="E480" s="69"/>
      <c r="F480" s="65"/>
      <c r="G480" s="65" t="s">
        <v>5811</v>
      </c>
      <c r="H480" s="65" t="str">
        <f>IFERROR(INDEX('Docketed Comments'!C:C,MATCH(A480,'Docketed Comments'!H:H,0))&amp;", "&amp;INDEX('Docketed Comments'!B:B,MATCH(A480,'Docketed Comments'!H:H,0)),"")</f>
        <v>Vinod, Bodempudi</v>
      </c>
      <c r="I480" s="65" t="str">
        <f>IFERROR(INDEX('Docketed Comments'!D:D,MATCH(A480,'Docketed Comments'!H:H,0)),"")</f>
        <v>Peoria</v>
      </c>
      <c r="J480" s="65" t="str">
        <f>IFERROR(INDEX('Docketed Comments'!I:I,MATCH(A480,'Docketed Comments'!H:H,0)),"")</f>
        <v>RTOUE47</v>
      </c>
      <c r="K480" s="65" t="str">
        <f t="shared" si="15"/>
        <v>✅ On Best Plan</v>
      </c>
      <c r="L480" s="65" t="str">
        <f>IFERROR(INDEX('Docketed Comments'!F:F,MATCH(A480,'Docketed Comments'!H:H,0)),"")</f>
        <v>Form letter</v>
      </c>
      <c r="M480" s="137" t="str">
        <f>IFERROR(HYPERLINK(INDEX('Docketed Comments'!G:G,MATCH(A480,'Docketed Comments'!H:H,0)),"📄 View Docket"),"")</f>
        <v>📄 View Docket</v>
      </c>
      <c r="N480" s="135" t="str">
        <f>IFERROR(INDEX('Docketed Comments'!N:N,MATCH(A480,'Docketed Comments'!H:H,0)),"")</f>
        <v>No</v>
      </c>
      <c r="O480" s="135" t="str">
        <f>IFERROR(INDEX('Docketed Comments'!L:L,MATCH(A480,'Docketed Comments'!H:H,0)),"")</f>
        <v>Yes</v>
      </c>
      <c r="P480" s="136">
        <f t="shared" si="14"/>
        <v>0</v>
      </c>
      <c r="Q480" s="140"/>
      <c r="R480" s="144">
        <v>1</v>
      </c>
    </row>
    <row r="481" spans="1:18" ht="21.95" customHeight="1">
      <c r="A481" s="71" t="s">
        <v>5168</v>
      </c>
      <c r="B481" s="69"/>
      <c r="C481" s="70"/>
      <c r="D481" s="69"/>
      <c r="E481" s="69"/>
      <c r="F481" s="65"/>
      <c r="G481" s="65" t="s">
        <v>5811</v>
      </c>
      <c r="H481" s="65" t="str">
        <f>IFERROR(INDEX('Docketed Comments'!C:C,MATCH(A481,'Docketed Comments'!H:H,0))&amp;", "&amp;INDEX('Docketed Comments'!B:B,MATCH(A481,'Docketed Comments'!H:H,0)),"")</f>
        <v>Corianne, Nelson</v>
      </c>
      <c r="I481" s="65" t="str">
        <f>IFERROR(INDEX('Docketed Comments'!D:D,MATCH(A481,'Docketed Comments'!H:H,0)),"")</f>
        <v>Phoenix</v>
      </c>
      <c r="J481" s="65" t="str">
        <f>IFERROR(INDEX('Docketed Comments'!I:I,MATCH(A481,'Docketed Comments'!H:H,0)),"")</f>
        <v>R3-47</v>
      </c>
      <c r="K481" s="65" t="str">
        <f t="shared" si="15"/>
        <v>✅ On Best Plan</v>
      </c>
      <c r="L481" s="65" t="str">
        <f>IFERROR(INDEX('Docketed Comments'!F:F,MATCH(A481,'Docketed Comments'!H:H,0)),"")</f>
        <v>Form letter</v>
      </c>
      <c r="M481" s="137" t="str">
        <f>IFERROR(HYPERLINK(INDEX('Docketed Comments'!G:G,MATCH(A481,'Docketed Comments'!H:H,0)),"📄 View Docket"),"")</f>
        <v>📄 View Docket</v>
      </c>
      <c r="N481" s="135" t="str">
        <f>IFERROR(INDEX('Docketed Comments'!N:N,MATCH(A481,'Docketed Comments'!H:H,0)),"")</f>
        <v>No</v>
      </c>
      <c r="O481" s="135" t="str">
        <f>IFERROR(INDEX('Docketed Comments'!L:L,MATCH(A481,'Docketed Comments'!H:H,0)),"")</f>
        <v>Yes</v>
      </c>
      <c r="P481" s="136">
        <f t="shared" si="14"/>
        <v>0</v>
      </c>
      <c r="Q481" s="140"/>
      <c r="R481" s="144">
        <v>1</v>
      </c>
    </row>
    <row r="482" spans="1:18" ht="21.95" customHeight="1">
      <c r="A482" s="71" t="s">
        <v>5169</v>
      </c>
      <c r="B482" s="69"/>
      <c r="C482" s="70"/>
      <c r="D482" s="69"/>
      <c r="E482" s="69"/>
      <c r="F482" s="65"/>
      <c r="G482" s="65" t="s">
        <v>5811</v>
      </c>
      <c r="H482" s="65" t="str">
        <f>IFERROR(INDEX('Docketed Comments'!C:C,MATCH(A482,'Docketed Comments'!H:H,0))&amp;", "&amp;INDEX('Docketed Comments'!B:B,MATCH(A482,'Docketed Comments'!H:H,0)),"")</f>
        <v>Charles, Van Marter</v>
      </c>
      <c r="I482" s="65" t="str">
        <f>IFERROR(INDEX('Docketed Comments'!D:D,MATCH(A482,'Docketed Comments'!H:H,0)),"")</f>
        <v>Goodyear</v>
      </c>
      <c r="J482" s="65" t="str">
        <f>IFERROR(INDEX('Docketed Comments'!I:I,MATCH(A482,'Docketed Comments'!H:H,0)),"")</f>
        <v>R3-47</v>
      </c>
      <c r="K482" s="65" t="str">
        <f t="shared" si="15"/>
        <v>✅ On Best Plan</v>
      </c>
      <c r="L482" s="65" t="str">
        <f>IFERROR(INDEX('Docketed Comments'!F:F,MATCH(A482,'Docketed Comments'!H:H,0)),"")</f>
        <v>Opposed</v>
      </c>
      <c r="M482" s="137" t="str">
        <f>IFERROR(HYPERLINK(INDEX('Docketed Comments'!G:G,MATCH(A482,'Docketed Comments'!H:H,0)),"📄 View Docket"),"")</f>
        <v>📄 View Docket</v>
      </c>
      <c r="N482" s="135" t="str">
        <f>IFERROR(INDEX('Docketed Comments'!N:N,MATCH(A482,'Docketed Comments'!H:H,0)),"")</f>
        <v>No</v>
      </c>
      <c r="O482" s="135" t="str">
        <f>IFERROR(INDEX('Docketed Comments'!L:L,MATCH(A482,'Docketed Comments'!H:H,0)),"")</f>
        <v>Yes</v>
      </c>
      <c r="P482" s="136">
        <f t="shared" si="14"/>
        <v>0</v>
      </c>
      <c r="Q482" s="140"/>
      <c r="R482" s="144">
        <v>1</v>
      </c>
    </row>
    <row r="483" spans="1:18" ht="21.95" customHeight="1">
      <c r="A483" s="71" t="s">
        <v>5170</v>
      </c>
      <c r="B483" s="69"/>
      <c r="C483" s="70"/>
      <c r="D483" s="69"/>
      <c r="E483" s="69"/>
      <c r="F483" s="65"/>
      <c r="G483" s="65" t="s">
        <v>5811</v>
      </c>
      <c r="H483" s="65" t="str">
        <f>IFERROR(INDEX('Docketed Comments'!C:C,MATCH(A483,'Docketed Comments'!H:H,0))&amp;", "&amp;INDEX('Docketed Comments'!B:B,MATCH(A483,'Docketed Comments'!H:H,0)),"")</f>
        <v>Nicholas, Gulotta</v>
      </c>
      <c r="I483" s="65" t="str">
        <f>IFERROR(INDEX('Docketed Comments'!D:D,MATCH(A483,'Docketed Comments'!H:H,0)),"")</f>
        <v>Tempe</v>
      </c>
      <c r="J483" s="65" t="str">
        <f>IFERROR(INDEX('Docketed Comments'!I:I,MATCH(A483,'Docketed Comments'!H:H,0)),"")</f>
        <v>R-XS</v>
      </c>
      <c r="K483" s="65" t="str">
        <f t="shared" si="15"/>
        <v>✅ On Best Plan</v>
      </c>
      <c r="L483" s="65" t="str">
        <f>IFERROR(INDEX('Docketed Comments'!F:F,MATCH(A483,'Docketed Comments'!H:H,0)),"")</f>
        <v>Form letter</v>
      </c>
      <c r="M483" s="137" t="str">
        <f>IFERROR(HYPERLINK(INDEX('Docketed Comments'!G:G,MATCH(A483,'Docketed Comments'!H:H,0)),"📄 View Docket"),"")</f>
        <v>📄 View Docket</v>
      </c>
      <c r="N483" s="135" t="str">
        <f>IFERROR(INDEX('Docketed Comments'!N:N,MATCH(A483,'Docketed Comments'!H:H,0)),"")</f>
        <v>No</v>
      </c>
      <c r="O483" s="135" t="str">
        <f>IFERROR(INDEX('Docketed Comments'!L:L,MATCH(A483,'Docketed Comments'!H:H,0)),"")</f>
        <v>Yes</v>
      </c>
      <c r="P483" s="136">
        <f t="shared" si="14"/>
        <v>0</v>
      </c>
      <c r="Q483" s="140"/>
      <c r="R483" s="144">
        <v>1</v>
      </c>
    </row>
    <row r="484" spans="1:18" ht="21.95" customHeight="1">
      <c r="A484" s="71" t="s">
        <v>5171</v>
      </c>
      <c r="B484" s="69"/>
      <c r="C484" s="70"/>
      <c r="D484" s="69"/>
      <c r="E484" s="69"/>
      <c r="F484" s="65"/>
      <c r="G484" s="65" t="s">
        <v>5811</v>
      </c>
      <c r="H484" s="65" t="str">
        <f>IFERROR(INDEX('Docketed Comments'!C:C,MATCH(A484,'Docketed Comments'!H:H,0))&amp;", "&amp;INDEX('Docketed Comments'!B:B,MATCH(A484,'Docketed Comments'!H:H,0)),"")</f>
        <v>Gabriel, Caballero Sosa</v>
      </c>
      <c r="I484" s="65" t="str">
        <f>IFERROR(INDEX('Docketed Comments'!D:D,MATCH(A484,'Docketed Comments'!H:H,0)),"")</f>
        <v>Phoenix</v>
      </c>
      <c r="J484" s="65" t="str">
        <f>IFERROR(INDEX('Docketed Comments'!I:I,MATCH(A484,'Docketed Comments'!H:H,0)),"")</f>
        <v>R-XS</v>
      </c>
      <c r="K484" s="65" t="str">
        <f t="shared" si="15"/>
        <v>✅ On Best Plan</v>
      </c>
      <c r="L484" s="65" t="str">
        <f>IFERROR(INDEX('Docketed Comments'!F:F,MATCH(A484,'Docketed Comments'!H:H,0)),"")</f>
        <v>Form letter</v>
      </c>
      <c r="M484" s="137" t="str">
        <f>IFERROR(HYPERLINK(INDEX('Docketed Comments'!G:G,MATCH(A484,'Docketed Comments'!H:H,0)),"📄 View Docket"),"")</f>
        <v>📄 View Docket</v>
      </c>
      <c r="N484" s="135" t="str">
        <f>IFERROR(INDEX('Docketed Comments'!N:N,MATCH(A484,'Docketed Comments'!H:H,0)),"")</f>
        <v>No</v>
      </c>
      <c r="O484" s="135" t="str">
        <f>IFERROR(INDEX('Docketed Comments'!L:L,MATCH(A484,'Docketed Comments'!H:H,0)),"")</f>
        <v>Yes</v>
      </c>
      <c r="P484" s="136">
        <f t="shared" si="14"/>
        <v>0</v>
      </c>
      <c r="Q484" s="140"/>
      <c r="R484" s="144">
        <v>1</v>
      </c>
    </row>
    <row r="485" spans="1:18" ht="21.95" customHeight="1">
      <c r="A485" s="71" t="s">
        <v>5172</v>
      </c>
      <c r="B485" s="69"/>
      <c r="C485" s="70"/>
      <c r="D485" s="69"/>
      <c r="E485" s="69"/>
      <c r="F485" s="65"/>
      <c r="G485" s="65" t="s">
        <v>5811</v>
      </c>
      <c r="H485" s="65" t="str">
        <f>IFERROR(INDEX('Docketed Comments'!C:C,MATCH(A485,'Docketed Comments'!H:H,0))&amp;", "&amp;INDEX('Docketed Comments'!B:B,MATCH(A485,'Docketed Comments'!H:H,0)),"")</f>
        <v>Chelsie, Harrison</v>
      </c>
      <c r="I485" s="65" t="str">
        <f>IFERROR(INDEX('Docketed Comments'!D:D,MATCH(A485,'Docketed Comments'!H:H,0)),"")</f>
        <v>Cottonwood</v>
      </c>
      <c r="J485" s="65" t="str">
        <f>IFERROR(INDEX('Docketed Comments'!I:I,MATCH(A485,'Docketed Comments'!H:H,0)),"")</f>
        <v>R-XS</v>
      </c>
      <c r="K485" s="65" t="str">
        <f t="shared" si="15"/>
        <v>✅ On Best Plan</v>
      </c>
      <c r="L485" s="65" t="str">
        <f>IFERROR(INDEX('Docketed Comments'!F:F,MATCH(A485,'Docketed Comments'!H:H,0)),"")</f>
        <v>Detrimental to our financial stability</v>
      </c>
      <c r="M485" s="137" t="str">
        <f>IFERROR(HYPERLINK(INDEX('Docketed Comments'!G:G,MATCH(A485,'Docketed Comments'!H:H,0)),"📄 View Docket"),"")</f>
        <v>📄 View Docket</v>
      </c>
      <c r="N485" s="135" t="str">
        <f>IFERROR(INDEX('Docketed Comments'!N:N,MATCH(A485,'Docketed Comments'!H:H,0)),"")</f>
        <v>No</v>
      </c>
      <c r="O485" s="135" t="str">
        <f>IFERROR(INDEX('Docketed Comments'!L:L,MATCH(A485,'Docketed Comments'!H:H,0)),"")</f>
        <v>Yes</v>
      </c>
      <c r="P485" s="136">
        <f t="shared" si="14"/>
        <v>0</v>
      </c>
      <c r="Q485" s="140"/>
      <c r="R485" s="144">
        <v>1</v>
      </c>
    </row>
    <row r="486" spans="1:18" ht="21.95" customHeight="1">
      <c r="A486" s="71" t="s">
        <v>5173</v>
      </c>
      <c r="B486" s="69"/>
      <c r="C486" s="70"/>
      <c r="D486" s="69"/>
      <c r="E486" s="69"/>
      <c r="F486" s="65"/>
      <c r="G486" s="65" t="s">
        <v>5811</v>
      </c>
      <c r="H486" s="65" t="str">
        <f>IFERROR(INDEX('Docketed Comments'!C:C,MATCH(A486,'Docketed Comments'!H:H,0))&amp;", "&amp;INDEX('Docketed Comments'!B:B,MATCH(A486,'Docketed Comments'!H:H,0)),"")</f>
        <v>Leslie, Bartley</v>
      </c>
      <c r="I486" s="65" t="str">
        <f>IFERROR(INDEX('Docketed Comments'!D:D,MATCH(A486,'Docketed Comments'!H:H,0)),"")</f>
        <v>Goodyear</v>
      </c>
      <c r="J486" s="65" t="str">
        <f>IFERROR(INDEX('Docketed Comments'!I:I,MATCH(A486,'Docketed Comments'!H:H,0)),"")</f>
        <v>Multiple SAs</v>
      </c>
      <c r="K486" s="65" t="str">
        <f t="shared" si="15"/>
        <v>✅ On Best Plan</v>
      </c>
      <c r="L486" s="65" t="str">
        <f>IFERROR(INDEX('Docketed Comments'!F:F,MATCH(A486,'Docketed Comments'!H:H,0)),"")</f>
        <v xml:space="preserve">Unfair  </v>
      </c>
      <c r="M486" s="137" t="str">
        <f>IFERROR(HYPERLINK(INDEX('Docketed Comments'!G:G,MATCH(A486,'Docketed Comments'!H:H,0)),"📄 View Docket"),"")</f>
        <v>📄 View Docket</v>
      </c>
      <c r="N486" s="135" t="str">
        <f>IFERROR(INDEX('Docketed Comments'!N:N,MATCH(A486,'Docketed Comments'!H:H,0)),"")</f>
        <v>No</v>
      </c>
      <c r="O486" s="135" t="str">
        <f>IFERROR(INDEX('Docketed Comments'!L:L,MATCH(A486,'Docketed Comments'!H:H,0)),"")</f>
        <v>Yes</v>
      </c>
      <c r="P486" s="136">
        <f t="shared" si="14"/>
        <v>0</v>
      </c>
      <c r="Q486" s="140"/>
      <c r="R486" s="144">
        <v>1</v>
      </c>
    </row>
    <row r="487" spans="1:18" ht="21.95" customHeight="1">
      <c r="A487" s="71" t="s">
        <v>5174</v>
      </c>
      <c r="B487" s="69"/>
      <c r="C487" s="70"/>
      <c r="D487" s="69"/>
      <c r="E487" s="69"/>
      <c r="F487" s="65"/>
      <c r="G487" s="65" t="s">
        <v>5811</v>
      </c>
      <c r="H487" s="65" t="str">
        <f>IFERROR(INDEX('Docketed Comments'!C:C,MATCH(A487,'Docketed Comments'!H:H,0))&amp;", "&amp;INDEX('Docketed Comments'!B:B,MATCH(A487,'Docketed Comments'!H:H,0)),"")</f>
        <v>Candace, Lawson</v>
      </c>
      <c r="I487" s="65" t="str">
        <f>IFERROR(INDEX('Docketed Comments'!D:D,MATCH(A487,'Docketed Comments'!H:H,0)),"")</f>
        <v>Goodyear</v>
      </c>
      <c r="J487" s="65" t="str">
        <f>IFERROR(INDEX('Docketed Comments'!I:I,MATCH(A487,'Docketed Comments'!H:H,0)),"")</f>
        <v>EPR-6w/E-12</v>
      </c>
      <c r="K487" s="65" t="str">
        <f t="shared" si="15"/>
        <v>⚠ Frozen Rate</v>
      </c>
      <c r="L487" s="65" t="str">
        <f>IFERROR(INDEX('Docketed Comments'!F:F,MATCH(A487,'Docketed Comments'!H:H,0)),"")</f>
        <v>Opposed</v>
      </c>
      <c r="M487" s="137" t="str">
        <f>IFERROR(HYPERLINK(INDEX('Docketed Comments'!G:G,MATCH(A487,'Docketed Comments'!H:H,0)),"📄 View Docket"),"")</f>
        <v>📄 View Docket</v>
      </c>
      <c r="N487" s="135" t="str">
        <f>IFERROR(INDEX('Docketed Comments'!N:N,MATCH(A487,'Docketed Comments'!H:H,0)),"")</f>
        <v>No</v>
      </c>
      <c r="O487" s="135" t="str">
        <f>IFERROR(INDEX('Docketed Comments'!L:L,MATCH(A487,'Docketed Comments'!H:H,0)),"")</f>
        <v>Frozen Rate</v>
      </c>
      <c r="P487" s="136">
        <f t="shared" si="14"/>
        <v>0</v>
      </c>
      <c r="Q487" s="140"/>
      <c r="R487" s="144">
        <v>1</v>
      </c>
    </row>
    <row r="488" spans="1:18" ht="21.95" customHeight="1">
      <c r="A488" s="71" t="s">
        <v>5175</v>
      </c>
      <c r="B488" s="69"/>
      <c r="C488" s="70"/>
      <c r="D488" s="69"/>
      <c r="E488" s="69"/>
      <c r="F488" s="65"/>
      <c r="G488" s="65" t="s">
        <v>5811</v>
      </c>
      <c r="H488" s="65" t="str">
        <f>IFERROR(INDEX('Docketed Comments'!C:C,MATCH(A488,'Docketed Comments'!H:H,0))&amp;", "&amp;INDEX('Docketed Comments'!B:B,MATCH(A488,'Docketed Comments'!H:H,0)),"")</f>
        <v>Scott, Quain-Kollar</v>
      </c>
      <c r="I488" s="65" t="str">
        <f>IFERROR(INDEX('Docketed Comments'!D:D,MATCH(A488,'Docketed Comments'!H:H,0)),"")</f>
        <v>Peoria</v>
      </c>
      <c r="J488" s="65" t="str">
        <f>IFERROR(INDEX('Docketed Comments'!I:I,MATCH(A488,'Docketed Comments'!H:H,0)),"")</f>
        <v>R3-47//R-XS</v>
      </c>
      <c r="K488" s="65" t="str">
        <f t="shared" si="15"/>
        <v>✅ On Best Plan</v>
      </c>
      <c r="L488" s="65" t="str">
        <f>IFERROR(INDEX('Docketed Comments'!F:F,MATCH(A488,'Docketed Comments'!H:H,0)),"")</f>
        <v>Opposed</v>
      </c>
      <c r="M488" s="137" t="str">
        <f>IFERROR(HYPERLINK(INDEX('Docketed Comments'!G:G,MATCH(A488,'Docketed Comments'!H:H,0)),"📄 View Docket"),"")</f>
        <v>📄 View Docket</v>
      </c>
      <c r="N488" s="135" t="str">
        <f>IFERROR(INDEX('Docketed Comments'!N:N,MATCH(A488,'Docketed Comments'!H:H,0)),"")</f>
        <v>No</v>
      </c>
      <c r="O488" s="135" t="str">
        <f>IFERROR(INDEX('Docketed Comments'!L:L,MATCH(A488,'Docketed Comments'!H:H,0)),"")</f>
        <v>Yes</v>
      </c>
      <c r="P488" s="136">
        <f t="shared" si="14"/>
        <v>0</v>
      </c>
      <c r="Q488" s="140"/>
      <c r="R488" s="144">
        <v>1</v>
      </c>
    </row>
    <row r="489" spans="1:18" ht="21.95" customHeight="1">
      <c r="A489" s="71" t="s">
        <v>5176</v>
      </c>
      <c r="B489" s="69"/>
      <c r="C489" s="70"/>
      <c r="D489" s="69"/>
      <c r="E489" s="69"/>
      <c r="F489" s="65"/>
      <c r="G489" s="65" t="s">
        <v>5811</v>
      </c>
      <c r="H489" s="65" t="str">
        <f>IFERROR(INDEX('Docketed Comments'!C:C,MATCH(A489,'Docketed Comments'!H:H,0))&amp;", "&amp;INDEX('Docketed Comments'!B:B,MATCH(A489,'Docketed Comments'!H:H,0)),"")</f>
        <v>Loren, Carson</v>
      </c>
      <c r="I489" s="65" t="str">
        <f>IFERROR(INDEX('Docketed Comments'!D:D,MATCH(A489,'Docketed Comments'!H:H,0)),"")</f>
        <v>Phoenix</v>
      </c>
      <c r="J489" s="65" t="str">
        <f>IFERROR(INDEX('Docketed Comments'!I:I,MATCH(A489,'Docketed Comments'!H:H,0)),"")</f>
        <v>RCPw/RTOUE47</v>
      </c>
      <c r="K489" s="65" t="str">
        <f t="shared" si="15"/>
        <v>✅ On Best Plan</v>
      </c>
      <c r="L489" s="65" t="str">
        <f>IFERROR(INDEX('Docketed Comments'!F:F,MATCH(A489,'Docketed Comments'!H:H,0)),"")</f>
        <v>Opposed, already paying grid access</v>
      </c>
      <c r="M489" s="137" t="str">
        <f>IFERROR(HYPERLINK(INDEX('Docketed Comments'!G:G,MATCH(A489,'Docketed Comments'!H:H,0)),"📄 View Docket"),"")</f>
        <v>📄 View Docket</v>
      </c>
      <c r="N489" s="135" t="str">
        <f>IFERROR(INDEX('Docketed Comments'!N:N,MATCH(A489,'Docketed Comments'!H:H,0)),"")</f>
        <v>No</v>
      </c>
      <c r="O489" s="135" t="str">
        <f>IFERROR(INDEX('Docketed Comments'!L:L,MATCH(A489,'Docketed Comments'!H:H,0)),"")</f>
        <v>Yes</v>
      </c>
      <c r="P489" s="136">
        <f t="shared" si="14"/>
        <v>0</v>
      </c>
      <c r="Q489" s="140"/>
      <c r="R489" s="144">
        <v>1</v>
      </c>
    </row>
    <row r="490" spans="1:18" ht="21.95" customHeight="1">
      <c r="A490" s="71" t="s">
        <v>5177</v>
      </c>
      <c r="B490" s="69"/>
      <c r="C490" s="70"/>
      <c r="D490" s="69"/>
      <c r="E490" s="69"/>
      <c r="F490" s="65"/>
      <c r="G490" s="65" t="s">
        <v>5811</v>
      </c>
      <c r="H490" s="65" t="str">
        <f>IFERROR(INDEX('Docketed Comments'!C:C,MATCH(A490,'Docketed Comments'!H:H,0))&amp;", "&amp;INDEX('Docketed Comments'!B:B,MATCH(A490,'Docketed Comments'!H:H,0)),"")</f>
        <v>Beverly, Hanel</v>
      </c>
      <c r="I490" s="65" t="str">
        <f>IFERROR(INDEX('Docketed Comments'!D:D,MATCH(A490,'Docketed Comments'!H:H,0)),"")</f>
        <v>Goodyear</v>
      </c>
      <c r="J490" s="65" t="str">
        <f>IFERROR(INDEX('Docketed Comments'!I:I,MATCH(A490,'Docketed Comments'!H:H,0)),"")</f>
        <v>R-2</v>
      </c>
      <c r="K490" s="65" t="str">
        <f t="shared" si="15"/>
        <v>⚠ Frozen Rate</v>
      </c>
      <c r="L490" s="65" t="str">
        <f>IFERROR(INDEX('Docketed Comments'!F:F,MATCH(A490,'Docketed Comments'!H:H,0)),"")</f>
        <v>Data centers pay less that residential</v>
      </c>
      <c r="M490" s="137" t="str">
        <f>IFERROR(HYPERLINK(INDEX('Docketed Comments'!G:G,MATCH(A490,'Docketed Comments'!H:H,0)),"📄 View Docket"),"")</f>
        <v>📄 View Docket</v>
      </c>
      <c r="N490" s="135" t="str">
        <f>IFERROR(INDEX('Docketed Comments'!N:N,MATCH(A490,'Docketed Comments'!H:H,0)),"")</f>
        <v>No</v>
      </c>
      <c r="O490" s="135" t="str">
        <f>IFERROR(INDEX('Docketed Comments'!L:L,MATCH(A490,'Docketed Comments'!H:H,0)),"")</f>
        <v>Frozen Rate</v>
      </c>
      <c r="P490" s="136">
        <f t="shared" si="14"/>
        <v>0</v>
      </c>
      <c r="Q490" s="140"/>
      <c r="R490" s="144">
        <v>1</v>
      </c>
    </row>
    <row r="491" spans="1:18" ht="21.95" customHeight="1">
      <c r="A491" s="71" t="s">
        <v>5178</v>
      </c>
      <c r="B491" s="69"/>
      <c r="C491" s="70"/>
      <c r="D491" s="69"/>
      <c r="E491" s="69"/>
      <c r="F491" s="65"/>
      <c r="G491" s="65" t="s">
        <v>5811</v>
      </c>
      <c r="H491" s="65" t="str">
        <f>IFERROR(INDEX('Docketed Comments'!C:C,MATCH(A491,'Docketed Comments'!H:H,0))&amp;", "&amp;INDEX('Docketed Comments'!B:B,MATCH(A491,'Docketed Comments'!H:H,0)),"")</f>
        <v>Anne, Hermida</v>
      </c>
      <c r="I491" s="65" t="str">
        <f>IFERROR(INDEX('Docketed Comments'!D:D,MATCH(A491,'Docketed Comments'!H:H,0)),"")</f>
        <v>Phoenix</v>
      </c>
      <c r="J491" s="65" t="str">
        <f>IFERROR(INDEX('Docketed Comments'!I:I,MATCH(A491,'Docketed Comments'!H:H,0)),"")</f>
        <v>R3-47</v>
      </c>
      <c r="K491" s="65" t="str">
        <f t="shared" si="15"/>
        <v>✅ On Best Plan</v>
      </c>
      <c r="L491" s="65" t="str">
        <f>IFERROR(INDEX('Docketed Comments'!F:F,MATCH(A491,'Docketed Comments'!H:H,0)),"")</f>
        <v>Opposed</v>
      </c>
      <c r="M491" s="137" t="str">
        <f>IFERROR(HYPERLINK(INDEX('Docketed Comments'!G:G,MATCH(A491,'Docketed Comments'!H:H,0)),"📄 View Docket"),"")</f>
        <v>📄 View Docket</v>
      </c>
      <c r="N491" s="135" t="str">
        <f>IFERROR(INDEX('Docketed Comments'!N:N,MATCH(A491,'Docketed Comments'!H:H,0)),"")</f>
        <v>No</v>
      </c>
      <c r="O491" s="135" t="str">
        <f>IFERROR(INDEX('Docketed Comments'!L:L,MATCH(A491,'Docketed Comments'!H:H,0)),"")</f>
        <v>Yes</v>
      </c>
      <c r="P491" s="136">
        <f t="shared" si="14"/>
        <v>0</v>
      </c>
      <c r="Q491" s="140"/>
      <c r="R491" s="144">
        <v>1</v>
      </c>
    </row>
    <row r="492" spans="1:18" ht="21.95" customHeight="1">
      <c r="A492" s="71" t="s">
        <v>5179</v>
      </c>
      <c r="B492" s="69"/>
      <c r="C492" s="70"/>
      <c r="D492" s="69"/>
      <c r="E492" s="69"/>
      <c r="F492" s="65"/>
      <c r="G492" s="65" t="s">
        <v>5811</v>
      </c>
      <c r="H492" s="65" t="str">
        <f>IFERROR(INDEX('Docketed Comments'!C:C,MATCH(A492,'Docketed Comments'!H:H,0))&amp;", "&amp;INDEX('Docketed Comments'!B:B,MATCH(A492,'Docketed Comments'!H:H,0)),"")</f>
        <v>Rebecca, Schmidt</v>
      </c>
      <c r="I492" s="65" t="str">
        <f>IFERROR(INDEX('Docketed Comments'!D:D,MATCH(A492,'Docketed Comments'!H:H,0)),"")</f>
        <v>Chino Valley</v>
      </c>
      <c r="J492" s="65" t="str">
        <f>IFERROR(INDEX('Docketed Comments'!I:I,MATCH(A492,'Docketed Comments'!H:H,0)),"")</f>
        <v>R3-47</v>
      </c>
      <c r="K492" s="65" t="str">
        <f t="shared" si="15"/>
        <v>✅ On Best Plan</v>
      </c>
      <c r="L492" s="65" t="str">
        <f>IFERROR(INDEX('Docketed Comments'!F:F,MATCH(A492,'Docketed Comments'!H:H,0)),"")</f>
        <v>Opposed</v>
      </c>
      <c r="M492" s="137" t="str">
        <f>IFERROR(HYPERLINK(INDEX('Docketed Comments'!G:G,MATCH(A492,'Docketed Comments'!H:H,0)),"📄 View Docket"),"")</f>
        <v>📄 View Docket</v>
      </c>
      <c r="N492" s="135" t="str">
        <f>IFERROR(INDEX('Docketed Comments'!N:N,MATCH(A492,'Docketed Comments'!H:H,0)),"")</f>
        <v>No</v>
      </c>
      <c r="O492" s="135" t="str">
        <f>IFERROR(INDEX('Docketed Comments'!L:L,MATCH(A492,'Docketed Comments'!H:H,0)),"")</f>
        <v>Yes</v>
      </c>
      <c r="P492" s="136">
        <f t="shared" si="14"/>
        <v>0</v>
      </c>
      <c r="Q492" s="140"/>
      <c r="R492" s="144">
        <v>1</v>
      </c>
    </row>
    <row r="493" spans="1:18" ht="21.95" customHeight="1">
      <c r="A493" s="71" t="s">
        <v>5180</v>
      </c>
      <c r="B493" s="69"/>
      <c r="C493" s="70"/>
      <c r="D493" s="69"/>
      <c r="E493" s="69"/>
      <c r="F493" s="65"/>
      <c r="G493" s="65" t="s">
        <v>5811</v>
      </c>
      <c r="H493" s="65" t="str">
        <f>IFERROR(INDEX('Docketed Comments'!C:C,MATCH(A493,'Docketed Comments'!H:H,0))&amp;", "&amp;INDEX('Docketed Comments'!B:B,MATCH(A493,'Docketed Comments'!H:H,0)),"")</f>
        <v>Corey, Campbell</v>
      </c>
      <c r="I493" s="65" t="str">
        <f>IFERROR(INDEX('Docketed Comments'!D:D,MATCH(A493,'Docketed Comments'!H:H,0)),"")</f>
        <v>Phoenix</v>
      </c>
      <c r="J493" s="65" t="str">
        <f>IFERROR(INDEX('Docketed Comments'!I:I,MATCH(A493,'Docketed Comments'!H:H,0)),"")</f>
        <v>R-XS</v>
      </c>
      <c r="K493" s="65" t="str">
        <f t="shared" si="15"/>
        <v>✅ On Best Plan</v>
      </c>
      <c r="L493" s="65" t="str">
        <f>IFERROR(INDEX('Docketed Comments'!F:F,MATCH(A493,'Docketed Comments'!H:H,0)),"")</f>
        <v>Form letter</v>
      </c>
      <c r="M493" s="137" t="str">
        <f>IFERROR(HYPERLINK(INDEX('Docketed Comments'!G:G,MATCH(A493,'Docketed Comments'!H:H,0)),"📄 View Docket"),"")</f>
        <v>📄 View Docket</v>
      </c>
      <c r="N493" s="135" t="str">
        <f>IFERROR(INDEX('Docketed Comments'!N:N,MATCH(A493,'Docketed Comments'!H:H,0)),"")</f>
        <v>No</v>
      </c>
      <c r="O493" s="135" t="str">
        <f>IFERROR(INDEX('Docketed Comments'!L:L,MATCH(A493,'Docketed Comments'!H:H,0)),"")</f>
        <v>Yes</v>
      </c>
      <c r="P493" s="136">
        <f t="shared" si="14"/>
        <v>0</v>
      </c>
      <c r="Q493" s="140"/>
      <c r="R493" s="144">
        <v>1</v>
      </c>
    </row>
    <row r="494" spans="1:18" ht="21.95" customHeight="1">
      <c r="A494" s="71" t="s">
        <v>5181</v>
      </c>
      <c r="B494" s="69"/>
      <c r="C494" s="70"/>
      <c r="D494" s="69"/>
      <c r="E494" s="69"/>
      <c r="F494" s="65"/>
      <c r="G494" s="65" t="s">
        <v>5811</v>
      </c>
      <c r="H494" s="65" t="str">
        <f>IFERROR(INDEX('Docketed Comments'!C:C,MATCH(A494,'Docketed Comments'!H:H,0))&amp;", "&amp;INDEX('Docketed Comments'!B:B,MATCH(A494,'Docketed Comments'!H:H,0)),"")</f>
        <v>Melodie, Scallorns</v>
      </c>
      <c r="I494" s="65" t="str">
        <f>IFERROR(INDEX('Docketed Comments'!D:D,MATCH(A494,'Docketed Comments'!H:H,0)),"")</f>
        <v>Phoenix</v>
      </c>
      <c r="J494" s="65" t="str">
        <f>IFERROR(INDEX('Docketed Comments'!I:I,MATCH(A494,'Docketed Comments'!H:H,0)),"")</f>
        <v>R-XS</v>
      </c>
      <c r="K494" s="65" t="str">
        <f t="shared" si="15"/>
        <v>✅ On Best Plan</v>
      </c>
      <c r="L494" s="65" t="str">
        <f>IFERROR(INDEX('Docketed Comments'!F:F,MATCH(A494,'Docketed Comments'!H:H,0)),"")</f>
        <v>Form letter</v>
      </c>
      <c r="M494" s="137" t="str">
        <f>IFERROR(HYPERLINK(INDEX('Docketed Comments'!G:G,MATCH(A494,'Docketed Comments'!H:H,0)),"📄 View Docket"),"")</f>
        <v>📄 View Docket</v>
      </c>
      <c r="N494" s="135" t="str">
        <f>IFERROR(INDEX('Docketed Comments'!N:N,MATCH(A494,'Docketed Comments'!H:H,0)),"")</f>
        <v>No</v>
      </c>
      <c r="O494" s="135" t="str">
        <f>IFERROR(INDEX('Docketed Comments'!L:L,MATCH(A494,'Docketed Comments'!H:H,0)),"")</f>
        <v>Yes</v>
      </c>
      <c r="P494" s="136">
        <f t="shared" si="14"/>
        <v>0</v>
      </c>
      <c r="Q494" s="140"/>
      <c r="R494" s="144">
        <v>1</v>
      </c>
    </row>
    <row r="495" spans="1:18" ht="21.95" customHeight="1">
      <c r="A495" s="71" t="s">
        <v>5182</v>
      </c>
      <c r="B495" s="69"/>
      <c r="C495" s="70"/>
      <c r="D495" s="69"/>
      <c r="E495" s="69"/>
      <c r="F495" s="65"/>
      <c r="G495" s="65" t="s">
        <v>5811</v>
      </c>
      <c r="H495" s="65" t="str">
        <f>IFERROR(INDEX('Docketed Comments'!C:C,MATCH(A495,'Docketed Comments'!H:H,0))&amp;", "&amp;INDEX('Docketed Comments'!B:B,MATCH(A495,'Docketed Comments'!H:H,0)),"")</f>
        <v>Geoffery, Hoffa</v>
      </c>
      <c r="I495" s="65" t="str">
        <f>IFERROR(INDEX('Docketed Comments'!D:D,MATCH(A495,'Docketed Comments'!H:H,0)),"")</f>
        <v>Phoenix</v>
      </c>
      <c r="J495" s="65" t="str">
        <f>IFERROR(INDEX('Docketed Comments'!I:I,MATCH(A495,'Docketed Comments'!H:H,0)),"")</f>
        <v>R3-47</v>
      </c>
      <c r="K495" s="65" t="str">
        <f t="shared" si="15"/>
        <v>✅ On Best Plan</v>
      </c>
      <c r="L495" s="65" t="str">
        <f>IFERROR(INDEX('Docketed Comments'!F:F,MATCH(A495,'Docketed Comments'!H:H,0)),"")</f>
        <v>Opposed</v>
      </c>
      <c r="M495" s="137" t="str">
        <f>IFERROR(HYPERLINK(INDEX('Docketed Comments'!G:G,MATCH(A495,'Docketed Comments'!H:H,0)),"📄 View Docket"),"")</f>
        <v>📄 View Docket</v>
      </c>
      <c r="N495" s="135" t="str">
        <f>IFERROR(INDEX('Docketed Comments'!N:N,MATCH(A495,'Docketed Comments'!H:H,0)),"")</f>
        <v>No</v>
      </c>
      <c r="O495" s="135" t="str">
        <f>IFERROR(INDEX('Docketed Comments'!L:L,MATCH(A495,'Docketed Comments'!H:H,0)),"")</f>
        <v>Yes</v>
      </c>
      <c r="P495" s="136">
        <f t="shared" si="14"/>
        <v>0</v>
      </c>
      <c r="Q495" s="140"/>
      <c r="R495" s="144">
        <v>1</v>
      </c>
    </row>
    <row r="496" spans="1:18" ht="21.95" customHeight="1">
      <c r="A496" s="71" t="s">
        <v>5183</v>
      </c>
      <c r="B496" s="69"/>
      <c r="C496" s="70"/>
      <c r="D496" s="69"/>
      <c r="E496" s="69"/>
      <c r="F496" s="65"/>
      <c r="G496" s="65" t="s">
        <v>5811</v>
      </c>
      <c r="H496" s="65" t="str">
        <f>IFERROR(INDEX('Docketed Comments'!C:C,MATCH(A496,'Docketed Comments'!H:H,0))&amp;", "&amp;INDEX('Docketed Comments'!B:B,MATCH(A496,'Docketed Comments'!H:H,0)),"")</f>
        <v>Levi, McAdams</v>
      </c>
      <c r="I496" s="65" t="str">
        <f>IFERROR(INDEX('Docketed Comments'!D:D,MATCH(A496,'Docketed Comments'!H:H,0)),"")</f>
        <v>Phoenix</v>
      </c>
      <c r="J496" s="65" t="str">
        <f>IFERROR(INDEX('Docketed Comments'!I:I,MATCH(A496,'Docketed Comments'!H:H,0)),"")</f>
        <v>R-XS</v>
      </c>
      <c r="K496" s="65" t="str">
        <f t="shared" si="15"/>
        <v>✅ On Best Plan</v>
      </c>
      <c r="L496" s="65" t="str">
        <f>IFERROR(INDEX('Docketed Comments'!F:F,MATCH(A496,'Docketed Comments'!H:H,0)),"")</f>
        <v>Form letter</v>
      </c>
      <c r="M496" s="137" t="str">
        <f>IFERROR(HYPERLINK(INDEX('Docketed Comments'!G:G,MATCH(A496,'Docketed Comments'!H:H,0)),"📄 View Docket"),"")</f>
        <v>📄 View Docket</v>
      </c>
      <c r="N496" s="135" t="str">
        <f>IFERROR(INDEX('Docketed Comments'!N:N,MATCH(A496,'Docketed Comments'!H:H,0)),"")</f>
        <v>No</v>
      </c>
      <c r="O496" s="135" t="str">
        <f>IFERROR(INDEX('Docketed Comments'!L:L,MATCH(A496,'Docketed Comments'!H:H,0)),"")</f>
        <v>Yes</v>
      </c>
      <c r="P496" s="136">
        <f t="shared" si="14"/>
        <v>0</v>
      </c>
      <c r="Q496" s="140"/>
      <c r="R496" s="144">
        <v>1</v>
      </c>
    </row>
    <row r="497" spans="1:18" ht="21.95" customHeight="1">
      <c r="A497" s="71" t="s">
        <v>5184</v>
      </c>
      <c r="B497" s="69"/>
      <c r="C497" s="70"/>
      <c r="D497" s="69"/>
      <c r="E497" s="69"/>
      <c r="F497" s="65"/>
      <c r="G497" s="65" t="s">
        <v>5811</v>
      </c>
      <c r="H497" s="65" t="str">
        <f>IFERROR(INDEX('Docketed Comments'!C:C,MATCH(A497,'Docketed Comments'!H:H,0))&amp;", "&amp;INDEX('Docketed Comments'!B:B,MATCH(A497,'Docketed Comments'!H:H,0)),"")</f>
        <v>Jonathan, Court</v>
      </c>
      <c r="I497" s="65" t="str">
        <f>IFERROR(INDEX('Docketed Comments'!D:D,MATCH(A497,'Docketed Comments'!H:H,0)),"")</f>
        <v>Phoenix</v>
      </c>
      <c r="J497" s="65" t="str">
        <f>IFERROR(INDEX('Docketed Comments'!I:I,MATCH(A497,'Docketed Comments'!H:H,0)),"")</f>
        <v>EPR-6w/E-12</v>
      </c>
      <c r="K497" s="65" t="str">
        <f t="shared" si="15"/>
        <v>⚠ Frozen Rate</v>
      </c>
      <c r="L497" s="65" t="str">
        <f>IFERROR(INDEX('Docketed Comments'!F:F,MATCH(A497,'Docketed Comments'!H:H,0)),"")</f>
        <v>Charge companies running massive data centers instead</v>
      </c>
      <c r="M497" s="137" t="str">
        <f>IFERROR(HYPERLINK(INDEX('Docketed Comments'!G:G,MATCH(A497,'Docketed Comments'!H:H,0)),"📄 View Docket"),"")</f>
        <v>📄 View Docket</v>
      </c>
      <c r="N497" s="135" t="str">
        <f>IFERROR(INDEX('Docketed Comments'!N:N,MATCH(A497,'Docketed Comments'!H:H,0)),"")</f>
        <v>No</v>
      </c>
      <c r="O497" s="135" t="str">
        <f>IFERROR(INDEX('Docketed Comments'!L:L,MATCH(A497,'Docketed Comments'!H:H,0)),"")</f>
        <v>Frozen Rate</v>
      </c>
      <c r="P497" s="136">
        <f t="shared" si="14"/>
        <v>0</v>
      </c>
      <c r="Q497" s="140"/>
      <c r="R497" s="144">
        <v>1</v>
      </c>
    </row>
    <row r="498" spans="1:18" ht="21.95" customHeight="1">
      <c r="A498" s="71" t="s">
        <v>5185</v>
      </c>
      <c r="B498" s="69"/>
      <c r="C498" s="70"/>
      <c r="D498" s="69"/>
      <c r="E498" s="69"/>
      <c r="F498" s="65"/>
      <c r="G498" s="65" t="s">
        <v>5811</v>
      </c>
      <c r="H498" s="65" t="str">
        <f>IFERROR(INDEX('Docketed Comments'!C:C,MATCH(A498,'Docketed Comments'!H:H,0))&amp;", "&amp;INDEX('Docketed Comments'!B:B,MATCH(A498,'Docketed Comments'!H:H,0)),"")</f>
        <v>Karen, Stroup</v>
      </c>
      <c r="I498" s="65" t="str">
        <f>IFERROR(INDEX('Docketed Comments'!D:D,MATCH(A498,'Docketed Comments'!H:H,0)),"")</f>
        <v>Goodyear</v>
      </c>
      <c r="J498" s="65" t="str">
        <f>IFERROR(INDEX('Docketed Comments'!I:I,MATCH(A498,'Docketed Comments'!H:H,0)),"")</f>
        <v>R-BASIC</v>
      </c>
      <c r="K498" s="65" t="str">
        <f t="shared" si="15"/>
        <v>✅ On Best Plan</v>
      </c>
      <c r="L498" s="65" t="str">
        <f>IFERROR(INDEX('Docketed Comments'!F:F,MATCH(A498,'Docketed Comments'!H:H,0)),"")</f>
        <v>Opposed</v>
      </c>
      <c r="M498" s="137" t="str">
        <f>IFERROR(HYPERLINK(INDEX('Docketed Comments'!G:G,MATCH(A498,'Docketed Comments'!H:H,0)),"📄 View Docket"),"")</f>
        <v>📄 View Docket</v>
      </c>
      <c r="N498" s="135" t="str">
        <f>IFERROR(INDEX('Docketed Comments'!N:N,MATCH(A498,'Docketed Comments'!H:H,0)),"")</f>
        <v>No</v>
      </c>
      <c r="O498" s="135" t="str">
        <f>IFERROR(INDEX('Docketed Comments'!L:L,MATCH(A498,'Docketed Comments'!H:H,0)),"")</f>
        <v>Yes</v>
      </c>
      <c r="P498" s="136">
        <f t="shared" si="14"/>
        <v>0</v>
      </c>
      <c r="Q498" s="140"/>
      <c r="R498" s="144">
        <v>1</v>
      </c>
    </row>
    <row r="499" spans="1:18" ht="21.95" customHeight="1">
      <c r="A499" s="71" t="s">
        <v>5186</v>
      </c>
      <c r="B499" s="69"/>
      <c r="C499" s="70"/>
      <c r="D499" s="69"/>
      <c r="E499" s="69"/>
      <c r="F499" s="65"/>
      <c r="G499" s="65" t="s">
        <v>5811</v>
      </c>
      <c r="H499" s="65" t="str">
        <f>IFERROR(INDEX('Docketed Comments'!C:C,MATCH(A499,'Docketed Comments'!H:H,0))&amp;", "&amp;INDEX('Docketed Comments'!B:B,MATCH(A499,'Docketed Comments'!H:H,0)),"")</f>
        <v>Steven, Fortson</v>
      </c>
      <c r="I499" s="65" t="str">
        <f>IFERROR(INDEX('Docketed Comments'!D:D,MATCH(A499,'Docketed Comments'!H:H,0)),"")</f>
        <v>Eloy</v>
      </c>
      <c r="J499" s="65" t="str">
        <f>IFERROR(INDEX('Docketed Comments'!I:I,MATCH(A499,'Docketed Comments'!H:H,0)),"")</f>
        <v>R-2</v>
      </c>
      <c r="K499" s="65" t="str">
        <f t="shared" si="15"/>
        <v>⚠ Frozen Rate</v>
      </c>
      <c r="L499" s="65" t="str">
        <f>IFERROR(INDEX('Docketed Comments'!F:F,MATCH(A499,'Docketed Comments'!H:H,0)),"")</f>
        <v>Form letter</v>
      </c>
      <c r="M499" s="137" t="str">
        <f>IFERROR(HYPERLINK(INDEX('Docketed Comments'!G:G,MATCH(A499,'Docketed Comments'!H:H,0)),"📄 View Docket"),"")</f>
        <v>📄 View Docket</v>
      </c>
      <c r="N499" s="135" t="str">
        <f>IFERROR(INDEX('Docketed Comments'!N:N,MATCH(A499,'Docketed Comments'!H:H,0)),"")</f>
        <v>No</v>
      </c>
      <c r="O499" s="135" t="str">
        <f>IFERROR(INDEX('Docketed Comments'!L:L,MATCH(A499,'Docketed Comments'!H:H,0)),"")</f>
        <v>Frozen Rate</v>
      </c>
      <c r="P499" s="136">
        <f t="shared" si="14"/>
        <v>0</v>
      </c>
      <c r="Q499" s="140"/>
      <c r="R499" s="144">
        <v>1</v>
      </c>
    </row>
    <row r="500" spans="1:18" ht="21.95" customHeight="1">
      <c r="A500" s="71" t="s">
        <v>5187</v>
      </c>
      <c r="B500" s="69"/>
      <c r="C500" s="70"/>
      <c r="D500" s="69"/>
      <c r="E500" s="69"/>
      <c r="F500" s="65"/>
      <c r="G500" s="65" t="s">
        <v>5811</v>
      </c>
      <c r="H500" s="65" t="str">
        <f>IFERROR(INDEX('Docketed Comments'!C:C,MATCH(A500,'Docketed Comments'!H:H,0))&amp;", "&amp;INDEX('Docketed Comments'!B:B,MATCH(A500,'Docketed Comments'!H:H,0)),"")</f>
        <v>Clint, Walker</v>
      </c>
      <c r="I500" s="65" t="str">
        <f>IFERROR(INDEX('Docketed Comments'!D:D,MATCH(A500,'Docketed Comments'!H:H,0)),"")</f>
        <v>Scottsdale</v>
      </c>
      <c r="J500" s="65" t="str">
        <f>IFERROR(INDEX('Docketed Comments'!I:I,MATCH(A500,'Docketed Comments'!H:H,0)),"")</f>
        <v>R3-47</v>
      </c>
      <c r="K500" s="65" t="str">
        <f t="shared" si="15"/>
        <v>✅ On Best Plan</v>
      </c>
      <c r="L500" s="65" t="str">
        <f>IFERROR(INDEX('Docketed Comments'!F:F,MATCH(A500,'Docketed Comments'!H:H,0)),"")</f>
        <v>Form letter</v>
      </c>
      <c r="M500" s="137" t="str">
        <f>IFERROR(HYPERLINK(INDEX('Docketed Comments'!G:G,MATCH(A500,'Docketed Comments'!H:H,0)),"📄 View Docket"),"")</f>
        <v>📄 View Docket</v>
      </c>
      <c r="N500" s="135" t="str">
        <f>IFERROR(INDEX('Docketed Comments'!N:N,MATCH(A500,'Docketed Comments'!H:H,0)),"")</f>
        <v>No</v>
      </c>
      <c r="O500" s="135" t="str">
        <f>IFERROR(INDEX('Docketed Comments'!L:L,MATCH(A500,'Docketed Comments'!H:H,0)),"")</f>
        <v>Yes</v>
      </c>
      <c r="P500" s="136">
        <f t="shared" si="14"/>
        <v>0</v>
      </c>
      <c r="Q500" s="140"/>
      <c r="R500" s="144">
        <v>1</v>
      </c>
    </row>
    <row r="501" spans="1:18" ht="21.95" customHeight="1">
      <c r="A501" s="71" t="s">
        <v>5188</v>
      </c>
      <c r="B501" s="69"/>
      <c r="C501" s="70"/>
      <c r="D501" s="69"/>
      <c r="E501" s="69"/>
      <c r="F501" s="65"/>
      <c r="G501" s="65" t="s">
        <v>5811</v>
      </c>
      <c r="H501" s="65" t="str">
        <f>IFERROR(INDEX('Docketed Comments'!C:C,MATCH(A501,'Docketed Comments'!H:H,0))&amp;", "&amp;INDEX('Docketed Comments'!B:B,MATCH(A501,'Docketed Comments'!H:H,0)),"")</f>
        <v>Louis, Glass</v>
      </c>
      <c r="I501" s="65" t="str">
        <f>IFERROR(INDEX('Docketed Comments'!D:D,MATCH(A501,'Docketed Comments'!H:H,0)),"")</f>
        <v>Phoenix</v>
      </c>
      <c r="J501" s="65" t="str">
        <f>IFERROR(INDEX('Docketed Comments'!I:I,MATCH(A501,'Docketed Comments'!H:H,0)),"")</f>
        <v>R3-47</v>
      </c>
      <c r="K501" s="65" t="str">
        <f t="shared" si="15"/>
        <v>✅ On Best Plan</v>
      </c>
      <c r="L501" s="65" t="str">
        <f>IFERROR(INDEX('Docketed Comments'!F:F,MATCH(A501,'Docketed Comments'!H:H,0)),"")</f>
        <v>Opposed</v>
      </c>
      <c r="M501" s="137" t="str">
        <f>IFERROR(HYPERLINK(INDEX('Docketed Comments'!G:G,MATCH(A501,'Docketed Comments'!H:H,0)),"📄 View Docket"),"")</f>
        <v>📄 View Docket</v>
      </c>
      <c r="N501" s="135" t="str">
        <f>IFERROR(INDEX('Docketed Comments'!N:N,MATCH(A501,'Docketed Comments'!H:H,0)),"")</f>
        <v>No</v>
      </c>
      <c r="O501" s="135" t="str">
        <f>IFERROR(INDEX('Docketed Comments'!L:L,MATCH(A501,'Docketed Comments'!H:H,0)),"")</f>
        <v>Yes</v>
      </c>
      <c r="P501" s="136">
        <f t="shared" si="14"/>
        <v>0</v>
      </c>
      <c r="Q501" s="140"/>
      <c r="R501" s="144">
        <v>1</v>
      </c>
    </row>
    <row r="502" spans="1:18" ht="21.95" customHeight="1">
      <c r="A502" s="71" t="s">
        <v>5189</v>
      </c>
      <c r="B502" s="69"/>
      <c r="C502" s="70"/>
      <c r="D502" s="69"/>
      <c r="E502" s="69"/>
      <c r="F502" s="65"/>
      <c r="G502" s="65" t="s">
        <v>5811</v>
      </c>
      <c r="H502" s="65" t="str">
        <f>IFERROR(INDEX('Docketed Comments'!C:C,MATCH(A502,'Docketed Comments'!H:H,0))&amp;", "&amp;INDEX('Docketed Comments'!B:B,MATCH(A502,'Docketed Comments'!H:H,0)),"")</f>
        <v>Sherri, Beltz</v>
      </c>
      <c r="I502" s="65" t="str">
        <f>IFERROR(INDEX('Docketed Comments'!D:D,MATCH(A502,'Docketed Comments'!H:H,0)),"")</f>
        <v>Goodyear</v>
      </c>
      <c r="J502" s="65" t="str">
        <f>IFERROR(INDEX('Docketed Comments'!I:I,MATCH(A502,'Docketed Comments'!H:H,0)),"")</f>
        <v>R3-47</v>
      </c>
      <c r="K502" s="65" t="str">
        <f t="shared" si="15"/>
        <v>✅ On Best Plan</v>
      </c>
      <c r="L502" s="65" t="str">
        <f>IFERROR(INDEX('Docketed Comments'!F:F,MATCH(A502,'Docketed Comments'!H:H,0)),"")</f>
        <v>Strongly opposed</v>
      </c>
      <c r="M502" s="137" t="str">
        <f>IFERROR(HYPERLINK(INDEX('Docketed Comments'!G:G,MATCH(A502,'Docketed Comments'!H:H,0)),"📄 View Docket"),"")</f>
        <v>📄 View Docket</v>
      </c>
      <c r="N502" s="135" t="str">
        <f>IFERROR(INDEX('Docketed Comments'!N:N,MATCH(A502,'Docketed Comments'!H:H,0)),"")</f>
        <v>No</v>
      </c>
      <c r="O502" s="135" t="str">
        <f>IFERROR(INDEX('Docketed Comments'!L:L,MATCH(A502,'Docketed Comments'!H:H,0)),"")</f>
        <v>Yes</v>
      </c>
      <c r="P502" s="136">
        <f t="shared" si="14"/>
        <v>0</v>
      </c>
      <c r="Q502" s="140"/>
      <c r="R502" s="144">
        <v>1</v>
      </c>
    </row>
    <row r="503" spans="1:18" ht="21.95" customHeight="1">
      <c r="A503" s="71" t="s">
        <v>5190</v>
      </c>
      <c r="B503" s="69"/>
      <c r="C503" s="70"/>
      <c r="D503" s="69"/>
      <c r="E503" s="69"/>
      <c r="F503" s="65"/>
      <c r="G503" s="65" t="s">
        <v>5811</v>
      </c>
      <c r="H503" s="65" t="str">
        <f>IFERROR(INDEX('Docketed Comments'!C:C,MATCH(A503,'Docketed Comments'!H:H,0))&amp;", "&amp;INDEX('Docketed Comments'!B:B,MATCH(A503,'Docketed Comments'!H:H,0)),"")</f>
        <v>Dale, Sies</v>
      </c>
      <c r="I503" s="65" t="str">
        <f>IFERROR(INDEX('Docketed Comments'!D:D,MATCH(A503,'Docketed Comments'!H:H,0)),"")</f>
        <v>Goodyear</v>
      </c>
      <c r="J503" s="65" t="str">
        <f>IFERROR(INDEX('Docketed Comments'!I:I,MATCH(A503,'Docketed Comments'!H:H,0)),"")</f>
        <v>R3-47</v>
      </c>
      <c r="K503" s="65" t="str">
        <f t="shared" si="15"/>
        <v>✅ On Best Plan</v>
      </c>
      <c r="L503" s="65" t="str">
        <f>IFERROR(INDEX('Docketed Comments'!F:F,MATCH(A503,'Docketed Comments'!H:H,0)),"")</f>
        <v>Negative impact on our household</v>
      </c>
      <c r="M503" s="137" t="str">
        <f>IFERROR(HYPERLINK(INDEX('Docketed Comments'!G:G,MATCH(A503,'Docketed Comments'!H:H,0)),"📄 View Docket"),"")</f>
        <v>📄 View Docket</v>
      </c>
      <c r="N503" s="135" t="str">
        <f>IFERROR(INDEX('Docketed Comments'!N:N,MATCH(A503,'Docketed Comments'!H:H,0)),"")</f>
        <v>No</v>
      </c>
      <c r="O503" s="135" t="str">
        <f>IFERROR(INDEX('Docketed Comments'!L:L,MATCH(A503,'Docketed Comments'!H:H,0)),"")</f>
        <v>Yes</v>
      </c>
      <c r="P503" s="136">
        <f t="shared" si="14"/>
        <v>0</v>
      </c>
      <c r="Q503" s="140"/>
      <c r="R503" s="144">
        <v>1</v>
      </c>
    </row>
    <row r="504" spans="1:18" ht="21.95" customHeight="1">
      <c r="A504" s="71" t="s">
        <v>5191</v>
      </c>
      <c r="B504" s="69"/>
      <c r="C504" s="70"/>
      <c r="D504" s="69"/>
      <c r="E504" s="69"/>
      <c r="F504" s="65"/>
      <c r="G504" s="65" t="s">
        <v>5811</v>
      </c>
      <c r="H504" s="65" t="str">
        <f>IFERROR(INDEX('Docketed Comments'!C:C,MATCH(A504,'Docketed Comments'!H:H,0))&amp;", "&amp;INDEX('Docketed Comments'!B:B,MATCH(A504,'Docketed Comments'!H:H,0)),"")</f>
        <v>Nicole, Phillips</v>
      </c>
      <c r="I504" s="65" t="str">
        <f>IFERROR(INDEX('Docketed Comments'!D:D,MATCH(A504,'Docketed Comments'!H:H,0)),"")</f>
        <v>Phoenix</v>
      </c>
      <c r="J504" s="65" t="str">
        <f>IFERROR(INDEX('Docketed Comments'!I:I,MATCH(A504,'Docketed Comments'!H:H,0)),"")</f>
        <v>R-XS</v>
      </c>
      <c r="K504" s="65" t="str">
        <f t="shared" si="15"/>
        <v>✅ On Best Plan</v>
      </c>
      <c r="L504" s="65" t="str">
        <f>IFERROR(INDEX('Docketed Comments'!F:F,MATCH(A504,'Docketed Comments'!H:H,0)),"")</f>
        <v>Opposed</v>
      </c>
      <c r="M504" s="137" t="str">
        <f>IFERROR(HYPERLINK(INDEX('Docketed Comments'!G:G,MATCH(A504,'Docketed Comments'!H:H,0)),"📄 View Docket"),"")</f>
        <v>📄 View Docket</v>
      </c>
      <c r="N504" s="135" t="str">
        <f>IFERROR(INDEX('Docketed Comments'!N:N,MATCH(A504,'Docketed Comments'!H:H,0)),"")</f>
        <v>No</v>
      </c>
      <c r="O504" s="135" t="str">
        <f>IFERROR(INDEX('Docketed Comments'!L:L,MATCH(A504,'Docketed Comments'!H:H,0)),"")</f>
        <v>Yes</v>
      </c>
      <c r="P504" s="136">
        <f t="shared" si="14"/>
        <v>0</v>
      </c>
      <c r="Q504" s="140"/>
      <c r="R504" s="144">
        <v>1</v>
      </c>
    </row>
    <row r="505" spans="1:18" ht="21.95" customHeight="1">
      <c r="A505" s="71" t="s">
        <v>5192</v>
      </c>
      <c r="B505" s="69"/>
      <c r="C505" s="70"/>
      <c r="D505" s="69"/>
      <c r="E505" s="69"/>
      <c r="F505" s="65"/>
      <c r="G505" s="65" t="s">
        <v>5811</v>
      </c>
      <c r="H505" s="65" t="str">
        <f>IFERROR(INDEX('Docketed Comments'!C:C,MATCH(A505,'Docketed Comments'!H:H,0))&amp;", "&amp;INDEX('Docketed Comments'!B:B,MATCH(A505,'Docketed Comments'!H:H,0)),"")</f>
        <v>Maurice, Pennington</v>
      </c>
      <c r="I505" s="65" t="str">
        <f>IFERROR(INDEX('Docketed Comments'!D:D,MATCH(A505,'Docketed Comments'!H:H,0)),"")</f>
        <v>Buckeye</v>
      </c>
      <c r="J505" s="65" t="str">
        <f>IFERROR(INDEX('Docketed Comments'!I:I,MATCH(A505,'Docketed Comments'!H:H,0)),"")</f>
        <v>RTOUE47</v>
      </c>
      <c r="K505" s="65" t="str">
        <f t="shared" si="15"/>
        <v>✅ On Best Plan</v>
      </c>
      <c r="L505" s="65" t="str">
        <f>IFERROR(INDEX('Docketed Comments'!F:F,MATCH(A505,'Docketed Comments'!H:H,0)),"")</f>
        <v>Opposed</v>
      </c>
      <c r="M505" s="137" t="str">
        <f>IFERROR(HYPERLINK(INDEX('Docketed Comments'!G:G,MATCH(A505,'Docketed Comments'!H:H,0)),"📄 View Docket"),"")</f>
        <v>📄 View Docket</v>
      </c>
      <c r="N505" s="135" t="str">
        <f>IFERROR(INDEX('Docketed Comments'!N:N,MATCH(A505,'Docketed Comments'!H:H,0)),"")</f>
        <v>No</v>
      </c>
      <c r="O505" s="135" t="str">
        <f>IFERROR(INDEX('Docketed Comments'!L:L,MATCH(A505,'Docketed Comments'!H:H,0)),"")</f>
        <v>Yes</v>
      </c>
      <c r="P505" s="136">
        <f t="shared" si="14"/>
        <v>0</v>
      </c>
      <c r="Q505" s="140"/>
      <c r="R505" s="144">
        <v>1</v>
      </c>
    </row>
    <row r="506" spans="1:18" ht="21.95" customHeight="1">
      <c r="A506" s="71" t="s">
        <v>5193</v>
      </c>
      <c r="B506" s="69"/>
      <c r="C506" s="70"/>
      <c r="D506" s="69"/>
      <c r="E506" s="69"/>
      <c r="F506" s="65"/>
      <c r="G506" s="65" t="s">
        <v>5811</v>
      </c>
      <c r="H506" s="65" t="str">
        <f>IFERROR(INDEX('Docketed Comments'!C:C,MATCH(A506,'Docketed Comments'!H:H,0))&amp;", "&amp;INDEX('Docketed Comments'!B:B,MATCH(A506,'Docketed Comments'!H:H,0)),"")</f>
        <v>Kondal, Devarapu</v>
      </c>
      <c r="I506" s="65" t="str">
        <f>IFERROR(INDEX('Docketed Comments'!D:D,MATCH(A506,'Docketed Comments'!H:H,0)),"")</f>
        <v>Phoenix</v>
      </c>
      <c r="J506" s="65" t="str">
        <f>IFERROR(INDEX('Docketed Comments'!I:I,MATCH(A506,'Docketed Comments'!H:H,0)),"")</f>
        <v>RCPw/RTOUE47</v>
      </c>
      <c r="K506" s="65" t="str">
        <f t="shared" si="15"/>
        <v>✅ On Best Plan</v>
      </c>
      <c r="L506" s="65" t="str">
        <f>IFERROR(INDEX('Docketed Comments'!F:F,MATCH(A506,'Docketed Comments'!H:H,0)),"")</f>
        <v>Form letter</v>
      </c>
      <c r="M506" s="137" t="str">
        <f>IFERROR(HYPERLINK(INDEX('Docketed Comments'!G:G,MATCH(A506,'Docketed Comments'!H:H,0)),"📄 View Docket"),"")</f>
        <v>📄 View Docket</v>
      </c>
      <c r="N506" s="135" t="str">
        <f>IFERROR(INDEX('Docketed Comments'!N:N,MATCH(A506,'Docketed Comments'!H:H,0)),"")</f>
        <v>No</v>
      </c>
      <c r="O506" s="135" t="str">
        <f>IFERROR(INDEX('Docketed Comments'!L:L,MATCH(A506,'Docketed Comments'!H:H,0)),"")</f>
        <v>Yes</v>
      </c>
      <c r="P506" s="136">
        <f t="shared" si="14"/>
        <v>0</v>
      </c>
      <c r="Q506" s="140"/>
      <c r="R506" s="144">
        <v>1</v>
      </c>
    </row>
    <row r="507" spans="1:18" ht="21.95" customHeight="1">
      <c r="A507" s="71" t="s">
        <v>5194</v>
      </c>
      <c r="B507" s="69"/>
      <c r="C507" s="70"/>
      <c r="D507" s="69"/>
      <c r="E507" s="69"/>
      <c r="F507" s="65"/>
      <c r="G507" s="65" t="s">
        <v>5811</v>
      </c>
      <c r="H507" s="65" t="str">
        <f>IFERROR(INDEX('Docketed Comments'!C:C,MATCH(A507,'Docketed Comments'!H:H,0))&amp;", "&amp;INDEX('Docketed Comments'!B:B,MATCH(A507,'Docketed Comments'!H:H,0)),"")</f>
        <v>Jason, Spicola</v>
      </c>
      <c r="I507" s="65" t="str">
        <f>IFERROR(INDEX('Docketed Comments'!D:D,MATCH(A507,'Docketed Comments'!H:H,0)),"")</f>
        <v>Phoenix</v>
      </c>
      <c r="J507" s="65" t="str">
        <f>IFERROR(INDEX('Docketed Comments'!I:I,MATCH(A507,'Docketed Comments'!H:H,0)),"")</f>
        <v>R-BASIC</v>
      </c>
      <c r="K507" s="65" t="str">
        <f t="shared" si="15"/>
        <v>✅ On Best Plan</v>
      </c>
      <c r="L507" s="65" t="str">
        <f>IFERROR(INDEX('Docketed Comments'!F:F,MATCH(A507,'Docketed Comments'!H:H,0)),"")</f>
        <v>Opposed, will worsen financial stress</v>
      </c>
      <c r="M507" s="137" t="str">
        <f>IFERROR(HYPERLINK(INDEX('Docketed Comments'!G:G,MATCH(A507,'Docketed Comments'!H:H,0)),"📄 View Docket"),"")</f>
        <v>📄 View Docket</v>
      </c>
      <c r="N507" s="135" t="str">
        <f>IFERROR(INDEX('Docketed Comments'!N:N,MATCH(A507,'Docketed Comments'!H:H,0)),"")</f>
        <v>No</v>
      </c>
      <c r="O507" s="135" t="str">
        <f>IFERROR(INDEX('Docketed Comments'!L:L,MATCH(A507,'Docketed Comments'!H:H,0)),"")</f>
        <v>Yes</v>
      </c>
      <c r="P507" s="136">
        <f t="shared" si="14"/>
        <v>0</v>
      </c>
      <c r="Q507" s="140"/>
      <c r="R507" s="144">
        <v>1</v>
      </c>
    </row>
    <row r="508" spans="1:18" ht="21.95" customHeight="1">
      <c r="A508" s="71" t="s">
        <v>5195</v>
      </c>
      <c r="B508" s="69"/>
      <c r="C508" s="70"/>
      <c r="D508" s="69"/>
      <c r="E508" s="69"/>
      <c r="F508" s="65"/>
      <c r="G508" s="65" t="s">
        <v>5811</v>
      </c>
      <c r="H508" s="65" t="str">
        <f>IFERROR(INDEX('Docketed Comments'!C:C,MATCH(A508,'Docketed Comments'!H:H,0))&amp;", "&amp;INDEX('Docketed Comments'!B:B,MATCH(A508,'Docketed Comments'!H:H,0)),"")</f>
        <v>Vishal, Maheshwari</v>
      </c>
      <c r="I508" s="65" t="str">
        <f>IFERROR(INDEX('Docketed Comments'!D:D,MATCH(A508,'Docketed Comments'!H:H,0)),"")</f>
        <v>Peoria</v>
      </c>
      <c r="J508" s="65" t="str">
        <f>IFERROR(INDEX('Docketed Comments'!I:I,MATCH(A508,'Docketed Comments'!H:H,0)),"")</f>
        <v>EPR-6w/ET-2</v>
      </c>
      <c r="K508" s="65" t="str">
        <f t="shared" si="15"/>
        <v>⚠ Frozen Rate</v>
      </c>
      <c r="L508" s="65" t="str">
        <f>IFERROR(INDEX('Docketed Comments'!F:F,MATCH(A508,'Docketed Comments'!H:H,0)),"")</f>
        <v>Form letter</v>
      </c>
      <c r="M508" s="137" t="str">
        <f>IFERROR(HYPERLINK(INDEX('Docketed Comments'!G:G,MATCH(A508,'Docketed Comments'!H:H,0)),"📄 View Docket"),"")</f>
        <v>📄 View Docket</v>
      </c>
      <c r="N508" s="135" t="str">
        <f>IFERROR(INDEX('Docketed Comments'!N:N,MATCH(A508,'Docketed Comments'!H:H,0)),"")</f>
        <v>No</v>
      </c>
      <c r="O508" s="135" t="str">
        <f>IFERROR(INDEX('Docketed Comments'!L:L,MATCH(A508,'Docketed Comments'!H:H,0)),"")</f>
        <v>Frozen Rate</v>
      </c>
      <c r="P508" s="136">
        <f t="shared" si="14"/>
        <v>0</v>
      </c>
      <c r="Q508" s="140"/>
      <c r="R508" s="144">
        <v>1</v>
      </c>
    </row>
    <row r="509" spans="1:18" ht="21.95" customHeight="1">
      <c r="A509" s="71" t="s">
        <v>5196</v>
      </c>
      <c r="B509" s="69"/>
      <c r="C509" s="70"/>
      <c r="D509" s="69"/>
      <c r="E509" s="69"/>
      <c r="F509" s="65"/>
      <c r="G509" s="65" t="s">
        <v>5811</v>
      </c>
      <c r="H509" s="65" t="str">
        <f>IFERROR(INDEX('Docketed Comments'!C:C,MATCH(A509,'Docketed Comments'!H:H,0))&amp;", "&amp;INDEX('Docketed Comments'!B:B,MATCH(A509,'Docketed Comments'!H:H,0)),"")</f>
        <v>Dustin, Chaffin</v>
      </c>
      <c r="I509" s="65" t="str">
        <f>IFERROR(INDEX('Docketed Comments'!D:D,MATCH(A509,'Docketed Comments'!H:H,0)),"")</f>
        <v>Phoenix</v>
      </c>
      <c r="J509" s="65" t="str">
        <f>IFERROR(INDEX('Docketed Comments'!I:I,MATCH(A509,'Docketed Comments'!H:H,0)),"")</f>
        <v>RCPw/RTOUE47</v>
      </c>
      <c r="K509" s="65" t="str">
        <f t="shared" si="15"/>
        <v>✅ On Best Plan</v>
      </c>
      <c r="L509" s="65" t="str">
        <f>IFERROR(INDEX('Docketed Comments'!F:F,MATCH(A509,'Docketed Comments'!H:H,0)),"")</f>
        <v>Not a good economic decision</v>
      </c>
      <c r="M509" s="137" t="str">
        <f>IFERROR(HYPERLINK(INDEX('Docketed Comments'!G:G,MATCH(A509,'Docketed Comments'!H:H,0)),"📄 View Docket"),"")</f>
        <v>📄 View Docket</v>
      </c>
      <c r="N509" s="135" t="str">
        <f>IFERROR(INDEX('Docketed Comments'!N:N,MATCH(A509,'Docketed Comments'!H:H,0)),"")</f>
        <v>No</v>
      </c>
      <c r="O509" s="135" t="str">
        <f>IFERROR(INDEX('Docketed Comments'!L:L,MATCH(A509,'Docketed Comments'!H:H,0)),"")</f>
        <v>Yes</v>
      </c>
      <c r="P509" s="136">
        <f t="shared" si="14"/>
        <v>0</v>
      </c>
      <c r="Q509" s="140"/>
      <c r="R509" s="144">
        <v>1</v>
      </c>
    </row>
    <row r="510" spans="1:18" ht="21.95" customHeight="1">
      <c r="A510" s="71" t="s">
        <v>5197</v>
      </c>
      <c r="B510" s="69"/>
      <c r="C510" s="70"/>
      <c r="D510" s="69"/>
      <c r="E510" s="69"/>
      <c r="F510" s="65"/>
      <c r="G510" s="65" t="s">
        <v>5811</v>
      </c>
      <c r="H510" s="65" t="str">
        <f>IFERROR(INDEX('Docketed Comments'!C:C,MATCH(A510,'Docketed Comments'!H:H,0))&amp;", "&amp;INDEX('Docketed Comments'!B:B,MATCH(A510,'Docketed Comments'!H:H,0)),"")</f>
        <v>Zack, Feldman</v>
      </c>
      <c r="I510" s="65" t="str">
        <f>IFERROR(INDEX('Docketed Comments'!D:D,MATCH(A510,'Docketed Comments'!H:H,0)),"")</f>
        <v>Phoenix</v>
      </c>
      <c r="J510" s="65" t="str">
        <f>IFERROR(INDEX('Docketed Comments'!I:I,MATCH(A510,'Docketed Comments'!H:H,0)),"")</f>
        <v>R3-47</v>
      </c>
      <c r="K510" s="65" t="str">
        <f t="shared" si="15"/>
        <v>✅ On Best Plan</v>
      </c>
      <c r="L510" s="65" t="str">
        <f>IFERROR(INDEX('Docketed Comments'!F:F,MATCH(A510,'Docketed Comments'!H:H,0)),"")</f>
        <v>Opposed, abusing their power</v>
      </c>
      <c r="M510" s="137" t="str">
        <f>IFERROR(HYPERLINK(INDEX('Docketed Comments'!G:G,MATCH(A510,'Docketed Comments'!H:H,0)),"📄 View Docket"),"")</f>
        <v>📄 View Docket</v>
      </c>
      <c r="N510" s="135" t="str">
        <f>IFERROR(INDEX('Docketed Comments'!N:N,MATCH(A510,'Docketed Comments'!H:H,0)),"")</f>
        <v>No</v>
      </c>
      <c r="O510" s="135" t="str">
        <f>IFERROR(INDEX('Docketed Comments'!L:L,MATCH(A510,'Docketed Comments'!H:H,0)),"")</f>
        <v>Yes</v>
      </c>
      <c r="P510" s="136">
        <f t="shared" si="14"/>
        <v>0</v>
      </c>
      <c r="Q510" s="140"/>
      <c r="R510" s="144">
        <v>1</v>
      </c>
    </row>
    <row r="511" spans="1:18" ht="21.95" customHeight="1">
      <c r="A511" s="71" t="s">
        <v>5198</v>
      </c>
      <c r="B511" s="69"/>
      <c r="C511" s="70"/>
      <c r="D511" s="69"/>
      <c r="E511" s="69"/>
      <c r="F511" s="65"/>
      <c r="G511" s="65" t="s">
        <v>5811</v>
      </c>
      <c r="H511" s="65" t="str">
        <f>IFERROR(INDEX('Docketed Comments'!C:C,MATCH(A511,'Docketed Comments'!H:H,0))&amp;", "&amp;INDEX('Docketed Comments'!B:B,MATCH(A511,'Docketed Comments'!H:H,0)),"")</f>
        <v>Eric, Hanshew</v>
      </c>
      <c r="I511" s="65" t="str">
        <f>IFERROR(INDEX('Docketed Comments'!D:D,MATCH(A511,'Docketed Comments'!H:H,0)),"")</f>
        <v>Scottsdale</v>
      </c>
      <c r="J511" s="65" t="str">
        <f>IFERROR(INDEX('Docketed Comments'!I:I,MATCH(A511,'Docketed Comments'!H:H,0)),"")</f>
        <v>RCPw/R3-47</v>
      </c>
      <c r="K511" s="65" t="str">
        <f t="shared" si="15"/>
        <v>✅ On Best Plan</v>
      </c>
      <c r="L511" s="65" t="str">
        <f>IFERROR(INDEX('Docketed Comments'!F:F,MATCH(A511,'Docketed Comments'!H:H,0)),"")</f>
        <v>Opposed</v>
      </c>
      <c r="M511" s="137" t="str">
        <f>IFERROR(HYPERLINK(INDEX('Docketed Comments'!G:G,MATCH(A511,'Docketed Comments'!H:H,0)),"📄 View Docket"),"")</f>
        <v>📄 View Docket</v>
      </c>
      <c r="N511" s="135" t="str">
        <f>IFERROR(INDEX('Docketed Comments'!N:N,MATCH(A511,'Docketed Comments'!H:H,0)),"")</f>
        <v>No</v>
      </c>
      <c r="O511" s="135" t="str">
        <f>IFERROR(INDEX('Docketed Comments'!L:L,MATCH(A511,'Docketed Comments'!H:H,0)),"")</f>
        <v>Yes</v>
      </c>
      <c r="P511" s="136">
        <f t="shared" si="14"/>
        <v>0</v>
      </c>
      <c r="Q511" s="140"/>
      <c r="R511" s="144">
        <v>1</v>
      </c>
    </row>
    <row r="512" spans="1:18" ht="21.95" customHeight="1">
      <c r="A512" s="71" t="s">
        <v>5199</v>
      </c>
      <c r="B512" s="69"/>
      <c r="C512" s="70"/>
      <c r="D512" s="69"/>
      <c r="E512" s="69"/>
      <c r="F512" s="65"/>
      <c r="G512" s="65" t="s">
        <v>5811</v>
      </c>
      <c r="H512" s="65" t="str">
        <f>IFERROR(INDEX('Docketed Comments'!C:C,MATCH(A512,'Docketed Comments'!H:H,0))&amp;", "&amp;INDEX('Docketed Comments'!B:B,MATCH(A512,'Docketed Comments'!H:H,0)),"")</f>
        <v>Alexander, German</v>
      </c>
      <c r="I512" s="65" t="str">
        <f>IFERROR(INDEX('Docketed Comments'!D:D,MATCH(A512,'Docketed Comments'!H:H,0)),"")</f>
        <v>Phoenix</v>
      </c>
      <c r="J512" s="65" t="str">
        <f>IFERROR(INDEX('Docketed Comments'!I:I,MATCH(A512,'Docketed Comments'!H:H,0)),"")</f>
        <v>RTOUE47</v>
      </c>
      <c r="K512" s="65" t="str">
        <f t="shared" si="15"/>
        <v>✅ On Best Plan</v>
      </c>
      <c r="L512" s="65" t="str">
        <f>IFERROR(INDEX('Docketed Comments'!F:F,MATCH(A512,'Docketed Comments'!H:H,0)),"")</f>
        <v>Form letter</v>
      </c>
      <c r="M512" s="137" t="str">
        <f>IFERROR(HYPERLINK(INDEX('Docketed Comments'!G:G,MATCH(A512,'Docketed Comments'!H:H,0)),"📄 View Docket"),"")</f>
        <v>📄 View Docket</v>
      </c>
      <c r="N512" s="135" t="str">
        <f>IFERROR(INDEX('Docketed Comments'!N:N,MATCH(A512,'Docketed Comments'!H:H,0)),"")</f>
        <v>No</v>
      </c>
      <c r="O512" s="135" t="str">
        <f>IFERROR(INDEX('Docketed Comments'!L:L,MATCH(A512,'Docketed Comments'!H:H,0)),"")</f>
        <v>Yes</v>
      </c>
      <c r="P512" s="136">
        <f t="shared" si="14"/>
        <v>0</v>
      </c>
      <c r="Q512" s="140"/>
      <c r="R512" s="144">
        <v>1</v>
      </c>
    </row>
    <row r="513" spans="1:18" ht="21.95" customHeight="1">
      <c r="A513" s="71" t="s">
        <v>5200</v>
      </c>
      <c r="B513" s="69"/>
      <c r="C513" s="70"/>
      <c r="D513" s="69"/>
      <c r="E513" s="69"/>
      <c r="F513" s="65"/>
      <c r="G513" s="65" t="s">
        <v>5811</v>
      </c>
      <c r="H513" s="65" t="str">
        <f>IFERROR(INDEX('Docketed Comments'!C:C,MATCH(A513,'Docketed Comments'!H:H,0))&amp;", "&amp;INDEX('Docketed Comments'!B:B,MATCH(A513,'Docketed Comments'!H:H,0)),"")</f>
        <v>James, Reynolds</v>
      </c>
      <c r="I513" s="65" t="str">
        <f>IFERROR(INDEX('Docketed Comments'!D:D,MATCH(A513,'Docketed Comments'!H:H,0)),"")</f>
        <v>El Mirage</v>
      </c>
      <c r="J513" s="65" t="str">
        <f>IFERROR(INDEX('Docketed Comments'!I:I,MATCH(A513,'Docketed Comments'!H:H,0)),"")</f>
        <v>RCPw/RTOUE47</v>
      </c>
      <c r="K513" s="65" t="str">
        <f t="shared" si="15"/>
        <v>✅ On Best Plan</v>
      </c>
      <c r="L513" s="65" t="str">
        <f>IFERROR(INDEX('Docketed Comments'!F:F,MATCH(A513,'Docketed Comments'!H:H,0)),"")</f>
        <v>Opposed, discourages solar</v>
      </c>
      <c r="M513" s="137" t="str">
        <f>IFERROR(HYPERLINK(INDEX('Docketed Comments'!G:G,MATCH(A513,'Docketed Comments'!H:H,0)),"📄 View Docket"),"")</f>
        <v>📄 View Docket</v>
      </c>
      <c r="N513" s="135" t="str">
        <f>IFERROR(INDEX('Docketed Comments'!N:N,MATCH(A513,'Docketed Comments'!H:H,0)),"")</f>
        <v>No</v>
      </c>
      <c r="O513" s="135" t="str">
        <f>IFERROR(INDEX('Docketed Comments'!L:L,MATCH(A513,'Docketed Comments'!H:H,0)),"")</f>
        <v>Yes</v>
      </c>
      <c r="P513" s="136">
        <f t="shared" si="14"/>
        <v>0</v>
      </c>
      <c r="Q513" s="140"/>
      <c r="R513" s="144">
        <v>1</v>
      </c>
    </row>
    <row r="514" spans="1:18" ht="21.95" customHeight="1">
      <c r="A514" s="71" t="s">
        <v>5201</v>
      </c>
      <c r="B514" s="69"/>
      <c r="C514" s="70"/>
      <c r="D514" s="69"/>
      <c r="E514" s="69"/>
      <c r="F514" s="65"/>
      <c r="G514" s="65" t="s">
        <v>5811</v>
      </c>
      <c r="H514" s="65" t="str">
        <f>IFERROR(INDEX('Docketed Comments'!C:C,MATCH(A514,'Docketed Comments'!H:H,0))&amp;", "&amp;INDEX('Docketed Comments'!B:B,MATCH(A514,'Docketed Comments'!H:H,0)),"")</f>
        <v>Joshua, Gorman</v>
      </c>
      <c r="I514" s="65" t="str">
        <f>IFERROR(INDEX('Docketed Comments'!D:D,MATCH(A514,'Docketed Comments'!H:H,0)),"")</f>
        <v>Goodyear</v>
      </c>
      <c r="J514" s="65" t="str">
        <f>IFERROR(INDEX('Docketed Comments'!I:I,MATCH(A514,'Docketed Comments'!H:H,0)),"")</f>
        <v>R3-47</v>
      </c>
      <c r="K514" s="65" t="str">
        <f t="shared" si="15"/>
        <v>✅ On Best Plan</v>
      </c>
      <c r="L514" s="65" t="str">
        <f>IFERROR(INDEX('Docketed Comments'!F:F,MATCH(A514,'Docketed Comments'!H:H,0)),"")</f>
        <v>Opposed</v>
      </c>
      <c r="M514" s="137" t="str">
        <f>IFERROR(HYPERLINK(INDEX('Docketed Comments'!G:G,MATCH(A514,'Docketed Comments'!H:H,0)),"📄 View Docket"),"")</f>
        <v>📄 View Docket</v>
      </c>
      <c r="N514" s="135" t="str">
        <f>IFERROR(INDEX('Docketed Comments'!N:N,MATCH(A514,'Docketed Comments'!H:H,0)),"")</f>
        <v>No</v>
      </c>
      <c r="O514" s="135" t="str">
        <f>IFERROR(INDEX('Docketed Comments'!L:L,MATCH(A514,'Docketed Comments'!H:H,0)),"")</f>
        <v>Yes</v>
      </c>
      <c r="P514" s="136">
        <f t="shared" ref="P514:P577" si="16">IFERROR(IF(ISNUMBER(SEARCH("$",O514)),VALUE(SUBSTITUTE(SUBSTITUTE(MID(O514,FIND("$",O514)+1,FIND(")",O514)-FIND("$",O514)-1),",","")," ","")),VALUE(SUBSTITUTE(SUBSTITUTE(MID(O514,FIND("(",O514)+1,FIND(")",O514)-FIND("(",O514)-1),",","")," ",""))),0)</f>
        <v>0</v>
      </c>
      <c r="Q514" s="140"/>
      <c r="R514" s="144">
        <v>1</v>
      </c>
    </row>
    <row r="515" spans="1:18" ht="21.95" customHeight="1">
      <c r="A515" s="71" t="s">
        <v>5202</v>
      </c>
      <c r="B515" s="69"/>
      <c r="C515" s="70"/>
      <c r="D515" s="69"/>
      <c r="E515" s="69"/>
      <c r="F515" s="65"/>
      <c r="G515" s="65" t="s">
        <v>5811</v>
      </c>
      <c r="H515" s="65" t="str">
        <f>IFERROR(INDEX('Docketed Comments'!C:C,MATCH(A515,'Docketed Comments'!H:H,0))&amp;", "&amp;INDEX('Docketed Comments'!B:B,MATCH(A515,'Docketed Comments'!H:H,0)),"")</f>
        <v>Timothy, Chambers</v>
      </c>
      <c r="I515" s="65" t="str">
        <f>IFERROR(INDEX('Docketed Comments'!D:D,MATCH(A515,'Docketed Comments'!H:H,0)),"")</f>
        <v>Surprise</v>
      </c>
      <c r="J515" s="65" t="str">
        <f>IFERROR(INDEX('Docketed Comments'!I:I,MATCH(A515,'Docketed Comments'!H:H,0)),"")</f>
        <v>RCPw/R3-47</v>
      </c>
      <c r="K515" s="65" t="str">
        <f t="shared" ref="K515:K578" si="17">IFERROR(IF(OR(LEFT(O515,2)="No",LEFT(O515,3)="Not"),"❌ Not on Best Plan",IF(OR(O515="Yes",O515="Y",O515="Yes "),"✅ On Best Plan","⚠ "&amp;O515)),"")</f>
        <v>✅ On Best Plan</v>
      </c>
      <c r="L515" s="65" t="str">
        <f>IFERROR(INDEX('Docketed Comments'!F:F,MATCH(A515,'Docketed Comments'!H:H,0)),"")</f>
        <v>Form letter</v>
      </c>
      <c r="M515" s="137" t="str">
        <f>IFERROR(HYPERLINK(INDEX('Docketed Comments'!G:G,MATCH(A515,'Docketed Comments'!H:H,0)),"📄 View Docket"),"")</f>
        <v>📄 View Docket</v>
      </c>
      <c r="N515" s="135" t="str">
        <f>IFERROR(INDEX('Docketed Comments'!N:N,MATCH(A515,'Docketed Comments'!H:H,0)),"")</f>
        <v>No</v>
      </c>
      <c r="O515" s="135" t="str">
        <f>IFERROR(INDEX('Docketed Comments'!L:L,MATCH(A515,'Docketed Comments'!H:H,0)),"")</f>
        <v>Yes</v>
      </c>
      <c r="P515" s="136">
        <f t="shared" si="16"/>
        <v>0</v>
      </c>
      <c r="Q515" s="140"/>
      <c r="R515" s="144">
        <v>1</v>
      </c>
    </row>
    <row r="516" spans="1:18" ht="21.95" customHeight="1">
      <c r="A516" s="71" t="s">
        <v>5203</v>
      </c>
      <c r="B516" s="69"/>
      <c r="C516" s="70"/>
      <c r="D516" s="69"/>
      <c r="E516" s="69"/>
      <c r="F516" s="65"/>
      <c r="G516" s="65" t="s">
        <v>5811</v>
      </c>
      <c r="H516" s="65" t="str">
        <f>IFERROR(INDEX('Docketed Comments'!C:C,MATCH(A516,'Docketed Comments'!H:H,0))&amp;", "&amp;INDEX('Docketed Comments'!B:B,MATCH(A516,'Docketed Comments'!H:H,0)),"")</f>
        <v>Shannon, Daniels</v>
      </c>
      <c r="I516" s="65" t="str">
        <f>IFERROR(INDEX('Docketed Comments'!D:D,MATCH(A516,'Docketed Comments'!H:H,0)),"")</f>
        <v>Surprise</v>
      </c>
      <c r="J516" s="65" t="str">
        <f>IFERROR(INDEX('Docketed Comments'!I:I,MATCH(A516,'Docketed Comments'!H:H,0)),"")</f>
        <v>R3-47</v>
      </c>
      <c r="K516" s="65" t="str">
        <f t="shared" si="17"/>
        <v>✅ On Best Plan</v>
      </c>
      <c r="L516" s="65" t="str">
        <f>IFERROR(INDEX('Docketed Comments'!F:F,MATCH(A516,'Docketed Comments'!H:H,0)),"")</f>
        <v>Form letter</v>
      </c>
      <c r="M516" s="137" t="str">
        <f>IFERROR(HYPERLINK(INDEX('Docketed Comments'!G:G,MATCH(A516,'Docketed Comments'!H:H,0)),"📄 View Docket"),"")</f>
        <v>📄 View Docket</v>
      </c>
      <c r="N516" s="135" t="str">
        <f>IFERROR(INDEX('Docketed Comments'!N:N,MATCH(A516,'Docketed Comments'!H:H,0)),"")</f>
        <v>No</v>
      </c>
      <c r="O516" s="135" t="str">
        <f>IFERROR(INDEX('Docketed Comments'!L:L,MATCH(A516,'Docketed Comments'!H:H,0)),"")</f>
        <v>Yes</v>
      </c>
      <c r="P516" s="136">
        <f t="shared" si="16"/>
        <v>0</v>
      </c>
      <c r="Q516" s="140"/>
      <c r="R516" s="144">
        <v>1</v>
      </c>
    </row>
    <row r="517" spans="1:18" ht="21.95" customHeight="1">
      <c r="A517" s="71" t="s">
        <v>5204</v>
      </c>
      <c r="B517" s="69"/>
      <c r="C517" s="70"/>
      <c r="D517" s="69"/>
      <c r="E517" s="69"/>
      <c r="F517" s="65"/>
      <c r="G517" s="65" t="s">
        <v>5811</v>
      </c>
      <c r="H517" s="65" t="str">
        <f>IFERROR(INDEX('Docketed Comments'!C:C,MATCH(A517,'Docketed Comments'!H:H,0))&amp;", "&amp;INDEX('Docketed Comments'!B:B,MATCH(A517,'Docketed Comments'!H:H,0)),"")</f>
        <v>Aleshia, Michels</v>
      </c>
      <c r="I517" s="65" t="str">
        <f>IFERROR(INDEX('Docketed Comments'!D:D,MATCH(A517,'Docketed Comments'!H:H,0)),"")</f>
        <v>Mayer</v>
      </c>
      <c r="J517" s="65" t="str">
        <f>IFERROR(INDEX('Docketed Comments'!I:I,MATCH(A517,'Docketed Comments'!H:H,0)),"")</f>
        <v>R3-47</v>
      </c>
      <c r="K517" s="65" t="str">
        <f t="shared" si="17"/>
        <v>✅ On Best Plan</v>
      </c>
      <c r="L517" s="65" t="str">
        <f>IFERROR(INDEX('Docketed Comments'!F:F,MATCH(A517,'Docketed Comments'!H:H,0)),"")</f>
        <v>Opposed</v>
      </c>
      <c r="M517" s="137" t="str">
        <f>IFERROR(HYPERLINK(INDEX('Docketed Comments'!G:G,MATCH(A517,'Docketed Comments'!H:H,0)),"📄 View Docket"),"")</f>
        <v>📄 View Docket</v>
      </c>
      <c r="N517" s="135" t="str">
        <f>IFERROR(INDEX('Docketed Comments'!N:N,MATCH(A517,'Docketed Comments'!H:H,0)),"")</f>
        <v>No</v>
      </c>
      <c r="O517" s="135" t="str">
        <f>IFERROR(INDEX('Docketed Comments'!L:L,MATCH(A517,'Docketed Comments'!H:H,0)),"")</f>
        <v>Yes</v>
      </c>
      <c r="P517" s="136">
        <f t="shared" si="16"/>
        <v>0</v>
      </c>
      <c r="Q517" s="140"/>
      <c r="R517" s="144">
        <v>1</v>
      </c>
    </row>
    <row r="518" spans="1:18" ht="21.95" customHeight="1">
      <c r="A518" s="71" t="s">
        <v>5205</v>
      </c>
      <c r="B518" s="69"/>
      <c r="C518" s="70"/>
      <c r="D518" s="69"/>
      <c r="E518" s="69"/>
      <c r="F518" s="65"/>
      <c r="G518" s="65" t="s">
        <v>5811</v>
      </c>
      <c r="H518" s="65" t="str">
        <f>IFERROR(INDEX('Docketed Comments'!C:C,MATCH(A518,'Docketed Comments'!H:H,0))&amp;", "&amp;INDEX('Docketed Comments'!B:B,MATCH(A518,'Docketed Comments'!H:H,0)),"")</f>
        <v>Ann , Albers</v>
      </c>
      <c r="I518" s="65" t="str">
        <f>IFERROR(INDEX('Docketed Comments'!D:D,MATCH(A518,'Docketed Comments'!H:H,0)),"")</f>
        <v>Phoenix</v>
      </c>
      <c r="J518" s="65" t="str">
        <f>IFERROR(INDEX('Docketed Comments'!I:I,MATCH(A518,'Docketed Comments'!H:H,0)),"")</f>
        <v>R-2</v>
      </c>
      <c r="K518" s="65" t="str">
        <f t="shared" si="17"/>
        <v>⚠ Frozen Rate</v>
      </c>
      <c r="L518" s="65" t="str">
        <f>IFERROR(INDEX('Docketed Comments'!F:F,MATCH(A518,'Docketed Comments'!H:H,0)),"")</f>
        <v>Form letter</v>
      </c>
      <c r="M518" s="137" t="str">
        <f>IFERROR(HYPERLINK(INDEX('Docketed Comments'!G:G,MATCH(A518,'Docketed Comments'!H:H,0)),"📄 View Docket"),"")</f>
        <v>📄 View Docket</v>
      </c>
      <c r="N518" s="135" t="str">
        <f>IFERROR(INDEX('Docketed Comments'!N:N,MATCH(A518,'Docketed Comments'!H:H,0)),"")</f>
        <v>No</v>
      </c>
      <c r="O518" s="135" t="str">
        <f>IFERROR(INDEX('Docketed Comments'!L:L,MATCH(A518,'Docketed Comments'!H:H,0)),"")</f>
        <v>Frozen Rate</v>
      </c>
      <c r="P518" s="136">
        <f t="shared" si="16"/>
        <v>0</v>
      </c>
      <c r="Q518" s="140"/>
      <c r="R518" s="144">
        <v>1</v>
      </c>
    </row>
    <row r="519" spans="1:18" ht="21.95" customHeight="1">
      <c r="A519" s="71" t="s">
        <v>5206</v>
      </c>
      <c r="B519" s="69"/>
      <c r="C519" s="70"/>
      <c r="D519" s="69"/>
      <c r="E519" s="69"/>
      <c r="F519" s="65"/>
      <c r="G519" s="65" t="s">
        <v>5811</v>
      </c>
      <c r="H519" s="65" t="str">
        <f>IFERROR(INDEX('Docketed Comments'!C:C,MATCH(A519,'Docketed Comments'!H:H,0))&amp;", "&amp;INDEX('Docketed Comments'!B:B,MATCH(A519,'Docketed Comments'!H:H,0)),"")</f>
        <v>Duo, Li</v>
      </c>
      <c r="I519" s="65" t="str">
        <f>IFERROR(INDEX('Docketed Comments'!D:D,MATCH(A519,'Docketed Comments'!H:H,0)),"")</f>
        <v>Peoria</v>
      </c>
      <c r="J519" s="65" t="str">
        <f>IFERROR(INDEX('Docketed Comments'!I:I,MATCH(A519,'Docketed Comments'!H:H,0)),"")</f>
        <v>EPR-6w/E-12</v>
      </c>
      <c r="K519" s="65" t="str">
        <f t="shared" si="17"/>
        <v>⚠ Frozen Rate</v>
      </c>
      <c r="L519" s="65" t="str">
        <f>IFERROR(INDEX('Docketed Comments'!F:F,MATCH(A519,'Docketed Comments'!H:H,0)),"")</f>
        <v>Form letter</v>
      </c>
      <c r="M519" s="137" t="str">
        <f>IFERROR(HYPERLINK(INDEX('Docketed Comments'!G:G,MATCH(A519,'Docketed Comments'!H:H,0)),"📄 View Docket"),"")</f>
        <v>📄 View Docket</v>
      </c>
      <c r="N519" s="135" t="str">
        <f>IFERROR(INDEX('Docketed Comments'!N:N,MATCH(A519,'Docketed Comments'!H:H,0)),"")</f>
        <v>No</v>
      </c>
      <c r="O519" s="135" t="str">
        <f>IFERROR(INDEX('Docketed Comments'!L:L,MATCH(A519,'Docketed Comments'!H:H,0)),"")</f>
        <v>Frozen Rate</v>
      </c>
      <c r="P519" s="136">
        <f t="shared" si="16"/>
        <v>0</v>
      </c>
      <c r="Q519" s="140"/>
      <c r="R519" s="144">
        <v>1</v>
      </c>
    </row>
    <row r="520" spans="1:18" ht="21.95" customHeight="1">
      <c r="A520" s="71" t="s">
        <v>5207</v>
      </c>
      <c r="B520" s="69"/>
      <c r="C520" s="70"/>
      <c r="D520" s="69"/>
      <c r="E520" s="69"/>
      <c r="F520" s="65"/>
      <c r="G520" s="65" t="s">
        <v>5811</v>
      </c>
      <c r="H520" s="65" t="str">
        <f>IFERROR(INDEX('Docketed Comments'!C:C,MATCH(A520,'Docketed Comments'!H:H,0))&amp;", "&amp;INDEX('Docketed Comments'!B:B,MATCH(A520,'Docketed Comments'!H:H,0)),"")</f>
        <v>Vasyl, Pereluka</v>
      </c>
      <c r="I520" s="65" t="str">
        <f>IFERROR(INDEX('Docketed Comments'!D:D,MATCH(A520,'Docketed Comments'!H:H,0)),"")</f>
        <v>Phoenix</v>
      </c>
      <c r="J520" s="65" t="str">
        <f>IFERROR(INDEX('Docketed Comments'!I:I,MATCH(A520,'Docketed Comments'!H:H,0)),"")</f>
        <v>R-XS</v>
      </c>
      <c r="K520" s="65" t="str">
        <f t="shared" si="17"/>
        <v>✅ On Best Plan</v>
      </c>
      <c r="L520" s="65" t="str">
        <f>IFERROR(INDEX('Docketed Comments'!F:F,MATCH(A520,'Docketed Comments'!H:H,0)),"")</f>
        <v>not interested in paying more</v>
      </c>
      <c r="M520" s="137" t="str">
        <f>IFERROR(HYPERLINK(INDEX('Docketed Comments'!G:G,MATCH(A520,'Docketed Comments'!H:H,0)),"📄 View Docket"),"")</f>
        <v>📄 View Docket</v>
      </c>
      <c r="N520" s="135" t="str">
        <f>IFERROR(INDEX('Docketed Comments'!N:N,MATCH(A520,'Docketed Comments'!H:H,0)),"")</f>
        <v>No</v>
      </c>
      <c r="O520" s="135" t="str">
        <f>IFERROR(INDEX('Docketed Comments'!L:L,MATCH(A520,'Docketed Comments'!H:H,0)),"")</f>
        <v>Yes</v>
      </c>
      <c r="P520" s="136">
        <f t="shared" si="16"/>
        <v>0</v>
      </c>
      <c r="Q520" s="140"/>
      <c r="R520" s="144">
        <v>1</v>
      </c>
    </row>
    <row r="521" spans="1:18" ht="21.95" customHeight="1">
      <c r="A521" s="71" t="s">
        <v>5208</v>
      </c>
      <c r="B521" s="69"/>
      <c r="C521" s="70"/>
      <c r="D521" s="69"/>
      <c r="E521" s="69"/>
      <c r="F521" s="65"/>
      <c r="G521" s="65" t="s">
        <v>5811</v>
      </c>
      <c r="H521" s="65" t="str">
        <f>IFERROR(INDEX('Docketed Comments'!C:C,MATCH(A521,'Docketed Comments'!H:H,0))&amp;", "&amp;INDEX('Docketed Comments'!B:B,MATCH(A521,'Docketed Comments'!H:H,0)),"")</f>
        <v>Ryan, Wagner</v>
      </c>
      <c r="I521" s="65" t="str">
        <f>IFERROR(INDEX('Docketed Comments'!D:D,MATCH(A521,'Docketed Comments'!H:H,0)),"")</f>
        <v>Scottsdale</v>
      </c>
      <c r="J521" s="65" t="str">
        <f>IFERROR(INDEX('Docketed Comments'!I:I,MATCH(A521,'Docketed Comments'!H:H,0)),"")</f>
        <v>R3-47</v>
      </c>
      <c r="K521" s="65" t="str">
        <f t="shared" si="17"/>
        <v>✅ On Best Plan</v>
      </c>
      <c r="L521" s="65" t="str">
        <f>IFERROR(INDEX('Docketed Comments'!F:F,MATCH(A521,'Docketed Comments'!H:H,0)),"")</f>
        <v>Opposed</v>
      </c>
      <c r="M521" s="137" t="str">
        <f>IFERROR(HYPERLINK(INDEX('Docketed Comments'!G:G,MATCH(A521,'Docketed Comments'!H:H,0)),"📄 View Docket"),"")</f>
        <v>📄 View Docket</v>
      </c>
      <c r="N521" s="135" t="str">
        <f>IFERROR(INDEX('Docketed Comments'!N:N,MATCH(A521,'Docketed Comments'!H:H,0)),"")</f>
        <v>No</v>
      </c>
      <c r="O521" s="135" t="str">
        <f>IFERROR(INDEX('Docketed Comments'!L:L,MATCH(A521,'Docketed Comments'!H:H,0)),"")</f>
        <v>Yes</v>
      </c>
      <c r="P521" s="136">
        <f t="shared" si="16"/>
        <v>0</v>
      </c>
      <c r="Q521" s="140"/>
      <c r="R521" s="144">
        <v>1</v>
      </c>
    </row>
    <row r="522" spans="1:18" ht="21.95" customHeight="1">
      <c r="A522" s="71" t="s">
        <v>5209</v>
      </c>
      <c r="B522" s="69"/>
      <c r="C522" s="70"/>
      <c r="D522" s="69"/>
      <c r="E522" s="69"/>
      <c r="F522" s="65"/>
      <c r="G522" s="65" t="s">
        <v>5811</v>
      </c>
      <c r="H522" s="65" t="str">
        <f>IFERROR(INDEX('Docketed Comments'!C:C,MATCH(A522,'Docketed Comments'!H:H,0))&amp;", "&amp;INDEX('Docketed Comments'!B:B,MATCH(A522,'Docketed Comments'!H:H,0)),"")</f>
        <v>Dana, Long</v>
      </c>
      <c r="I522" s="65" t="str">
        <f>IFERROR(INDEX('Docketed Comments'!D:D,MATCH(A522,'Docketed Comments'!H:H,0)),"")</f>
        <v>Phoenix</v>
      </c>
      <c r="J522" s="65" t="str">
        <f>IFERROR(INDEX('Docketed Comments'!I:I,MATCH(A522,'Docketed Comments'!H:H,0)),"")</f>
        <v>R-BASIC</v>
      </c>
      <c r="K522" s="65" t="str">
        <f t="shared" si="17"/>
        <v>✅ On Best Plan</v>
      </c>
      <c r="L522" s="65" t="str">
        <f>IFERROR(INDEX('Docketed Comments'!F:F,MATCH(A522,'Docketed Comments'!H:H,0)),"")</f>
        <v>Form letter</v>
      </c>
      <c r="M522" s="137" t="str">
        <f>IFERROR(HYPERLINK(INDEX('Docketed Comments'!G:G,MATCH(A522,'Docketed Comments'!H:H,0)),"📄 View Docket"),"")</f>
        <v>📄 View Docket</v>
      </c>
      <c r="N522" s="135" t="str">
        <f>IFERROR(INDEX('Docketed Comments'!N:N,MATCH(A522,'Docketed Comments'!H:H,0)),"")</f>
        <v>No</v>
      </c>
      <c r="O522" s="135" t="str">
        <f>IFERROR(INDEX('Docketed Comments'!L:L,MATCH(A522,'Docketed Comments'!H:H,0)),"")</f>
        <v>Yes</v>
      </c>
      <c r="P522" s="136">
        <f t="shared" si="16"/>
        <v>0</v>
      </c>
      <c r="Q522" s="140"/>
      <c r="R522" s="144">
        <v>1</v>
      </c>
    </row>
    <row r="523" spans="1:18" ht="21.95" customHeight="1">
      <c r="A523" s="71" t="s">
        <v>5118</v>
      </c>
      <c r="B523" s="69"/>
      <c r="C523" s="70"/>
      <c r="D523" s="69"/>
      <c r="E523" s="69"/>
      <c r="F523" s="65"/>
      <c r="G523" s="65" t="s">
        <v>5811</v>
      </c>
      <c r="H523" s="65" t="str">
        <f>IFERROR(INDEX('Docketed Comments'!C:C,MATCH(A523,'Docketed Comments'!H:H,0))&amp;", "&amp;INDEX('Docketed Comments'!B:B,MATCH(A523,'Docketed Comments'!H:H,0)),"")</f>
        <v>Nam, Huynh</v>
      </c>
      <c r="I523" s="65" t="str">
        <f>IFERROR(INDEX('Docketed Comments'!D:D,MATCH(A523,'Docketed Comments'!H:H,0)),"")</f>
        <v>Buckeye</v>
      </c>
      <c r="J523" s="65" t="str">
        <f>IFERROR(INDEX('Docketed Comments'!I:I,MATCH(A523,'Docketed Comments'!H:H,0)),"")</f>
        <v>R3-47</v>
      </c>
      <c r="K523" s="65" t="str">
        <f t="shared" si="17"/>
        <v>✅ On Best Plan</v>
      </c>
      <c r="L523" s="65" t="str">
        <f>IFERROR(INDEX('Docketed Comments'!F:F,MATCH(A523,'Docketed Comments'!H:H,0)),"")</f>
        <v>Opposed</v>
      </c>
      <c r="M523" s="137" t="str">
        <f>IFERROR(HYPERLINK(INDEX('Docketed Comments'!G:G,MATCH(A523,'Docketed Comments'!H:H,0)),"📄 View Docket"),"")</f>
        <v>📄 View Docket</v>
      </c>
      <c r="N523" s="135" t="str">
        <f>IFERROR(INDEX('Docketed Comments'!N:N,MATCH(A523,'Docketed Comments'!H:H,0)),"")</f>
        <v>No</v>
      </c>
      <c r="O523" s="135" t="str">
        <f>IFERROR(INDEX('Docketed Comments'!L:L,MATCH(A523,'Docketed Comments'!H:H,0)),"")</f>
        <v>Yes</v>
      </c>
      <c r="P523" s="136">
        <f t="shared" si="16"/>
        <v>0</v>
      </c>
      <c r="Q523" s="140"/>
      <c r="R523" s="144">
        <v>1</v>
      </c>
    </row>
    <row r="524" spans="1:18" ht="21.95" customHeight="1">
      <c r="A524" s="71" t="s">
        <v>5210</v>
      </c>
      <c r="B524" s="69"/>
      <c r="C524" s="70"/>
      <c r="D524" s="69"/>
      <c r="E524" s="69"/>
      <c r="F524" s="65"/>
      <c r="G524" s="65" t="s">
        <v>5811</v>
      </c>
      <c r="H524" s="65" t="str">
        <f>IFERROR(INDEX('Docketed Comments'!C:C,MATCH(A524,'Docketed Comments'!H:H,0))&amp;", "&amp;INDEX('Docketed Comments'!B:B,MATCH(A524,'Docketed Comments'!H:H,0)),"")</f>
        <v>Nicholas, Duncan</v>
      </c>
      <c r="I524" s="65" t="str">
        <f>IFERROR(INDEX('Docketed Comments'!D:D,MATCH(A524,'Docketed Comments'!H:H,0)),"")</f>
        <v>Phoenix</v>
      </c>
      <c r="J524" s="65" t="str">
        <f>IFERROR(INDEX('Docketed Comments'!I:I,MATCH(A524,'Docketed Comments'!H:H,0)),"")</f>
        <v>RTOUE47</v>
      </c>
      <c r="K524" s="65" t="str">
        <f t="shared" si="17"/>
        <v>✅ On Best Plan</v>
      </c>
      <c r="L524" s="65" t="str">
        <f>IFERROR(INDEX('Docketed Comments'!F:F,MATCH(A524,'Docketed Comments'!H:H,0)),"")</f>
        <v>Form letter</v>
      </c>
      <c r="M524" s="137" t="str">
        <f>IFERROR(HYPERLINK(INDEX('Docketed Comments'!G:G,MATCH(A524,'Docketed Comments'!H:H,0)),"📄 View Docket"),"")</f>
        <v>📄 View Docket</v>
      </c>
      <c r="N524" s="135" t="str">
        <f>IFERROR(INDEX('Docketed Comments'!N:N,MATCH(A524,'Docketed Comments'!H:H,0)),"")</f>
        <v>No</v>
      </c>
      <c r="O524" s="135" t="str">
        <f>IFERROR(INDEX('Docketed Comments'!L:L,MATCH(A524,'Docketed Comments'!H:H,0)),"")</f>
        <v>Yes</v>
      </c>
      <c r="P524" s="136">
        <f t="shared" si="16"/>
        <v>0</v>
      </c>
      <c r="Q524" s="140"/>
      <c r="R524" s="144">
        <v>1</v>
      </c>
    </row>
    <row r="525" spans="1:18" ht="21.95" customHeight="1">
      <c r="A525" s="71" t="s">
        <v>5211</v>
      </c>
      <c r="B525" s="69"/>
      <c r="C525" s="70"/>
      <c r="D525" s="69"/>
      <c r="E525" s="69"/>
      <c r="F525" s="65"/>
      <c r="G525" s="65" t="s">
        <v>5811</v>
      </c>
      <c r="H525" s="65" t="str">
        <f>IFERROR(INDEX('Docketed Comments'!C:C,MATCH(A525,'Docketed Comments'!H:H,0))&amp;", "&amp;INDEX('Docketed Comments'!B:B,MATCH(A525,'Docketed Comments'!H:H,0)),"")</f>
        <v>Joshua, Wood</v>
      </c>
      <c r="I525" s="65" t="str">
        <f>IFERROR(INDEX('Docketed Comments'!D:D,MATCH(A525,'Docketed Comments'!H:H,0)),"")</f>
        <v>Phoenix</v>
      </c>
      <c r="J525" s="65" t="str">
        <f>IFERROR(INDEX('Docketed Comments'!I:I,MATCH(A525,'Docketed Comments'!H:H,0)),"")</f>
        <v>R3-47</v>
      </c>
      <c r="K525" s="65" t="str">
        <f t="shared" si="17"/>
        <v>✅ On Best Plan</v>
      </c>
      <c r="L525" s="65" t="str">
        <f>IFERROR(INDEX('Docketed Comments'!F:F,MATCH(A525,'Docketed Comments'!H:H,0)),"")</f>
        <v>Increase outpaces inflation</v>
      </c>
      <c r="M525" s="137" t="str">
        <f>IFERROR(HYPERLINK(INDEX('Docketed Comments'!G:G,MATCH(A525,'Docketed Comments'!H:H,0)),"📄 View Docket"),"")</f>
        <v>📄 View Docket</v>
      </c>
      <c r="N525" s="135" t="str">
        <f>IFERROR(INDEX('Docketed Comments'!N:N,MATCH(A525,'Docketed Comments'!H:H,0)),"")</f>
        <v>No</v>
      </c>
      <c r="O525" s="135" t="str">
        <f>IFERROR(INDEX('Docketed Comments'!L:L,MATCH(A525,'Docketed Comments'!H:H,0)),"")</f>
        <v>Yes</v>
      </c>
      <c r="P525" s="136">
        <f t="shared" si="16"/>
        <v>0</v>
      </c>
      <c r="Q525" s="140"/>
      <c r="R525" s="144">
        <v>1</v>
      </c>
    </row>
    <row r="526" spans="1:18" ht="21.95" customHeight="1">
      <c r="A526" s="71" t="s">
        <v>5212</v>
      </c>
      <c r="B526" s="69"/>
      <c r="C526" s="70"/>
      <c r="D526" s="69"/>
      <c r="E526" s="69"/>
      <c r="F526" s="65"/>
      <c r="G526" s="65" t="s">
        <v>5811</v>
      </c>
      <c r="H526" s="65" t="str">
        <f>IFERROR(INDEX('Docketed Comments'!C:C,MATCH(A526,'Docketed Comments'!H:H,0))&amp;", "&amp;INDEX('Docketed Comments'!B:B,MATCH(A526,'Docketed Comments'!H:H,0)),"")</f>
        <v>Kameron, Kaples</v>
      </c>
      <c r="I526" s="65" t="str">
        <f>IFERROR(INDEX('Docketed Comments'!D:D,MATCH(A526,'Docketed Comments'!H:H,0)),"")</f>
        <v>Coolidge</v>
      </c>
      <c r="J526" s="65" t="str">
        <f>IFERROR(INDEX('Docketed Comments'!I:I,MATCH(A526,'Docketed Comments'!H:H,0)),"")</f>
        <v>RCPw/RTOUE47</v>
      </c>
      <c r="K526" s="65" t="str">
        <f t="shared" si="17"/>
        <v>✅ On Best Plan</v>
      </c>
      <c r="L526" s="65" t="str">
        <f>IFERROR(INDEX('Docketed Comments'!F:F,MATCH(A526,'Docketed Comments'!H:H,0)),"")</f>
        <v>APS is predatory</v>
      </c>
      <c r="M526" s="137" t="str">
        <f>IFERROR(HYPERLINK(INDEX('Docketed Comments'!G:G,MATCH(A526,'Docketed Comments'!H:H,0)),"📄 View Docket"),"")</f>
        <v>📄 View Docket</v>
      </c>
      <c r="N526" s="135" t="str">
        <f>IFERROR(INDEX('Docketed Comments'!N:N,MATCH(A526,'Docketed Comments'!H:H,0)),"")</f>
        <v>No</v>
      </c>
      <c r="O526" s="135" t="str">
        <f>IFERROR(INDEX('Docketed Comments'!L:L,MATCH(A526,'Docketed Comments'!H:H,0)),"")</f>
        <v>Yes</v>
      </c>
      <c r="P526" s="136">
        <f t="shared" si="16"/>
        <v>0</v>
      </c>
      <c r="Q526" s="140"/>
      <c r="R526" s="144">
        <v>1</v>
      </c>
    </row>
    <row r="527" spans="1:18" ht="21.95" customHeight="1">
      <c r="A527" s="71" t="s">
        <v>5070</v>
      </c>
      <c r="B527" s="69"/>
      <c r="C527" s="70"/>
      <c r="D527" s="69"/>
      <c r="E527" s="69"/>
      <c r="F527" s="65"/>
      <c r="G527" s="65" t="s">
        <v>5811</v>
      </c>
      <c r="H527" s="65" t="str">
        <f>IFERROR(INDEX('Docketed Comments'!C:C,MATCH(A527,'Docketed Comments'!H:H,0))&amp;", "&amp;INDEX('Docketed Comments'!B:B,MATCH(A527,'Docketed Comments'!H:H,0)),"")</f>
        <v>Scott, Duffy</v>
      </c>
      <c r="I527" s="65" t="str">
        <f>IFERROR(INDEX('Docketed Comments'!D:D,MATCH(A527,'Docketed Comments'!H:H,0)),"")</f>
        <v>Dewey</v>
      </c>
      <c r="J527" s="65" t="str">
        <f>IFERROR(INDEX('Docketed Comments'!I:I,MATCH(A527,'Docketed Comments'!H:H,0)),"")</f>
        <v>R-BASIC</v>
      </c>
      <c r="K527" s="65" t="str">
        <f t="shared" si="17"/>
        <v>✅ On Best Plan</v>
      </c>
      <c r="L527" s="65" t="str">
        <f>IFERROR(INDEX('Docketed Comments'!F:F,MATCH(A527,'Docketed Comments'!H:H,0)),"")</f>
        <v>Opposed</v>
      </c>
      <c r="M527" s="137" t="str">
        <f>IFERROR(HYPERLINK(INDEX('Docketed Comments'!G:G,MATCH(A527,'Docketed Comments'!H:H,0)),"📄 View Docket"),"")</f>
        <v>📄 View Docket</v>
      </c>
      <c r="N527" s="135" t="str">
        <f>IFERROR(INDEX('Docketed Comments'!N:N,MATCH(A527,'Docketed Comments'!H:H,0)),"")</f>
        <v>No</v>
      </c>
      <c r="O527" s="135" t="str">
        <f>IFERROR(INDEX('Docketed Comments'!L:L,MATCH(A527,'Docketed Comments'!H:H,0)),"")</f>
        <v>Yes</v>
      </c>
      <c r="P527" s="136">
        <f t="shared" si="16"/>
        <v>0</v>
      </c>
      <c r="Q527" s="140"/>
      <c r="R527" s="144">
        <v>1</v>
      </c>
    </row>
    <row r="528" spans="1:18" ht="21.95" customHeight="1">
      <c r="A528" s="71" t="s">
        <v>5213</v>
      </c>
      <c r="B528" s="69"/>
      <c r="C528" s="70"/>
      <c r="D528" s="69"/>
      <c r="E528" s="69"/>
      <c r="F528" s="65"/>
      <c r="G528" s="65" t="s">
        <v>5811</v>
      </c>
      <c r="H528" s="65" t="str">
        <f>IFERROR(INDEX('Docketed Comments'!C:C,MATCH(A528,'Docketed Comments'!H:H,0))&amp;", "&amp;INDEX('Docketed Comments'!B:B,MATCH(A528,'Docketed Comments'!H:H,0)),"")</f>
        <v>Aaron, Keehn</v>
      </c>
      <c r="I528" s="65" t="str">
        <f>IFERROR(INDEX('Docketed Comments'!D:D,MATCH(A528,'Docketed Comments'!H:H,0)),"")</f>
        <v>Casa Grande</v>
      </c>
      <c r="J528" s="65" t="str">
        <f>IFERROR(INDEX('Docketed Comments'!I:I,MATCH(A528,'Docketed Comments'!H:H,0)),"")</f>
        <v>R-XS</v>
      </c>
      <c r="K528" s="65" t="str">
        <f t="shared" si="17"/>
        <v>✅ On Best Plan</v>
      </c>
      <c r="L528" s="65" t="str">
        <f>IFERROR(INDEX('Docketed Comments'!F:F,MATCH(A528,'Docketed Comments'!H:H,0)),"")</f>
        <v>Opposed</v>
      </c>
      <c r="M528" s="137" t="str">
        <f>IFERROR(HYPERLINK(INDEX('Docketed Comments'!G:G,MATCH(A528,'Docketed Comments'!H:H,0)),"📄 View Docket"),"")</f>
        <v>📄 View Docket</v>
      </c>
      <c r="N528" s="135" t="str">
        <f>IFERROR(INDEX('Docketed Comments'!N:N,MATCH(A528,'Docketed Comments'!H:H,0)),"")</f>
        <v>No</v>
      </c>
      <c r="O528" s="135" t="str">
        <f>IFERROR(INDEX('Docketed Comments'!L:L,MATCH(A528,'Docketed Comments'!H:H,0)),"")</f>
        <v>Yes</v>
      </c>
      <c r="P528" s="136">
        <f t="shared" si="16"/>
        <v>0</v>
      </c>
      <c r="Q528" s="140"/>
      <c r="R528" s="144">
        <v>1</v>
      </c>
    </row>
    <row r="529" spans="1:18" ht="21.95" customHeight="1">
      <c r="A529" s="71" t="s">
        <v>5214</v>
      </c>
      <c r="B529" s="69"/>
      <c r="C529" s="70"/>
      <c r="D529" s="69"/>
      <c r="E529" s="69"/>
      <c r="F529" s="65"/>
      <c r="G529" s="65" t="s">
        <v>5811</v>
      </c>
      <c r="H529" s="65" t="str">
        <f>IFERROR(INDEX('Docketed Comments'!C:C,MATCH(A529,'Docketed Comments'!H:H,0))&amp;", "&amp;INDEX('Docketed Comments'!B:B,MATCH(A529,'Docketed Comments'!H:H,0)),"")</f>
        <v>Ruth, Phillips</v>
      </c>
      <c r="I529" s="65" t="str">
        <f>IFERROR(INDEX('Docketed Comments'!D:D,MATCH(A529,'Docketed Comments'!H:H,0)),"")</f>
        <v>Casa Grande</v>
      </c>
      <c r="J529" s="65" t="str">
        <f>IFERROR(INDEX('Docketed Comments'!I:I,MATCH(A529,'Docketed Comments'!H:H,0)),"")</f>
        <v>R-2</v>
      </c>
      <c r="K529" s="65" t="str">
        <f t="shared" si="17"/>
        <v>⚠ Frozen Rate</v>
      </c>
      <c r="L529" s="65" t="str">
        <f>IFERROR(INDEX('Docketed Comments'!F:F,MATCH(A529,'Docketed Comments'!H:H,0)),"")</f>
        <v>Unnecessary</v>
      </c>
      <c r="M529" s="137" t="str">
        <f>IFERROR(HYPERLINK(INDEX('Docketed Comments'!G:G,MATCH(A529,'Docketed Comments'!H:H,0)),"📄 View Docket"),"")</f>
        <v>📄 View Docket</v>
      </c>
      <c r="N529" s="135" t="str">
        <f>IFERROR(INDEX('Docketed Comments'!N:N,MATCH(A529,'Docketed Comments'!H:H,0)),"")</f>
        <v>No</v>
      </c>
      <c r="O529" s="135" t="str">
        <f>IFERROR(INDEX('Docketed Comments'!L:L,MATCH(A529,'Docketed Comments'!H:H,0)),"")</f>
        <v>Frozen Rate</v>
      </c>
      <c r="P529" s="136">
        <f t="shared" si="16"/>
        <v>0</v>
      </c>
      <c r="Q529" s="140"/>
      <c r="R529" s="144">
        <v>1</v>
      </c>
    </row>
    <row r="530" spans="1:18" ht="21.95" customHeight="1">
      <c r="A530" s="71" t="s">
        <v>5215</v>
      </c>
      <c r="B530" s="69"/>
      <c r="C530" s="70"/>
      <c r="D530" s="69"/>
      <c r="E530" s="69"/>
      <c r="F530" s="65"/>
      <c r="G530" s="65" t="s">
        <v>5811</v>
      </c>
      <c r="H530" s="65" t="str">
        <f>IFERROR(INDEX('Docketed Comments'!C:C,MATCH(A530,'Docketed Comments'!H:H,0))&amp;", "&amp;INDEX('Docketed Comments'!B:B,MATCH(A530,'Docketed Comments'!H:H,0)),"")</f>
        <v>Mark, Willits</v>
      </c>
      <c r="I530" s="65" t="str">
        <f>IFERROR(INDEX('Docketed Comments'!D:D,MATCH(A530,'Docketed Comments'!H:H,0)),"")</f>
        <v>Scottsdale</v>
      </c>
      <c r="J530" s="65" t="str">
        <f>IFERROR(INDEX('Docketed Comments'!I:I,MATCH(A530,'Docketed Comments'!H:H,0)),"")</f>
        <v>R-2</v>
      </c>
      <c r="K530" s="65" t="str">
        <f t="shared" si="17"/>
        <v>⚠ Frozen Rate</v>
      </c>
      <c r="L530" s="65" t="str">
        <f>IFERROR(INDEX('Docketed Comments'!F:F,MATCH(A530,'Docketed Comments'!H:H,0)),"")</f>
        <v>Form letter</v>
      </c>
      <c r="M530" s="137" t="str">
        <f>IFERROR(HYPERLINK(INDEX('Docketed Comments'!G:G,MATCH(A530,'Docketed Comments'!H:H,0)),"📄 View Docket"),"")</f>
        <v>📄 View Docket</v>
      </c>
      <c r="N530" s="135" t="str">
        <f>IFERROR(INDEX('Docketed Comments'!N:N,MATCH(A530,'Docketed Comments'!H:H,0)),"")</f>
        <v>No</v>
      </c>
      <c r="O530" s="135" t="str">
        <f>IFERROR(INDEX('Docketed Comments'!L:L,MATCH(A530,'Docketed Comments'!H:H,0)),"")</f>
        <v>Frozen Rate</v>
      </c>
      <c r="P530" s="136">
        <f t="shared" si="16"/>
        <v>0</v>
      </c>
      <c r="Q530" s="140"/>
      <c r="R530" s="144">
        <v>1</v>
      </c>
    </row>
    <row r="531" spans="1:18" ht="21.95" customHeight="1">
      <c r="A531" s="71" t="s">
        <v>5216</v>
      </c>
      <c r="B531" s="69"/>
      <c r="C531" s="70"/>
      <c r="D531" s="69"/>
      <c r="E531" s="69"/>
      <c r="F531" s="65"/>
      <c r="G531" s="65" t="s">
        <v>5811</v>
      </c>
      <c r="H531" s="65" t="str">
        <f>IFERROR(INDEX('Docketed Comments'!C:C,MATCH(A531,'Docketed Comments'!H:H,0))&amp;", "&amp;INDEX('Docketed Comments'!B:B,MATCH(A531,'Docketed Comments'!H:H,0)),"")</f>
        <v>Benjamin, Grassi</v>
      </c>
      <c r="I531" s="65" t="str">
        <f>IFERROR(INDEX('Docketed Comments'!D:D,MATCH(A531,'Docketed Comments'!H:H,0)),"")</f>
        <v>Litchfield Park</v>
      </c>
      <c r="J531" s="65" t="str">
        <f>IFERROR(INDEX('Docketed Comments'!I:I,MATCH(A531,'Docketed Comments'!H:H,0)),"")</f>
        <v>EPR-6w/E-12</v>
      </c>
      <c r="K531" s="65" t="str">
        <f t="shared" si="17"/>
        <v>⚠ Frozen Rate</v>
      </c>
      <c r="L531" s="65" t="str">
        <f>IFERROR(INDEX('Docketed Comments'!F:F,MATCH(A531,'Docketed Comments'!H:H,0)),"")</f>
        <v>Opposed</v>
      </c>
      <c r="M531" s="137" t="str">
        <f>IFERROR(HYPERLINK(INDEX('Docketed Comments'!G:G,MATCH(A531,'Docketed Comments'!H:H,0)),"📄 View Docket"),"")</f>
        <v>📄 View Docket</v>
      </c>
      <c r="N531" s="135" t="str">
        <f>IFERROR(INDEX('Docketed Comments'!N:N,MATCH(A531,'Docketed Comments'!H:H,0)),"")</f>
        <v>No</v>
      </c>
      <c r="O531" s="135" t="str">
        <f>IFERROR(INDEX('Docketed Comments'!L:L,MATCH(A531,'Docketed Comments'!H:H,0)),"")</f>
        <v>Frozen Rate</v>
      </c>
      <c r="P531" s="136">
        <f t="shared" si="16"/>
        <v>0</v>
      </c>
      <c r="Q531" s="140"/>
      <c r="R531" s="144">
        <v>1</v>
      </c>
    </row>
    <row r="532" spans="1:18" ht="21.95" customHeight="1">
      <c r="A532" s="71" t="s">
        <v>5217</v>
      </c>
      <c r="B532" s="69"/>
      <c r="C532" s="70"/>
      <c r="D532" s="69"/>
      <c r="E532" s="69"/>
      <c r="F532" s="65"/>
      <c r="G532" s="65" t="s">
        <v>5811</v>
      </c>
      <c r="H532" s="65" t="str">
        <f>IFERROR(INDEX('Docketed Comments'!C:C,MATCH(A532,'Docketed Comments'!H:H,0))&amp;", "&amp;INDEX('Docketed Comments'!B:B,MATCH(A532,'Docketed Comments'!H:H,0)),"")</f>
        <v>Steven, Leslie</v>
      </c>
      <c r="I532" s="65" t="str">
        <f>IFERROR(INDEX('Docketed Comments'!D:D,MATCH(A532,'Docketed Comments'!H:H,0)),"")</f>
        <v>Gilbert</v>
      </c>
      <c r="J532" s="65" t="str">
        <f>IFERROR(INDEX('Docketed Comments'!I:I,MATCH(A532,'Docketed Comments'!H:H,0)),"")</f>
        <v>R-BASIC</v>
      </c>
      <c r="K532" s="65" t="str">
        <f t="shared" si="17"/>
        <v>✅ On Best Plan</v>
      </c>
      <c r="L532" s="65" t="str">
        <f>IFERROR(INDEX('Docketed Comments'!F:F,MATCH(A532,'Docketed Comments'!H:H,0)),"")</f>
        <v>Form letter</v>
      </c>
      <c r="M532" s="137" t="str">
        <f>IFERROR(HYPERLINK(INDEX('Docketed Comments'!G:G,MATCH(A532,'Docketed Comments'!H:H,0)),"📄 View Docket"),"")</f>
        <v>📄 View Docket</v>
      </c>
      <c r="N532" s="135" t="str">
        <f>IFERROR(INDEX('Docketed Comments'!N:N,MATCH(A532,'Docketed Comments'!H:H,0)),"")</f>
        <v>No</v>
      </c>
      <c r="O532" s="135" t="str">
        <f>IFERROR(INDEX('Docketed Comments'!L:L,MATCH(A532,'Docketed Comments'!H:H,0)),"")</f>
        <v>Yes</v>
      </c>
      <c r="P532" s="136">
        <f t="shared" si="16"/>
        <v>0</v>
      </c>
      <c r="Q532" s="140"/>
      <c r="R532" s="144">
        <v>1</v>
      </c>
    </row>
    <row r="533" spans="1:18" ht="21.95" customHeight="1">
      <c r="A533" s="71" t="s">
        <v>5218</v>
      </c>
      <c r="B533" s="69"/>
      <c r="C533" s="70"/>
      <c r="D533" s="69"/>
      <c r="E533" s="69"/>
      <c r="F533" s="65"/>
      <c r="G533" s="65" t="s">
        <v>5811</v>
      </c>
      <c r="H533" s="65" t="str">
        <f>IFERROR(INDEX('Docketed Comments'!C:C,MATCH(A533,'Docketed Comments'!H:H,0))&amp;", "&amp;INDEX('Docketed Comments'!B:B,MATCH(A533,'Docketed Comments'!H:H,0)),"")</f>
        <v>Justin, Bandy</v>
      </c>
      <c r="I533" s="65" t="str">
        <f>IFERROR(INDEX('Docketed Comments'!D:D,MATCH(A533,'Docketed Comments'!H:H,0)),"")</f>
        <v>Chandler</v>
      </c>
      <c r="J533" s="65" t="str">
        <f>IFERROR(INDEX('Docketed Comments'!I:I,MATCH(A533,'Docketed Comments'!H:H,0)),"")</f>
        <v>R3-47</v>
      </c>
      <c r="K533" s="65" t="str">
        <f t="shared" si="17"/>
        <v>✅ On Best Plan</v>
      </c>
      <c r="L533" s="65" t="str">
        <f>IFERROR(INDEX('Docketed Comments'!F:F,MATCH(A533,'Docketed Comments'!H:H,0)),"")</f>
        <v>Form letter</v>
      </c>
      <c r="M533" s="137" t="str">
        <f>IFERROR(HYPERLINK(INDEX('Docketed Comments'!G:G,MATCH(A533,'Docketed Comments'!H:H,0)),"📄 View Docket"),"")</f>
        <v>📄 View Docket</v>
      </c>
      <c r="N533" s="135" t="str">
        <f>IFERROR(INDEX('Docketed Comments'!N:N,MATCH(A533,'Docketed Comments'!H:H,0)),"")</f>
        <v>No</v>
      </c>
      <c r="O533" s="135" t="str">
        <f>IFERROR(INDEX('Docketed Comments'!L:L,MATCH(A533,'Docketed Comments'!H:H,0)),"")</f>
        <v>Yes</v>
      </c>
      <c r="P533" s="136">
        <f t="shared" si="16"/>
        <v>0</v>
      </c>
      <c r="Q533" s="140"/>
      <c r="R533" s="144">
        <v>1</v>
      </c>
    </row>
    <row r="534" spans="1:18" ht="21.95" customHeight="1">
      <c r="A534" s="71" t="s">
        <v>5219</v>
      </c>
      <c r="B534" s="69"/>
      <c r="C534" s="70"/>
      <c r="D534" s="69"/>
      <c r="E534" s="69"/>
      <c r="F534" s="65"/>
      <c r="G534" s="65" t="s">
        <v>5811</v>
      </c>
      <c r="H534" s="65" t="str">
        <f>IFERROR(INDEX('Docketed Comments'!C:C,MATCH(A534,'Docketed Comments'!H:H,0))&amp;", "&amp;INDEX('Docketed Comments'!B:B,MATCH(A534,'Docketed Comments'!H:H,0)),"")</f>
        <v>Jerome, James</v>
      </c>
      <c r="I534" s="65" t="str">
        <f>IFERROR(INDEX('Docketed Comments'!D:D,MATCH(A534,'Docketed Comments'!H:H,0)),"")</f>
        <v>Phoenix</v>
      </c>
      <c r="J534" s="65" t="str">
        <f>IFERROR(INDEX('Docketed Comments'!I:I,MATCH(A534,'Docketed Comments'!H:H,0)),"")</f>
        <v>R-XS</v>
      </c>
      <c r="K534" s="65" t="str">
        <f t="shared" si="17"/>
        <v>✅ On Best Plan</v>
      </c>
      <c r="L534" s="65" t="str">
        <f>IFERROR(INDEX('Docketed Comments'!F:F,MATCH(A534,'Docketed Comments'!H:H,0)),"")</f>
        <v>Form letter</v>
      </c>
      <c r="M534" s="137" t="str">
        <f>IFERROR(HYPERLINK(INDEX('Docketed Comments'!G:G,MATCH(A534,'Docketed Comments'!H:H,0)),"📄 View Docket"),"")</f>
        <v>📄 View Docket</v>
      </c>
      <c r="N534" s="135" t="str">
        <f>IFERROR(INDEX('Docketed Comments'!N:N,MATCH(A534,'Docketed Comments'!H:H,0)),"")</f>
        <v>No</v>
      </c>
      <c r="O534" s="135" t="str">
        <f>IFERROR(INDEX('Docketed Comments'!L:L,MATCH(A534,'Docketed Comments'!H:H,0)),"")</f>
        <v>Yes</v>
      </c>
      <c r="P534" s="136">
        <f t="shared" si="16"/>
        <v>0</v>
      </c>
      <c r="Q534" s="140"/>
      <c r="R534" s="144">
        <v>1</v>
      </c>
    </row>
    <row r="535" spans="1:18" ht="21.95" customHeight="1">
      <c r="A535" s="71" t="s">
        <v>5220</v>
      </c>
      <c r="B535" s="69"/>
      <c r="C535" s="70"/>
      <c r="D535" s="69"/>
      <c r="E535" s="69"/>
      <c r="F535" s="65"/>
      <c r="G535" s="65" t="s">
        <v>5811</v>
      </c>
      <c r="H535" s="65" t="str">
        <f>IFERROR(INDEX('Docketed Comments'!C:C,MATCH(A535,'Docketed Comments'!H:H,0))&amp;", "&amp;INDEX('Docketed Comments'!B:B,MATCH(A535,'Docketed Comments'!H:H,0)),"")</f>
        <v>Joey, Mongini</v>
      </c>
      <c r="I535" s="65" t="str">
        <f>IFERROR(INDEX('Docketed Comments'!D:D,MATCH(A535,'Docketed Comments'!H:H,0)),"")</f>
        <v>Cottonwood</v>
      </c>
      <c r="J535" s="65" t="str">
        <f>IFERROR(INDEX('Docketed Comments'!I:I,MATCH(A535,'Docketed Comments'!H:H,0)),"")</f>
        <v>RCPw/RTOUE47</v>
      </c>
      <c r="K535" s="65" t="str">
        <f t="shared" si="17"/>
        <v>✅ On Best Plan</v>
      </c>
      <c r="L535" s="65" t="str">
        <f>IFERROR(INDEX('Docketed Comments'!F:F,MATCH(A535,'Docketed Comments'!H:H,0)),"")</f>
        <v>Strongly opposed</v>
      </c>
      <c r="M535" s="137" t="str">
        <f>IFERROR(HYPERLINK(INDEX('Docketed Comments'!G:G,MATCH(A535,'Docketed Comments'!H:H,0)),"📄 View Docket"),"")</f>
        <v>📄 View Docket</v>
      </c>
      <c r="N535" s="135" t="str">
        <f>IFERROR(INDEX('Docketed Comments'!N:N,MATCH(A535,'Docketed Comments'!H:H,0)),"")</f>
        <v>No</v>
      </c>
      <c r="O535" s="135" t="str">
        <f>IFERROR(INDEX('Docketed Comments'!L:L,MATCH(A535,'Docketed Comments'!H:H,0)),"")</f>
        <v>Yes</v>
      </c>
      <c r="P535" s="136">
        <f t="shared" si="16"/>
        <v>0</v>
      </c>
      <c r="Q535" s="140"/>
      <c r="R535" s="144">
        <v>1</v>
      </c>
    </row>
    <row r="536" spans="1:18" ht="21.95" customHeight="1">
      <c r="A536" s="71" t="s">
        <v>5221</v>
      </c>
      <c r="B536" s="69"/>
      <c r="C536" s="70"/>
      <c r="D536" s="69"/>
      <c r="E536" s="69"/>
      <c r="F536" s="65"/>
      <c r="G536" s="65" t="s">
        <v>5811</v>
      </c>
      <c r="H536" s="65" t="str">
        <f>IFERROR(INDEX('Docketed Comments'!C:C,MATCH(A536,'Docketed Comments'!H:H,0))&amp;", "&amp;INDEX('Docketed Comments'!B:B,MATCH(A536,'Docketed Comments'!H:H,0)),"")</f>
        <v>Gabriel, Frey</v>
      </c>
      <c r="I536" s="65" t="str">
        <f>IFERROR(INDEX('Docketed Comments'!D:D,MATCH(A536,'Docketed Comments'!H:H,0)),"")</f>
        <v>Phoenix</v>
      </c>
      <c r="J536" s="65" t="str">
        <f>IFERROR(INDEX('Docketed Comments'!I:I,MATCH(A536,'Docketed Comments'!H:H,0)),"")</f>
        <v>R-BASIC</v>
      </c>
      <c r="K536" s="65" t="str">
        <f t="shared" si="17"/>
        <v>✅ On Best Plan</v>
      </c>
      <c r="L536" s="65" t="str">
        <f>IFERROR(INDEX('Docketed Comments'!F:F,MATCH(A536,'Docketed Comments'!H:H,0)),"")</f>
        <v>Form letter</v>
      </c>
      <c r="M536" s="137" t="str">
        <f>IFERROR(HYPERLINK(INDEX('Docketed Comments'!G:G,MATCH(A536,'Docketed Comments'!H:H,0)),"📄 View Docket"),"")</f>
        <v>📄 View Docket</v>
      </c>
      <c r="N536" s="135" t="str">
        <f>IFERROR(INDEX('Docketed Comments'!N:N,MATCH(A536,'Docketed Comments'!H:H,0)),"")</f>
        <v>No</v>
      </c>
      <c r="O536" s="135" t="str">
        <f>IFERROR(INDEX('Docketed Comments'!L:L,MATCH(A536,'Docketed Comments'!H:H,0)),"")</f>
        <v>Yes</v>
      </c>
      <c r="P536" s="136">
        <f t="shared" si="16"/>
        <v>0</v>
      </c>
      <c r="Q536" s="140"/>
      <c r="R536" s="144">
        <v>1</v>
      </c>
    </row>
    <row r="537" spans="1:18" ht="21.95" customHeight="1">
      <c r="A537" s="71" t="s">
        <v>5222</v>
      </c>
      <c r="B537" s="69"/>
      <c r="C537" s="70"/>
      <c r="D537" s="69"/>
      <c r="E537" s="69"/>
      <c r="F537" s="65"/>
      <c r="G537" s="65" t="s">
        <v>5811</v>
      </c>
      <c r="H537" s="65" t="str">
        <f>IFERROR(INDEX('Docketed Comments'!C:C,MATCH(A537,'Docketed Comments'!H:H,0))&amp;", "&amp;INDEX('Docketed Comments'!B:B,MATCH(A537,'Docketed Comments'!H:H,0)),"")</f>
        <v>Austin, Siegel</v>
      </c>
      <c r="I537" s="65" t="str">
        <f>IFERROR(INDEX('Docketed Comments'!D:D,MATCH(A537,'Docketed Comments'!H:H,0)),"")</f>
        <v>Phoenix</v>
      </c>
      <c r="J537" s="65" t="str">
        <f>IFERROR(INDEX('Docketed Comments'!I:I,MATCH(A537,'Docketed Comments'!H:H,0)),"")</f>
        <v>R3-47</v>
      </c>
      <c r="K537" s="65" t="str">
        <f t="shared" si="17"/>
        <v>✅ On Best Plan</v>
      </c>
      <c r="L537" s="65" t="str">
        <f>IFERROR(INDEX('Docketed Comments'!F:F,MATCH(A537,'Docketed Comments'!H:H,0)),"")</f>
        <v>Form letter</v>
      </c>
      <c r="M537" s="137" t="str">
        <f>IFERROR(HYPERLINK(INDEX('Docketed Comments'!G:G,MATCH(A537,'Docketed Comments'!H:H,0)),"📄 View Docket"),"")</f>
        <v>📄 View Docket</v>
      </c>
      <c r="N537" s="135" t="str">
        <f>IFERROR(INDEX('Docketed Comments'!N:N,MATCH(A537,'Docketed Comments'!H:H,0)),"")</f>
        <v>No</v>
      </c>
      <c r="O537" s="135" t="str">
        <f>IFERROR(INDEX('Docketed Comments'!L:L,MATCH(A537,'Docketed Comments'!H:H,0)),"")</f>
        <v>Yes</v>
      </c>
      <c r="P537" s="136">
        <f t="shared" si="16"/>
        <v>0</v>
      </c>
      <c r="Q537" s="140"/>
      <c r="R537" s="144">
        <v>1</v>
      </c>
    </row>
    <row r="538" spans="1:18" ht="21.95" customHeight="1">
      <c r="A538" s="71" t="s">
        <v>5223</v>
      </c>
      <c r="B538" s="69"/>
      <c r="C538" s="70"/>
      <c r="D538" s="69"/>
      <c r="E538" s="69"/>
      <c r="F538" s="65"/>
      <c r="G538" s="65" t="s">
        <v>5811</v>
      </c>
      <c r="H538" s="65" t="str">
        <f>IFERROR(INDEX('Docketed Comments'!C:C,MATCH(A538,'Docketed Comments'!H:H,0))&amp;", "&amp;INDEX('Docketed Comments'!B:B,MATCH(A538,'Docketed Comments'!H:H,0)),"")</f>
        <v xml:space="preserve">Harjeet, Singh </v>
      </c>
      <c r="I538" s="65" t="str">
        <f>IFERROR(INDEX('Docketed Comments'!D:D,MATCH(A538,'Docketed Comments'!H:H,0)),"")</f>
        <v>Phoenix</v>
      </c>
      <c r="J538" s="65" t="str">
        <f>IFERROR(INDEX('Docketed Comments'!I:I,MATCH(A538,'Docketed Comments'!H:H,0)),"")</f>
        <v>R3-47</v>
      </c>
      <c r="K538" s="65" t="str">
        <f t="shared" si="17"/>
        <v>✅ On Best Plan</v>
      </c>
      <c r="L538" s="65" t="str">
        <f>IFERROR(INDEX('Docketed Comments'!F:F,MATCH(A538,'Docketed Comments'!H:H,0)),"")</f>
        <v>Form letter</v>
      </c>
      <c r="M538" s="137" t="str">
        <f>IFERROR(HYPERLINK(INDEX('Docketed Comments'!G:G,MATCH(A538,'Docketed Comments'!H:H,0)),"📄 View Docket"),"")</f>
        <v>📄 View Docket</v>
      </c>
      <c r="N538" s="135" t="str">
        <f>IFERROR(INDEX('Docketed Comments'!N:N,MATCH(A538,'Docketed Comments'!H:H,0)),"")</f>
        <v>No</v>
      </c>
      <c r="O538" s="135" t="str">
        <f>IFERROR(INDEX('Docketed Comments'!L:L,MATCH(A538,'Docketed Comments'!H:H,0)),"")</f>
        <v>Yes</v>
      </c>
      <c r="P538" s="136">
        <f t="shared" si="16"/>
        <v>0</v>
      </c>
      <c r="Q538" s="140"/>
      <c r="R538" s="144">
        <v>1</v>
      </c>
    </row>
    <row r="539" spans="1:18" ht="21.95" customHeight="1">
      <c r="A539" s="71" t="s">
        <v>5224</v>
      </c>
      <c r="B539" s="69"/>
      <c r="C539" s="70"/>
      <c r="D539" s="69"/>
      <c r="E539" s="69"/>
      <c r="F539" s="65"/>
      <c r="G539" s="65" t="s">
        <v>5811</v>
      </c>
      <c r="H539" s="65" t="str">
        <f>IFERROR(INDEX('Docketed Comments'!C:C,MATCH(A539,'Docketed Comments'!H:H,0))&amp;", "&amp;INDEX('Docketed Comments'!B:B,MATCH(A539,'Docketed Comments'!H:H,0)),"")</f>
        <v>Ryan, Mesch</v>
      </c>
      <c r="I539" s="65" t="str">
        <f>IFERROR(INDEX('Docketed Comments'!D:D,MATCH(A539,'Docketed Comments'!H:H,0)),"")</f>
        <v>Phoenix</v>
      </c>
      <c r="J539" s="65" t="str">
        <f>IFERROR(INDEX('Docketed Comments'!I:I,MATCH(A539,'Docketed Comments'!H:H,0)),"")</f>
        <v>RCPw/RTOUE47</v>
      </c>
      <c r="K539" s="65" t="str">
        <f t="shared" si="17"/>
        <v>✅ On Best Plan</v>
      </c>
      <c r="L539" s="65" t="str">
        <f>IFERROR(INDEX('Docketed Comments'!F:F,MATCH(A539,'Docketed Comments'!H:H,0)),"")</f>
        <v xml:space="preserve">Strongly against </v>
      </c>
      <c r="M539" s="137" t="str">
        <f>IFERROR(HYPERLINK(INDEX('Docketed Comments'!G:G,MATCH(A539,'Docketed Comments'!H:H,0)),"📄 View Docket"),"")</f>
        <v>📄 View Docket</v>
      </c>
      <c r="N539" s="135" t="str">
        <f>IFERROR(INDEX('Docketed Comments'!N:N,MATCH(A539,'Docketed Comments'!H:H,0)),"")</f>
        <v>No</v>
      </c>
      <c r="O539" s="135" t="str">
        <f>IFERROR(INDEX('Docketed Comments'!L:L,MATCH(A539,'Docketed Comments'!H:H,0)),"")</f>
        <v>Yes</v>
      </c>
      <c r="P539" s="136">
        <f t="shared" si="16"/>
        <v>0</v>
      </c>
      <c r="Q539" s="140"/>
      <c r="R539" s="144">
        <v>1</v>
      </c>
    </row>
    <row r="540" spans="1:18" ht="21.95" customHeight="1">
      <c r="A540" s="71" t="s">
        <v>1857</v>
      </c>
      <c r="B540" s="69"/>
      <c r="C540" s="70"/>
      <c r="D540" s="69"/>
      <c r="E540" s="69"/>
      <c r="F540" s="65"/>
      <c r="G540" s="65" t="s">
        <v>5811</v>
      </c>
      <c r="H540" s="65" t="str">
        <f>IFERROR(INDEX('Docketed Comments'!C:C,MATCH(A540,'Docketed Comments'!H:H,0))&amp;", "&amp;INDEX('Docketed Comments'!B:B,MATCH(A540,'Docketed Comments'!H:H,0)),"")</f>
        <v>Andrew, Quine</v>
      </c>
      <c r="I540" s="65" t="str">
        <f>IFERROR(INDEX('Docketed Comments'!D:D,MATCH(A540,'Docketed Comments'!H:H,0)),"")</f>
        <v>Glendale</v>
      </c>
      <c r="J540" s="65" t="str">
        <f>IFERROR(INDEX('Docketed Comments'!I:I,MATCH(A540,'Docketed Comments'!H:H,0)),"")</f>
        <v>R3-47</v>
      </c>
      <c r="K540" s="65" t="str">
        <f t="shared" si="17"/>
        <v>✅ On Best Plan</v>
      </c>
      <c r="L540" s="65" t="str">
        <f>IFERROR(INDEX('Docketed Comments'!F:F,MATCH(A540,'Docketed Comments'!H:H,0)),"")</f>
        <v>Form letter</v>
      </c>
      <c r="M540" s="137" t="str">
        <f>IFERROR(HYPERLINK(INDEX('Docketed Comments'!G:G,MATCH(A540,'Docketed Comments'!H:H,0)),"📄 View Docket"),"")</f>
        <v>📄 View Docket</v>
      </c>
      <c r="N540" s="135" t="str">
        <f>IFERROR(INDEX('Docketed Comments'!N:N,MATCH(A540,'Docketed Comments'!H:H,0)),"")</f>
        <v>No</v>
      </c>
      <c r="O540" s="135" t="str">
        <f>IFERROR(INDEX('Docketed Comments'!L:L,MATCH(A540,'Docketed Comments'!H:H,0)),"")</f>
        <v>Yes</v>
      </c>
      <c r="P540" s="136">
        <f t="shared" si="16"/>
        <v>0</v>
      </c>
      <c r="Q540" s="140"/>
      <c r="R540" s="144">
        <v>1</v>
      </c>
    </row>
    <row r="541" spans="1:18" ht="21.95" customHeight="1">
      <c r="A541" s="71" t="s">
        <v>5225</v>
      </c>
      <c r="B541" s="69"/>
      <c r="C541" s="70"/>
      <c r="D541" s="69"/>
      <c r="E541" s="69"/>
      <c r="F541" s="65"/>
      <c r="G541" s="65" t="s">
        <v>5811</v>
      </c>
      <c r="H541" s="65" t="str">
        <f>IFERROR(INDEX('Docketed Comments'!C:C,MATCH(A541,'Docketed Comments'!H:H,0))&amp;", "&amp;INDEX('Docketed Comments'!B:B,MATCH(A541,'Docketed Comments'!H:H,0)),"")</f>
        <v>Sunsarae, Bowen</v>
      </c>
      <c r="I541" s="65" t="str">
        <f>IFERROR(INDEX('Docketed Comments'!D:D,MATCH(A541,'Docketed Comments'!H:H,0)),"")</f>
        <v>Goodyear</v>
      </c>
      <c r="J541" s="65" t="str">
        <f>IFERROR(INDEX('Docketed Comments'!I:I,MATCH(A541,'Docketed Comments'!H:H,0)),"")</f>
        <v>R-BASIC</v>
      </c>
      <c r="K541" s="65" t="str">
        <f t="shared" si="17"/>
        <v>✅ On Best Plan</v>
      </c>
      <c r="L541" s="65" t="str">
        <f>IFERROR(INDEX('Docketed Comments'!F:F,MATCH(A541,'Docketed Comments'!H:H,0)),"")</f>
        <v>Form letter</v>
      </c>
      <c r="M541" s="137" t="str">
        <f>IFERROR(HYPERLINK(INDEX('Docketed Comments'!G:G,MATCH(A541,'Docketed Comments'!H:H,0)),"📄 View Docket"),"")</f>
        <v>📄 View Docket</v>
      </c>
      <c r="N541" s="135" t="str">
        <f>IFERROR(INDEX('Docketed Comments'!N:N,MATCH(A541,'Docketed Comments'!H:H,0)),"")</f>
        <v>No</v>
      </c>
      <c r="O541" s="135" t="str">
        <f>IFERROR(INDEX('Docketed Comments'!L:L,MATCH(A541,'Docketed Comments'!H:H,0)),"")</f>
        <v>Yes</v>
      </c>
      <c r="P541" s="136">
        <f t="shared" si="16"/>
        <v>0</v>
      </c>
      <c r="Q541" s="140"/>
      <c r="R541" s="144">
        <v>1</v>
      </c>
    </row>
    <row r="542" spans="1:18" ht="21.95" customHeight="1">
      <c r="A542" s="71" t="s">
        <v>5226</v>
      </c>
      <c r="B542" s="69"/>
      <c r="C542" s="70"/>
      <c r="D542" s="69"/>
      <c r="E542" s="69"/>
      <c r="F542" s="65"/>
      <c r="G542" s="65" t="s">
        <v>5811</v>
      </c>
      <c r="H542" s="65" t="str">
        <f>IFERROR(INDEX('Docketed Comments'!C:C,MATCH(A542,'Docketed Comments'!H:H,0))&amp;", "&amp;INDEX('Docketed Comments'!B:B,MATCH(A542,'Docketed Comments'!H:H,0)),"")</f>
        <v>William, Irwin</v>
      </c>
      <c r="I542" s="65" t="str">
        <f>IFERROR(INDEX('Docketed Comments'!D:D,MATCH(A542,'Docketed Comments'!H:H,0)),"")</f>
        <v>Phoenix</v>
      </c>
      <c r="J542" s="65" t="str">
        <f>IFERROR(INDEX('Docketed Comments'!I:I,MATCH(A542,'Docketed Comments'!H:H,0)),"")</f>
        <v>R3-47</v>
      </c>
      <c r="K542" s="65" t="str">
        <f t="shared" si="17"/>
        <v>✅ On Best Plan</v>
      </c>
      <c r="L542" s="65" t="str">
        <f>IFERROR(INDEX('Docketed Comments'!F:F,MATCH(A542,'Docketed Comments'!H:H,0)),"")</f>
        <v>Form letter</v>
      </c>
      <c r="M542" s="137" t="str">
        <f>IFERROR(HYPERLINK(INDEX('Docketed Comments'!G:G,MATCH(A542,'Docketed Comments'!H:H,0)),"📄 View Docket"),"")</f>
        <v>📄 View Docket</v>
      </c>
      <c r="N542" s="135" t="str">
        <f>IFERROR(INDEX('Docketed Comments'!N:N,MATCH(A542,'Docketed Comments'!H:H,0)),"")</f>
        <v>No</v>
      </c>
      <c r="O542" s="135" t="str">
        <f>IFERROR(INDEX('Docketed Comments'!L:L,MATCH(A542,'Docketed Comments'!H:H,0)),"")</f>
        <v>Yes</v>
      </c>
      <c r="P542" s="136">
        <f t="shared" si="16"/>
        <v>0</v>
      </c>
      <c r="Q542" s="140"/>
      <c r="R542" s="144">
        <v>1</v>
      </c>
    </row>
    <row r="543" spans="1:18" ht="21.95" customHeight="1">
      <c r="A543" s="71" t="s">
        <v>1867</v>
      </c>
      <c r="B543" s="69"/>
      <c r="C543" s="70"/>
      <c r="D543" s="69"/>
      <c r="E543" s="69"/>
      <c r="F543" s="65"/>
      <c r="G543" s="65" t="s">
        <v>5811</v>
      </c>
      <c r="H543" s="65" t="str">
        <f>IFERROR(INDEX('Docketed Comments'!C:C,MATCH(A543,'Docketed Comments'!H:H,0))&amp;", "&amp;INDEX('Docketed Comments'!B:B,MATCH(A543,'Docketed Comments'!H:H,0)),"")</f>
        <v>Marc, DeMelo</v>
      </c>
      <c r="I543" s="65" t="str">
        <f>IFERROR(INDEX('Docketed Comments'!D:D,MATCH(A543,'Docketed Comments'!H:H,0)),"")</f>
        <v>Scottsdale</v>
      </c>
      <c r="J543" s="65" t="str">
        <f>IFERROR(INDEX('Docketed Comments'!I:I,MATCH(A543,'Docketed Comments'!H:H,0)),"")</f>
        <v>R3-47</v>
      </c>
      <c r="K543" s="65" t="str">
        <f t="shared" si="17"/>
        <v>✅ On Best Plan</v>
      </c>
      <c r="L543" s="65" t="str">
        <f>IFERROR(INDEX('Docketed Comments'!F:F,MATCH(A543,'Docketed Comments'!H:H,0)),"")</f>
        <v>Blatant gouging</v>
      </c>
      <c r="M543" s="137" t="str">
        <f>IFERROR(HYPERLINK(INDEX('Docketed Comments'!G:G,MATCH(A543,'Docketed Comments'!H:H,0)),"📄 View Docket"),"")</f>
        <v>📄 View Docket</v>
      </c>
      <c r="N543" s="135" t="str">
        <f>IFERROR(INDEX('Docketed Comments'!N:N,MATCH(A543,'Docketed Comments'!H:H,0)),"")</f>
        <v>No</v>
      </c>
      <c r="O543" s="135" t="str">
        <f>IFERROR(INDEX('Docketed Comments'!L:L,MATCH(A543,'Docketed Comments'!H:H,0)),"")</f>
        <v>Yes</v>
      </c>
      <c r="P543" s="136">
        <f t="shared" si="16"/>
        <v>0</v>
      </c>
      <c r="Q543" s="140"/>
      <c r="R543" s="144">
        <v>1</v>
      </c>
    </row>
    <row r="544" spans="1:18" ht="21.95" customHeight="1">
      <c r="A544" s="71" t="s">
        <v>5227</v>
      </c>
      <c r="B544" s="69"/>
      <c r="C544" s="70"/>
      <c r="D544" s="69"/>
      <c r="E544" s="69"/>
      <c r="F544" s="65"/>
      <c r="G544" s="65" t="s">
        <v>5811</v>
      </c>
      <c r="H544" s="65" t="str">
        <f>IFERROR(INDEX('Docketed Comments'!C:C,MATCH(A544,'Docketed Comments'!H:H,0))&amp;", "&amp;INDEX('Docketed Comments'!B:B,MATCH(A544,'Docketed Comments'!H:H,0)),"")</f>
        <v>Ryan, Sidebottom</v>
      </c>
      <c r="I544" s="65" t="str">
        <f>IFERROR(INDEX('Docketed Comments'!D:D,MATCH(A544,'Docketed Comments'!H:H,0)),"")</f>
        <v>Phoenix</v>
      </c>
      <c r="J544" s="65" t="str">
        <f>IFERROR(INDEX('Docketed Comments'!I:I,MATCH(A544,'Docketed Comments'!H:H,0)),"")</f>
        <v>R-BASIC</v>
      </c>
      <c r="K544" s="65" t="str">
        <f t="shared" si="17"/>
        <v>✅ On Best Plan</v>
      </c>
      <c r="L544" s="65" t="str">
        <f>IFERROR(INDEX('Docketed Comments'!F:F,MATCH(A544,'Docketed Comments'!H:H,0)),"")</f>
        <v>Form letter</v>
      </c>
      <c r="M544" s="137" t="str">
        <f>IFERROR(HYPERLINK(INDEX('Docketed Comments'!G:G,MATCH(A544,'Docketed Comments'!H:H,0)),"📄 View Docket"),"")</f>
        <v>📄 View Docket</v>
      </c>
      <c r="N544" s="135" t="str">
        <f>IFERROR(INDEX('Docketed Comments'!N:N,MATCH(A544,'Docketed Comments'!H:H,0)),"")</f>
        <v>No</v>
      </c>
      <c r="O544" s="135" t="str">
        <f>IFERROR(INDEX('Docketed Comments'!L:L,MATCH(A544,'Docketed Comments'!H:H,0)),"")</f>
        <v>Yes</v>
      </c>
      <c r="P544" s="136">
        <f t="shared" si="16"/>
        <v>0</v>
      </c>
      <c r="Q544" s="140"/>
      <c r="R544" s="144">
        <v>1</v>
      </c>
    </row>
    <row r="545" spans="1:18" ht="21.95" customHeight="1">
      <c r="A545" s="71" t="s">
        <v>5228</v>
      </c>
      <c r="B545" s="69" t="s">
        <v>111</v>
      </c>
      <c r="C545" s="70">
        <v>45997</v>
      </c>
      <c r="D545" s="69" t="s">
        <v>4865</v>
      </c>
      <c r="E545" s="69"/>
      <c r="F545" s="65" t="s">
        <v>4905</v>
      </c>
      <c r="G545" s="65"/>
      <c r="H545" s="65" t="str">
        <f>IFERROR(INDEX('Docketed Comments'!C:C,MATCH(A545,'Docketed Comments'!H:H,0))&amp;", "&amp;INDEX('Docketed Comments'!B:B,MATCH(A545,'Docketed Comments'!H:H,0)),"")</f>
        <v>Joshua, McKinney</v>
      </c>
      <c r="I545" s="65" t="str">
        <f>IFERROR(INDEX('Docketed Comments'!D:D,MATCH(A545,'Docketed Comments'!H:H,0)),"")</f>
        <v>Phoenix</v>
      </c>
      <c r="J545" s="65" t="str">
        <f>IFERROR(INDEX('Docketed Comments'!I:I,MATCH(A545,'Docketed Comments'!H:H,0)),"")</f>
        <v>R-XS</v>
      </c>
      <c r="K545" s="65" t="str">
        <f t="shared" si="17"/>
        <v>✅ On Best Plan</v>
      </c>
      <c r="L545" s="65" t="str">
        <f>IFERROR(INDEX('Docketed Comments'!F:F,MATCH(A545,'Docketed Comments'!H:H,0)),"")</f>
        <v>Form letter</v>
      </c>
      <c r="M545" s="137" t="str">
        <f>IFERROR(HYPERLINK(INDEX('Docketed Comments'!G:G,MATCH(A545,'Docketed Comments'!H:H,0)),"📄 View Docket"),"")</f>
        <v>📄 View Docket</v>
      </c>
      <c r="N545" s="135" t="str">
        <f>IFERROR(INDEX('Docketed Comments'!N:N,MATCH(A545,'Docketed Comments'!H:H,0)),"")</f>
        <v>No</v>
      </c>
      <c r="O545" s="135" t="str">
        <f>IFERROR(INDEX('Docketed Comments'!L:L,MATCH(A545,'Docketed Comments'!H:H,0)),"")</f>
        <v>Yes</v>
      </c>
      <c r="P545" s="136">
        <f t="shared" si="16"/>
        <v>0</v>
      </c>
      <c r="Q545" s="140" t="s">
        <v>5809</v>
      </c>
      <c r="R545" s="144">
        <v>0</v>
      </c>
    </row>
    <row r="546" spans="1:18" ht="21.95" customHeight="1">
      <c r="A546" s="71" t="s">
        <v>5229</v>
      </c>
      <c r="B546" s="69"/>
      <c r="C546" s="70"/>
      <c r="D546" s="69"/>
      <c r="E546" s="69"/>
      <c r="F546" s="65"/>
      <c r="G546" s="65" t="s">
        <v>5811</v>
      </c>
      <c r="H546" s="65" t="str">
        <f>IFERROR(INDEX('Docketed Comments'!C:C,MATCH(A546,'Docketed Comments'!H:H,0))&amp;", "&amp;INDEX('Docketed Comments'!B:B,MATCH(A546,'Docketed Comments'!H:H,0)),"")</f>
        <v>Brady, Vontran</v>
      </c>
      <c r="I546" s="65" t="str">
        <f>IFERROR(INDEX('Docketed Comments'!D:D,MATCH(A546,'Docketed Comments'!H:H,0)),"")</f>
        <v>Glendale</v>
      </c>
      <c r="J546" s="65" t="str">
        <f>IFERROR(INDEX('Docketed Comments'!I:I,MATCH(A546,'Docketed Comments'!H:H,0)),"")</f>
        <v>R3-47</v>
      </c>
      <c r="K546" s="65" t="str">
        <f t="shared" si="17"/>
        <v>✅ On Best Plan</v>
      </c>
      <c r="L546" s="65" t="str">
        <f>IFERROR(INDEX('Docketed Comments'!F:F,MATCH(A546,'Docketed Comments'!H:H,0)),"")</f>
        <v>Form letter</v>
      </c>
      <c r="M546" s="137" t="str">
        <f>IFERROR(HYPERLINK(INDEX('Docketed Comments'!G:G,MATCH(A546,'Docketed Comments'!H:H,0)),"📄 View Docket"),"")</f>
        <v>📄 View Docket</v>
      </c>
      <c r="N546" s="135" t="str">
        <f>IFERROR(INDEX('Docketed Comments'!N:N,MATCH(A546,'Docketed Comments'!H:H,0)),"")</f>
        <v>No</v>
      </c>
      <c r="O546" s="135" t="str">
        <f>IFERROR(INDEX('Docketed Comments'!L:L,MATCH(A546,'Docketed Comments'!H:H,0)),"")</f>
        <v>Yes</v>
      </c>
      <c r="P546" s="136">
        <f t="shared" si="16"/>
        <v>0</v>
      </c>
      <c r="Q546" s="140"/>
      <c r="R546" s="144">
        <v>1</v>
      </c>
    </row>
    <row r="547" spans="1:18" ht="21.95" customHeight="1">
      <c r="A547" s="71" t="s">
        <v>5230</v>
      </c>
      <c r="B547" s="69"/>
      <c r="C547" s="70"/>
      <c r="D547" s="69"/>
      <c r="E547" s="69"/>
      <c r="F547" s="65"/>
      <c r="G547" s="65" t="s">
        <v>5811</v>
      </c>
      <c r="H547" s="65" t="str">
        <f>IFERROR(INDEX('Docketed Comments'!C:C,MATCH(A547,'Docketed Comments'!H:H,0))&amp;", "&amp;INDEX('Docketed Comments'!B:B,MATCH(A547,'Docketed Comments'!H:H,0)),"")</f>
        <v>Corey, Ingraham</v>
      </c>
      <c r="I547" s="65" t="str">
        <f>IFERROR(INDEX('Docketed Comments'!D:D,MATCH(A547,'Docketed Comments'!H:H,0)),"")</f>
        <v>Buckeye</v>
      </c>
      <c r="J547" s="65" t="str">
        <f>IFERROR(INDEX('Docketed Comments'!I:I,MATCH(A547,'Docketed Comments'!H:H,0)),"")</f>
        <v>R3-47</v>
      </c>
      <c r="K547" s="65" t="str">
        <f t="shared" si="17"/>
        <v>✅ On Best Plan</v>
      </c>
      <c r="L547" s="65" t="str">
        <f>IFERROR(INDEX('Docketed Comments'!F:F,MATCH(A547,'Docketed Comments'!H:H,0)),"")</f>
        <v>Form letter</v>
      </c>
      <c r="M547" s="137" t="str">
        <f>IFERROR(HYPERLINK(INDEX('Docketed Comments'!G:G,MATCH(A547,'Docketed Comments'!H:H,0)),"📄 View Docket"),"")</f>
        <v>📄 View Docket</v>
      </c>
      <c r="N547" s="135" t="str">
        <f>IFERROR(INDEX('Docketed Comments'!N:N,MATCH(A547,'Docketed Comments'!H:H,0)),"")</f>
        <v>No</v>
      </c>
      <c r="O547" s="135" t="str">
        <f>IFERROR(INDEX('Docketed Comments'!L:L,MATCH(A547,'Docketed Comments'!H:H,0)),"")</f>
        <v>Yes</v>
      </c>
      <c r="P547" s="136">
        <f t="shared" si="16"/>
        <v>0</v>
      </c>
      <c r="Q547" s="140"/>
      <c r="R547" s="144">
        <v>1</v>
      </c>
    </row>
    <row r="548" spans="1:18" ht="21.95" customHeight="1">
      <c r="A548" s="71" t="s">
        <v>5231</v>
      </c>
      <c r="B548" s="69"/>
      <c r="C548" s="70"/>
      <c r="D548" s="69"/>
      <c r="E548" s="69"/>
      <c r="F548" s="65"/>
      <c r="G548" s="65" t="s">
        <v>5811</v>
      </c>
      <c r="H548" s="65" t="str">
        <f>IFERROR(INDEX('Docketed Comments'!C:C,MATCH(A548,'Docketed Comments'!H:H,0))&amp;", "&amp;INDEX('Docketed Comments'!B:B,MATCH(A548,'Docketed Comments'!H:H,0)),"")</f>
        <v>Ronald, Greenfield</v>
      </c>
      <c r="I548" s="65" t="str">
        <f>IFERROR(INDEX('Docketed Comments'!D:D,MATCH(A548,'Docketed Comments'!H:H,0)),"")</f>
        <v>Buckeye</v>
      </c>
      <c r="J548" s="65" t="str">
        <f>IFERROR(INDEX('Docketed Comments'!I:I,MATCH(A548,'Docketed Comments'!H:H,0)),"")</f>
        <v>EPR-6w/ET-2</v>
      </c>
      <c r="K548" s="65" t="str">
        <f t="shared" si="17"/>
        <v>⚠ Frozen Rate</v>
      </c>
      <c r="L548" s="65" t="str">
        <f>IFERROR(INDEX('Docketed Comments'!F:F,MATCH(A548,'Docketed Comments'!H:H,0)),"")</f>
        <v>Opposed</v>
      </c>
      <c r="M548" s="137" t="str">
        <f>IFERROR(HYPERLINK(INDEX('Docketed Comments'!G:G,MATCH(A548,'Docketed Comments'!H:H,0)),"📄 View Docket"),"")</f>
        <v>📄 View Docket</v>
      </c>
      <c r="N548" s="135" t="str">
        <f>IFERROR(INDEX('Docketed Comments'!N:N,MATCH(A548,'Docketed Comments'!H:H,0)),"")</f>
        <v>No</v>
      </c>
      <c r="O548" s="135" t="str">
        <f>IFERROR(INDEX('Docketed Comments'!L:L,MATCH(A548,'Docketed Comments'!H:H,0)),"")</f>
        <v>Frozen Rate</v>
      </c>
      <c r="P548" s="136">
        <f t="shared" si="16"/>
        <v>0</v>
      </c>
      <c r="Q548" s="140"/>
      <c r="R548" s="144">
        <v>1</v>
      </c>
    </row>
    <row r="549" spans="1:18" ht="21.95" customHeight="1">
      <c r="A549" s="71" t="s">
        <v>5232</v>
      </c>
      <c r="B549" s="69"/>
      <c r="C549" s="70"/>
      <c r="D549" s="69"/>
      <c r="E549" s="69"/>
      <c r="F549" s="65"/>
      <c r="G549" s="65" t="s">
        <v>5811</v>
      </c>
      <c r="H549" s="65" t="str">
        <f>IFERROR(INDEX('Docketed Comments'!C:C,MATCH(A549,'Docketed Comments'!H:H,0))&amp;", "&amp;INDEX('Docketed Comments'!B:B,MATCH(A549,'Docketed Comments'!H:H,0)),"")</f>
        <v>Bryan, Duclos</v>
      </c>
      <c r="I549" s="65" t="str">
        <f>IFERROR(INDEX('Docketed Comments'!D:D,MATCH(A549,'Docketed Comments'!H:H,0)),"")</f>
        <v>Goodyear</v>
      </c>
      <c r="J549" s="65" t="str">
        <f>IFERROR(INDEX('Docketed Comments'!I:I,MATCH(A549,'Docketed Comments'!H:H,0)),"")</f>
        <v>EPR-6w/ET-2</v>
      </c>
      <c r="K549" s="65" t="str">
        <f t="shared" si="17"/>
        <v>⚠ Frozen Rate</v>
      </c>
      <c r="L549" s="65" t="str">
        <f>IFERROR(INDEX('Docketed Comments'!F:F,MATCH(A549,'Docketed Comments'!H:H,0)),"")</f>
        <v xml:space="preserve">Monopoly,  </v>
      </c>
      <c r="M549" s="137" t="str">
        <f>IFERROR(HYPERLINK(INDEX('Docketed Comments'!G:G,MATCH(A549,'Docketed Comments'!H:H,0)),"📄 View Docket"),"")</f>
        <v>📄 View Docket</v>
      </c>
      <c r="N549" s="135" t="str">
        <f>IFERROR(INDEX('Docketed Comments'!N:N,MATCH(A549,'Docketed Comments'!H:H,0)),"")</f>
        <v>No</v>
      </c>
      <c r="O549" s="135" t="str">
        <f>IFERROR(INDEX('Docketed Comments'!L:L,MATCH(A549,'Docketed Comments'!H:H,0)),"")</f>
        <v>Frozen Rate</v>
      </c>
      <c r="P549" s="136">
        <f t="shared" si="16"/>
        <v>0</v>
      </c>
      <c r="Q549" s="140"/>
      <c r="R549" s="144">
        <v>1</v>
      </c>
    </row>
    <row r="550" spans="1:18" ht="21.95" customHeight="1">
      <c r="A550" s="71" t="s">
        <v>5233</v>
      </c>
      <c r="B550" s="69"/>
      <c r="C550" s="70"/>
      <c r="D550" s="69"/>
      <c r="E550" s="69"/>
      <c r="F550" s="65"/>
      <c r="G550" s="65" t="s">
        <v>5811</v>
      </c>
      <c r="H550" s="65" t="str">
        <f>IFERROR(INDEX('Docketed Comments'!C:C,MATCH(A550,'Docketed Comments'!H:H,0))&amp;", "&amp;INDEX('Docketed Comments'!B:B,MATCH(A550,'Docketed Comments'!H:H,0)),"")</f>
        <v>Patrick, Guerin</v>
      </c>
      <c r="I550" s="65" t="str">
        <f>IFERROR(INDEX('Docketed Comments'!D:D,MATCH(A550,'Docketed Comments'!H:H,0)),"")</f>
        <v>Ajo</v>
      </c>
      <c r="J550" s="65" t="str">
        <f>IFERROR(INDEX('Docketed Comments'!I:I,MATCH(A550,'Docketed Comments'!H:H,0)),"")</f>
        <v>RCPw/RTOUE47</v>
      </c>
      <c r="K550" s="65" t="str">
        <f t="shared" si="17"/>
        <v>✅ On Best Plan</v>
      </c>
      <c r="L550" s="65" t="str">
        <f>IFERROR(INDEX('Docketed Comments'!F:F,MATCH(A550,'Docketed Comments'!H:H,0)),"")</f>
        <v>Form letter</v>
      </c>
      <c r="M550" s="137" t="str">
        <f>IFERROR(HYPERLINK(INDEX('Docketed Comments'!G:G,MATCH(A550,'Docketed Comments'!H:H,0)),"📄 View Docket"),"")</f>
        <v>📄 View Docket</v>
      </c>
      <c r="N550" s="135" t="str">
        <f>IFERROR(INDEX('Docketed Comments'!N:N,MATCH(A550,'Docketed Comments'!H:H,0)),"")</f>
        <v>No</v>
      </c>
      <c r="O550" s="135" t="str">
        <f>IFERROR(INDEX('Docketed Comments'!L:L,MATCH(A550,'Docketed Comments'!H:H,0)),"")</f>
        <v>Yes</v>
      </c>
      <c r="P550" s="136">
        <f t="shared" si="16"/>
        <v>0</v>
      </c>
      <c r="Q550" s="140"/>
      <c r="R550" s="144">
        <v>1</v>
      </c>
    </row>
    <row r="551" spans="1:18" ht="21.95" customHeight="1">
      <c r="A551" s="71" t="s">
        <v>1901</v>
      </c>
      <c r="B551" s="69"/>
      <c r="C551" s="70"/>
      <c r="D551" s="69"/>
      <c r="E551" s="69"/>
      <c r="F551" s="65"/>
      <c r="G551" s="65" t="s">
        <v>5811</v>
      </c>
      <c r="H551" s="65" t="str">
        <f>IFERROR(INDEX('Docketed Comments'!C:C,MATCH(A551,'Docketed Comments'!H:H,0))&amp;", "&amp;INDEX('Docketed Comments'!B:B,MATCH(A551,'Docketed Comments'!H:H,0)),"")</f>
        <v>Jose, Bello</v>
      </c>
      <c r="I551" s="65" t="str">
        <f>IFERROR(INDEX('Docketed Comments'!D:D,MATCH(A551,'Docketed Comments'!H:H,0)),"")</f>
        <v>Goodyear</v>
      </c>
      <c r="J551" s="65" t="str">
        <f>IFERROR(INDEX('Docketed Comments'!I:I,MATCH(A551,'Docketed Comments'!H:H,0)),"")</f>
        <v>RCPw/RTOUE47</v>
      </c>
      <c r="K551" s="65" t="str">
        <f t="shared" si="17"/>
        <v>✅ On Best Plan</v>
      </c>
      <c r="L551" s="65" t="str">
        <f>IFERROR(INDEX('Docketed Comments'!F:F,MATCH(A551,'Docketed Comments'!H:H,0)),"")</f>
        <v>Ridiculously high</v>
      </c>
      <c r="M551" s="137" t="str">
        <f>IFERROR(HYPERLINK(INDEX('Docketed Comments'!G:G,MATCH(A551,'Docketed Comments'!H:H,0)),"📄 View Docket"),"")</f>
        <v>📄 View Docket</v>
      </c>
      <c r="N551" s="135" t="str">
        <f>IFERROR(INDEX('Docketed Comments'!N:N,MATCH(A551,'Docketed Comments'!H:H,0)),"")</f>
        <v>No</v>
      </c>
      <c r="O551" s="135" t="str">
        <f>IFERROR(INDEX('Docketed Comments'!L:L,MATCH(A551,'Docketed Comments'!H:H,0)),"")</f>
        <v>Yes</v>
      </c>
      <c r="P551" s="136">
        <f t="shared" si="16"/>
        <v>0</v>
      </c>
      <c r="Q551" s="140"/>
      <c r="R551" s="144">
        <v>1</v>
      </c>
    </row>
    <row r="552" spans="1:18" ht="21.95" customHeight="1">
      <c r="A552" s="71" t="s">
        <v>5234</v>
      </c>
      <c r="B552" s="69"/>
      <c r="C552" s="70"/>
      <c r="D552" s="69"/>
      <c r="E552" s="69"/>
      <c r="F552" s="65"/>
      <c r="G552" s="65" t="s">
        <v>5811</v>
      </c>
      <c r="H552" s="65" t="str">
        <f>IFERROR(INDEX('Docketed Comments'!C:C,MATCH(A552,'Docketed Comments'!H:H,0))&amp;", "&amp;INDEX('Docketed Comments'!B:B,MATCH(A552,'Docketed Comments'!H:H,0)),"")</f>
        <v>Eric, Fransen</v>
      </c>
      <c r="I552" s="65" t="str">
        <f>IFERROR(INDEX('Docketed Comments'!D:D,MATCH(A552,'Docketed Comments'!H:H,0)),"")</f>
        <v>Scottsdale</v>
      </c>
      <c r="J552" s="65" t="str">
        <f>IFERROR(INDEX('Docketed Comments'!I:I,MATCH(A552,'Docketed Comments'!H:H,0)),"")</f>
        <v>R-2</v>
      </c>
      <c r="K552" s="65" t="str">
        <f t="shared" si="17"/>
        <v>⚠ Frozen Rate</v>
      </c>
      <c r="L552" s="65" t="str">
        <f>IFERROR(INDEX('Docketed Comments'!F:F,MATCH(A552,'Docketed Comments'!H:H,0)),"")</f>
        <v>Form letter</v>
      </c>
      <c r="M552" s="137" t="str">
        <f>IFERROR(HYPERLINK(INDEX('Docketed Comments'!G:G,MATCH(A552,'Docketed Comments'!H:H,0)),"📄 View Docket"),"")</f>
        <v>📄 View Docket</v>
      </c>
      <c r="N552" s="135" t="str">
        <f>IFERROR(INDEX('Docketed Comments'!N:N,MATCH(A552,'Docketed Comments'!H:H,0)),"")</f>
        <v>No</v>
      </c>
      <c r="O552" s="135" t="str">
        <f>IFERROR(INDEX('Docketed Comments'!L:L,MATCH(A552,'Docketed Comments'!H:H,0)),"")</f>
        <v>Frozen Rate</v>
      </c>
      <c r="P552" s="136">
        <f t="shared" si="16"/>
        <v>0</v>
      </c>
      <c r="Q552" s="140"/>
      <c r="R552" s="144">
        <v>1</v>
      </c>
    </row>
    <row r="553" spans="1:18" ht="21.95" customHeight="1">
      <c r="A553" s="71" t="s">
        <v>5235</v>
      </c>
      <c r="B553" s="69"/>
      <c r="C553" s="70"/>
      <c r="D553" s="69"/>
      <c r="E553" s="69"/>
      <c r="F553" s="65"/>
      <c r="G553" s="65" t="s">
        <v>5811</v>
      </c>
      <c r="H553" s="65" t="str">
        <f>IFERROR(INDEX('Docketed Comments'!C:C,MATCH(A553,'Docketed Comments'!H:H,0))&amp;", "&amp;INDEX('Docketed Comments'!B:B,MATCH(A553,'Docketed Comments'!H:H,0)),"")</f>
        <v>Ellen, Alba</v>
      </c>
      <c r="I553" s="65" t="str">
        <f>IFERROR(INDEX('Docketed Comments'!D:D,MATCH(A553,'Docketed Comments'!H:H,0)),"")</f>
        <v>Scottsdale</v>
      </c>
      <c r="J553" s="65" t="str">
        <f>IFERROR(INDEX('Docketed Comments'!I:I,MATCH(A553,'Docketed Comments'!H:H,0)),"")</f>
        <v>R3-47</v>
      </c>
      <c r="K553" s="65" t="str">
        <f t="shared" si="17"/>
        <v>✅ On Best Plan</v>
      </c>
      <c r="L553" s="65" t="str">
        <f>IFERROR(INDEX('Docketed Comments'!F:F,MATCH(A553,'Docketed Comments'!H:H,0)),"")</f>
        <v>Opposed</v>
      </c>
      <c r="M553" s="137" t="str">
        <f>IFERROR(HYPERLINK(INDEX('Docketed Comments'!G:G,MATCH(A553,'Docketed Comments'!H:H,0)),"📄 View Docket"),"")</f>
        <v>📄 View Docket</v>
      </c>
      <c r="N553" s="135" t="str">
        <f>IFERROR(INDEX('Docketed Comments'!N:N,MATCH(A553,'Docketed Comments'!H:H,0)),"")</f>
        <v>No</v>
      </c>
      <c r="O553" s="135" t="str">
        <f>IFERROR(INDEX('Docketed Comments'!L:L,MATCH(A553,'Docketed Comments'!H:H,0)),"")</f>
        <v>Yes</v>
      </c>
      <c r="P553" s="136">
        <f t="shared" si="16"/>
        <v>0</v>
      </c>
      <c r="Q553" s="140"/>
      <c r="R553" s="144">
        <v>1</v>
      </c>
    </row>
    <row r="554" spans="1:18" ht="21.95" customHeight="1">
      <c r="A554" s="71" t="s">
        <v>5236</v>
      </c>
      <c r="B554" s="69"/>
      <c r="C554" s="70"/>
      <c r="D554" s="69"/>
      <c r="E554" s="69"/>
      <c r="F554" s="65"/>
      <c r="G554" s="65" t="s">
        <v>5811</v>
      </c>
      <c r="H554" s="65" t="str">
        <f>IFERROR(INDEX('Docketed Comments'!C:C,MATCH(A554,'Docketed Comments'!H:H,0))&amp;", "&amp;INDEX('Docketed Comments'!B:B,MATCH(A554,'Docketed Comments'!H:H,0)),"")</f>
        <v>Jeffrey, Willer</v>
      </c>
      <c r="I554" s="65" t="str">
        <f>IFERROR(INDEX('Docketed Comments'!D:D,MATCH(A554,'Docketed Comments'!H:H,0)),"")</f>
        <v>Phoenix</v>
      </c>
      <c r="J554" s="65" t="str">
        <f>IFERROR(INDEX('Docketed Comments'!I:I,MATCH(A554,'Docketed Comments'!H:H,0)),"")</f>
        <v>R3-47</v>
      </c>
      <c r="K554" s="65" t="str">
        <f t="shared" si="17"/>
        <v>✅ On Best Plan</v>
      </c>
      <c r="L554" s="65" t="str">
        <f>IFERROR(INDEX('Docketed Comments'!F:F,MATCH(A554,'Docketed Comments'!H:H,0)),"")</f>
        <v>can't afford</v>
      </c>
      <c r="M554" s="137" t="str">
        <f>IFERROR(HYPERLINK(INDEX('Docketed Comments'!G:G,MATCH(A554,'Docketed Comments'!H:H,0)),"📄 View Docket"),"")</f>
        <v>📄 View Docket</v>
      </c>
      <c r="N554" s="135" t="str">
        <f>IFERROR(INDEX('Docketed Comments'!N:N,MATCH(A554,'Docketed Comments'!H:H,0)),"")</f>
        <v>No</v>
      </c>
      <c r="O554" s="135" t="str">
        <f>IFERROR(INDEX('Docketed Comments'!L:L,MATCH(A554,'Docketed Comments'!H:H,0)),"")</f>
        <v>Yes</v>
      </c>
      <c r="P554" s="136">
        <f t="shared" si="16"/>
        <v>0</v>
      </c>
      <c r="Q554" s="140"/>
      <c r="R554" s="144">
        <v>1</v>
      </c>
    </row>
    <row r="555" spans="1:18" ht="21.95" customHeight="1">
      <c r="A555" s="71" t="s">
        <v>5237</v>
      </c>
      <c r="B555" s="69"/>
      <c r="C555" s="70"/>
      <c r="D555" s="69"/>
      <c r="E555" s="69"/>
      <c r="F555" s="65"/>
      <c r="G555" s="65" t="s">
        <v>5811</v>
      </c>
      <c r="H555" s="65" t="str">
        <f>IFERROR(INDEX('Docketed Comments'!C:C,MATCH(A555,'Docketed Comments'!H:H,0))&amp;", "&amp;INDEX('Docketed Comments'!B:B,MATCH(A555,'Docketed Comments'!H:H,0)),"")</f>
        <v>Colin, Johnson</v>
      </c>
      <c r="I555" s="65" t="str">
        <f>IFERROR(INDEX('Docketed Comments'!D:D,MATCH(A555,'Docketed Comments'!H:H,0)),"")</f>
        <v>Phoenix</v>
      </c>
      <c r="J555" s="65" t="str">
        <f>IFERROR(INDEX('Docketed Comments'!I:I,MATCH(A555,'Docketed Comments'!H:H,0)),"")</f>
        <v>R-XS</v>
      </c>
      <c r="K555" s="65" t="str">
        <f t="shared" si="17"/>
        <v>✅ On Best Plan</v>
      </c>
      <c r="L555" s="65" t="str">
        <f>IFERROR(INDEX('Docketed Comments'!F:F,MATCH(A555,'Docketed Comments'!H:H,0)),"")</f>
        <v>Form letter</v>
      </c>
      <c r="M555" s="137" t="str">
        <f>IFERROR(HYPERLINK(INDEX('Docketed Comments'!G:G,MATCH(A555,'Docketed Comments'!H:H,0)),"📄 View Docket"),"")</f>
        <v>📄 View Docket</v>
      </c>
      <c r="N555" s="135" t="str">
        <f>IFERROR(INDEX('Docketed Comments'!N:N,MATCH(A555,'Docketed Comments'!H:H,0)),"")</f>
        <v>No</v>
      </c>
      <c r="O555" s="135" t="str">
        <f>IFERROR(INDEX('Docketed Comments'!L:L,MATCH(A555,'Docketed Comments'!H:H,0)),"")</f>
        <v>Yes</v>
      </c>
      <c r="P555" s="136">
        <f t="shared" si="16"/>
        <v>0</v>
      </c>
      <c r="Q555" s="140"/>
      <c r="R555" s="144">
        <v>1</v>
      </c>
    </row>
    <row r="556" spans="1:18" ht="21.95" customHeight="1">
      <c r="A556" s="71" t="s">
        <v>5238</v>
      </c>
      <c r="B556" s="69"/>
      <c r="C556" s="70"/>
      <c r="D556" s="69"/>
      <c r="E556" s="69"/>
      <c r="F556" s="65"/>
      <c r="G556" s="65" t="s">
        <v>5811</v>
      </c>
      <c r="H556" s="65" t="str">
        <f>IFERROR(INDEX('Docketed Comments'!C:C,MATCH(A556,'Docketed Comments'!H:H,0))&amp;", "&amp;INDEX('Docketed Comments'!B:B,MATCH(A556,'Docketed Comments'!H:H,0)),"")</f>
        <v>James, Rothen</v>
      </c>
      <c r="I556" s="65" t="str">
        <f>IFERROR(INDEX('Docketed Comments'!D:D,MATCH(A556,'Docketed Comments'!H:H,0)),"")</f>
        <v>Phoenix</v>
      </c>
      <c r="J556" s="65" t="str">
        <f>IFERROR(INDEX('Docketed Comments'!I:I,MATCH(A556,'Docketed Comments'!H:H,0)),"")</f>
        <v>R-BASIC</v>
      </c>
      <c r="K556" s="65" t="str">
        <f t="shared" si="17"/>
        <v>✅ On Best Plan</v>
      </c>
      <c r="L556" s="65" t="str">
        <f>IFERROR(INDEX('Docketed Comments'!F:F,MATCH(A556,'Docketed Comments'!H:H,0)),"")</f>
        <v>Form letter</v>
      </c>
      <c r="M556" s="137" t="str">
        <f>IFERROR(HYPERLINK(INDEX('Docketed Comments'!G:G,MATCH(A556,'Docketed Comments'!H:H,0)),"📄 View Docket"),"")</f>
        <v>📄 View Docket</v>
      </c>
      <c r="N556" s="135" t="str">
        <f>IFERROR(INDEX('Docketed Comments'!N:N,MATCH(A556,'Docketed Comments'!H:H,0)),"")</f>
        <v>No</v>
      </c>
      <c r="O556" s="135" t="str">
        <f>IFERROR(INDEX('Docketed Comments'!L:L,MATCH(A556,'Docketed Comments'!H:H,0)),"")</f>
        <v>Yes</v>
      </c>
      <c r="P556" s="136">
        <f t="shared" si="16"/>
        <v>0</v>
      </c>
      <c r="Q556" s="140"/>
      <c r="R556" s="144">
        <v>1</v>
      </c>
    </row>
    <row r="557" spans="1:18" ht="21.95" customHeight="1">
      <c r="A557" s="71" t="s">
        <v>5239</v>
      </c>
      <c r="B557" s="69"/>
      <c r="C557" s="70"/>
      <c r="D557" s="69"/>
      <c r="E557" s="69"/>
      <c r="F557" s="65"/>
      <c r="G557" s="65" t="s">
        <v>5811</v>
      </c>
      <c r="H557" s="65" t="str">
        <f>IFERROR(INDEX('Docketed Comments'!C:C,MATCH(A557,'Docketed Comments'!H:H,0))&amp;", "&amp;INDEX('Docketed Comments'!B:B,MATCH(A557,'Docketed Comments'!H:H,0)),"")</f>
        <v>Aaron, Ling</v>
      </c>
      <c r="I557" s="65" t="str">
        <f>IFERROR(INDEX('Docketed Comments'!D:D,MATCH(A557,'Docketed Comments'!H:H,0)),"")</f>
        <v>Scottsdale</v>
      </c>
      <c r="J557" s="65" t="str">
        <f>IFERROR(INDEX('Docketed Comments'!I:I,MATCH(A557,'Docketed Comments'!H:H,0)),"")</f>
        <v>EPR-6w/E-12</v>
      </c>
      <c r="K557" s="65" t="str">
        <f t="shared" si="17"/>
        <v>⚠ Frozen Rate</v>
      </c>
      <c r="L557" s="65" t="str">
        <f>IFERROR(INDEX('Docketed Comments'!F:F,MATCH(A557,'Docketed Comments'!H:H,0)),"")</f>
        <v>Against rate hike</v>
      </c>
      <c r="M557" s="137" t="str">
        <f>IFERROR(HYPERLINK(INDEX('Docketed Comments'!G:G,MATCH(A557,'Docketed Comments'!H:H,0)),"📄 View Docket"),"")</f>
        <v>📄 View Docket</v>
      </c>
      <c r="N557" s="135" t="str">
        <f>IFERROR(INDEX('Docketed Comments'!N:N,MATCH(A557,'Docketed Comments'!H:H,0)),"")</f>
        <v>No</v>
      </c>
      <c r="O557" s="135" t="str">
        <f>IFERROR(INDEX('Docketed Comments'!L:L,MATCH(A557,'Docketed Comments'!H:H,0)),"")</f>
        <v>Frozen Rate</v>
      </c>
      <c r="P557" s="136">
        <f t="shared" si="16"/>
        <v>0</v>
      </c>
      <c r="Q557" s="140"/>
      <c r="R557" s="144">
        <v>1</v>
      </c>
    </row>
    <row r="558" spans="1:18" ht="21.95" customHeight="1">
      <c r="A558" s="71" t="s">
        <v>5240</v>
      </c>
      <c r="B558" s="69"/>
      <c r="C558" s="70"/>
      <c r="D558" s="69"/>
      <c r="E558" s="69"/>
      <c r="F558" s="65"/>
      <c r="G558" s="65" t="s">
        <v>5811</v>
      </c>
      <c r="H558" s="65" t="str">
        <f>IFERROR(INDEX('Docketed Comments'!C:C,MATCH(A558,'Docketed Comments'!H:H,0))&amp;", "&amp;INDEX('Docketed Comments'!B:B,MATCH(A558,'Docketed Comments'!H:H,0)),"")</f>
        <v>Brian, Noel</v>
      </c>
      <c r="I558" s="65" t="str">
        <f>IFERROR(INDEX('Docketed Comments'!D:D,MATCH(A558,'Docketed Comments'!H:H,0)),"")</f>
        <v>Phoenix</v>
      </c>
      <c r="J558" s="65" t="str">
        <f>IFERROR(INDEX('Docketed Comments'!I:I,MATCH(A558,'Docketed Comments'!H:H,0)),"")</f>
        <v>R3-47</v>
      </c>
      <c r="K558" s="65" t="str">
        <f t="shared" si="17"/>
        <v>✅ On Best Plan</v>
      </c>
      <c r="L558" s="65" t="str">
        <f>IFERROR(INDEX('Docketed Comments'!F:F,MATCH(A558,'Docketed Comments'!H:H,0)),"")</f>
        <v>Opposed</v>
      </c>
      <c r="M558" s="137" t="str">
        <f>IFERROR(HYPERLINK(INDEX('Docketed Comments'!G:G,MATCH(A558,'Docketed Comments'!H:H,0)),"📄 View Docket"),"")</f>
        <v>📄 View Docket</v>
      </c>
      <c r="N558" s="135" t="str">
        <f>IFERROR(INDEX('Docketed Comments'!N:N,MATCH(A558,'Docketed Comments'!H:H,0)),"")</f>
        <v>No</v>
      </c>
      <c r="O558" s="135" t="str">
        <f>IFERROR(INDEX('Docketed Comments'!L:L,MATCH(A558,'Docketed Comments'!H:H,0)),"")</f>
        <v>Yes</v>
      </c>
      <c r="P558" s="136">
        <f t="shared" si="16"/>
        <v>0</v>
      </c>
      <c r="Q558" s="140"/>
      <c r="R558" s="144">
        <v>1</v>
      </c>
    </row>
    <row r="559" spans="1:18" ht="21.95" customHeight="1">
      <c r="A559" s="71" t="s">
        <v>5241</v>
      </c>
      <c r="B559" s="69"/>
      <c r="C559" s="70"/>
      <c r="D559" s="69"/>
      <c r="E559" s="69"/>
      <c r="F559" s="65"/>
      <c r="G559" s="65" t="s">
        <v>5811</v>
      </c>
      <c r="H559" s="65" t="str">
        <f>IFERROR(INDEX('Docketed Comments'!C:C,MATCH(A559,'Docketed Comments'!H:H,0))&amp;", "&amp;INDEX('Docketed Comments'!B:B,MATCH(A559,'Docketed Comments'!H:H,0)),"")</f>
        <v>Rayanne, Mroczek</v>
      </c>
      <c r="I559" s="65" t="str">
        <f>IFERROR(INDEX('Docketed Comments'!D:D,MATCH(A559,'Docketed Comments'!H:H,0)),"")</f>
        <v>Bisbee</v>
      </c>
      <c r="J559" s="65" t="str">
        <f>IFERROR(INDEX('Docketed Comments'!I:I,MATCH(A559,'Docketed Comments'!H:H,0)),"")</f>
        <v>R3-47</v>
      </c>
      <c r="K559" s="65" t="str">
        <f t="shared" si="17"/>
        <v>✅ On Best Plan</v>
      </c>
      <c r="L559" s="65" t="str">
        <f>IFERROR(INDEX('Docketed Comments'!F:F,MATCH(A559,'Docketed Comments'!H:H,0)),"")</f>
        <v>Opposed</v>
      </c>
      <c r="M559" s="137" t="str">
        <f>IFERROR(HYPERLINK(INDEX('Docketed Comments'!G:G,MATCH(A559,'Docketed Comments'!H:H,0)),"📄 View Docket"),"")</f>
        <v>📄 View Docket</v>
      </c>
      <c r="N559" s="135" t="str">
        <f>IFERROR(INDEX('Docketed Comments'!N:N,MATCH(A559,'Docketed Comments'!H:H,0)),"")</f>
        <v>No</v>
      </c>
      <c r="O559" s="135" t="str">
        <f>IFERROR(INDEX('Docketed Comments'!L:L,MATCH(A559,'Docketed Comments'!H:H,0)),"")</f>
        <v>Yes</v>
      </c>
      <c r="P559" s="136">
        <f t="shared" si="16"/>
        <v>0</v>
      </c>
      <c r="Q559" s="140"/>
      <c r="R559" s="144">
        <v>1</v>
      </c>
    </row>
    <row r="560" spans="1:18" ht="21.95" customHeight="1">
      <c r="A560" s="71" t="s">
        <v>5242</v>
      </c>
      <c r="B560" s="69"/>
      <c r="C560" s="70"/>
      <c r="D560" s="69"/>
      <c r="E560" s="69"/>
      <c r="F560" s="65"/>
      <c r="G560" s="65" t="s">
        <v>5811</v>
      </c>
      <c r="H560" s="65" t="str">
        <f>IFERROR(INDEX('Docketed Comments'!C:C,MATCH(A560,'Docketed Comments'!H:H,0))&amp;", "&amp;INDEX('Docketed Comments'!B:B,MATCH(A560,'Docketed Comments'!H:H,0)),"")</f>
        <v>Jason, Hull</v>
      </c>
      <c r="I560" s="65" t="str">
        <f>IFERROR(INDEX('Docketed Comments'!D:D,MATCH(A560,'Docketed Comments'!H:H,0)),"")</f>
        <v>Glendale</v>
      </c>
      <c r="J560" s="65" t="str">
        <f>IFERROR(INDEX('Docketed Comments'!I:I,MATCH(A560,'Docketed Comments'!H:H,0)),"")</f>
        <v>RTOUE47</v>
      </c>
      <c r="K560" s="65" t="str">
        <f t="shared" si="17"/>
        <v>✅ On Best Plan</v>
      </c>
      <c r="L560" s="65" t="str">
        <f>IFERROR(INDEX('Docketed Comments'!F:F,MATCH(A560,'Docketed Comments'!H:H,0)),"")</f>
        <v>Opposed</v>
      </c>
      <c r="M560" s="137" t="str">
        <f>IFERROR(HYPERLINK(INDEX('Docketed Comments'!G:G,MATCH(A560,'Docketed Comments'!H:H,0)),"📄 View Docket"),"")</f>
        <v>📄 View Docket</v>
      </c>
      <c r="N560" s="135" t="str">
        <f>IFERROR(INDEX('Docketed Comments'!N:N,MATCH(A560,'Docketed Comments'!H:H,0)),"")</f>
        <v>No</v>
      </c>
      <c r="O560" s="135" t="str">
        <f>IFERROR(INDEX('Docketed Comments'!L:L,MATCH(A560,'Docketed Comments'!H:H,0)),"")</f>
        <v>Yes</v>
      </c>
      <c r="P560" s="136">
        <f t="shared" si="16"/>
        <v>0</v>
      </c>
      <c r="Q560" s="140"/>
      <c r="R560" s="144">
        <v>1</v>
      </c>
    </row>
    <row r="561" spans="1:18" ht="21.95" customHeight="1">
      <c r="A561" s="71" t="s">
        <v>5243</v>
      </c>
      <c r="B561" s="69"/>
      <c r="C561" s="70"/>
      <c r="D561" s="69"/>
      <c r="E561" s="69"/>
      <c r="F561" s="65"/>
      <c r="G561" s="65" t="s">
        <v>5811</v>
      </c>
      <c r="H561" s="65" t="str">
        <f>IFERROR(INDEX('Docketed Comments'!C:C,MATCH(A561,'Docketed Comments'!H:H,0))&amp;", "&amp;INDEX('Docketed Comments'!B:B,MATCH(A561,'Docketed Comments'!H:H,0)),"")</f>
        <v>James, Fajardo</v>
      </c>
      <c r="I561" s="65" t="str">
        <f>IFERROR(INDEX('Docketed Comments'!D:D,MATCH(A561,'Docketed Comments'!H:H,0)),"")</f>
        <v>Phoenix</v>
      </c>
      <c r="J561" s="65" t="str">
        <f>IFERROR(INDEX('Docketed Comments'!I:I,MATCH(A561,'Docketed Comments'!H:H,0)),"")</f>
        <v>R3-47</v>
      </c>
      <c r="K561" s="65" t="str">
        <f t="shared" si="17"/>
        <v>✅ On Best Plan</v>
      </c>
      <c r="L561" s="65" t="str">
        <f>IFERROR(INDEX('Docketed Comments'!F:F,MATCH(A561,'Docketed Comments'!H:H,0)),"")</f>
        <v>Form letter</v>
      </c>
      <c r="M561" s="137" t="str">
        <f>IFERROR(HYPERLINK(INDEX('Docketed Comments'!G:G,MATCH(A561,'Docketed Comments'!H:H,0)),"📄 View Docket"),"")</f>
        <v>📄 View Docket</v>
      </c>
      <c r="N561" s="135" t="str">
        <f>IFERROR(INDEX('Docketed Comments'!N:N,MATCH(A561,'Docketed Comments'!H:H,0)),"")</f>
        <v>No</v>
      </c>
      <c r="O561" s="135" t="str">
        <f>IFERROR(INDEX('Docketed Comments'!L:L,MATCH(A561,'Docketed Comments'!H:H,0)),"")</f>
        <v>Yes</v>
      </c>
      <c r="P561" s="136">
        <f t="shared" si="16"/>
        <v>0</v>
      </c>
      <c r="Q561" s="140"/>
      <c r="R561" s="144">
        <v>1</v>
      </c>
    </row>
    <row r="562" spans="1:18" ht="21.95" customHeight="1">
      <c r="A562" s="71" t="s">
        <v>5244</v>
      </c>
      <c r="B562" s="69"/>
      <c r="C562" s="70"/>
      <c r="D562" s="69"/>
      <c r="E562" s="69"/>
      <c r="F562" s="65"/>
      <c r="G562" s="65" t="s">
        <v>5811</v>
      </c>
      <c r="H562" s="65" t="str">
        <f>IFERROR(INDEX('Docketed Comments'!C:C,MATCH(A562,'Docketed Comments'!H:H,0))&amp;", "&amp;INDEX('Docketed Comments'!B:B,MATCH(A562,'Docketed Comments'!H:H,0)),"")</f>
        <v>Joseph, Zamenick</v>
      </c>
      <c r="I562" s="65" t="str">
        <f>IFERROR(INDEX('Docketed Comments'!D:D,MATCH(A562,'Docketed Comments'!H:H,0)),"")</f>
        <v>Litchfield Park</v>
      </c>
      <c r="J562" s="65" t="str">
        <f>IFERROR(INDEX('Docketed Comments'!I:I,MATCH(A562,'Docketed Comments'!H:H,0)),"")</f>
        <v>R3-47</v>
      </c>
      <c r="K562" s="65" t="str">
        <f t="shared" si="17"/>
        <v>✅ On Best Plan</v>
      </c>
      <c r="L562" s="65" t="str">
        <f>IFERROR(INDEX('Docketed Comments'!F:F,MATCH(A562,'Docketed Comments'!H:H,0)),"")</f>
        <v>Enough is enough</v>
      </c>
      <c r="M562" s="137" t="str">
        <f>IFERROR(HYPERLINK(INDEX('Docketed Comments'!G:G,MATCH(A562,'Docketed Comments'!H:H,0)),"📄 View Docket"),"")</f>
        <v>📄 View Docket</v>
      </c>
      <c r="N562" s="135" t="str">
        <f>IFERROR(INDEX('Docketed Comments'!N:N,MATCH(A562,'Docketed Comments'!H:H,0)),"")</f>
        <v>No</v>
      </c>
      <c r="O562" s="135" t="str">
        <f>IFERROR(INDEX('Docketed Comments'!L:L,MATCH(A562,'Docketed Comments'!H:H,0)),"")</f>
        <v>Yes</v>
      </c>
      <c r="P562" s="136">
        <f t="shared" si="16"/>
        <v>0</v>
      </c>
      <c r="Q562" s="140"/>
      <c r="R562" s="144">
        <v>1</v>
      </c>
    </row>
    <row r="563" spans="1:18" ht="21.95" customHeight="1">
      <c r="A563" s="71" t="s">
        <v>216</v>
      </c>
      <c r="B563" s="69"/>
      <c r="C563" s="70"/>
      <c r="D563" s="69"/>
      <c r="E563" s="69"/>
      <c r="F563" s="65"/>
      <c r="G563" s="65" t="s">
        <v>5811</v>
      </c>
      <c r="H563" s="65" t="str">
        <f>IFERROR(INDEX('Docketed Comments'!C:C,MATCH(A563,'Docketed Comments'!H:H,0))&amp;", "&amp;INDEX('Docketed Comments'!B:B,MATCH(A563,'Docketed Comments'!H:H,0)),"")</f>
        <v>Isabella, Sanchez</v>
      </c>
      <c r="I563" s="65" t="str">
        <f>IFERROR(INDEX('Docketed Comments'!D:D,MATCH(A563,'Docketed Comments'!H:H,0)),"")</f>
        <v>Phoenix</v>
      </c>
      <c r="J563" s="65" t="str">
        <f>IFERROR(INDEX('Docketed Comments'!I:I,MATCH(A563,'Docketed Comments'!H:H,0)),"")</f>
        <v>R-BASIC</v>
      </c>
      <c r="K563" s="65" t="str">
        <f t="shared" si="17"/>
        <v>✅ On Best Plan</v>
      </c>
      <c r="L563" s="65" t="str">
        <f>IFERROR(INDEX('Docketed Comments'!F:F,MATCH(A563,'Docketed Comments'!H:H,0)),"")</f>
        <v>Opposed</v>
      </c>
      <c r="M563" s="137" t="str">
        <f>IFERROR(HYPERLINK(INDEX('Docketed Comments'!G:G,MATCH(A563,'Docketed Comments'!H:H,0)),"📄 View Docket"),"")</f>
        <v>📄 View Docket</v>
      </c>
      <c r="N563" s="135" t="str">
        <f>IFERROR(INDEX('Docketed Comments'!N:N,MATCH(A563,'Docketed Comments'!H:H,0)),"")</f>
        <v>No</v>
      </c>
      <c r="O563" s="135" t="str">
        <f>IFERROR(INDEX('Docketed Comments'!L:L,MATCH(A563,'Docketed Comments'!H:H,0)),"")</f>
        <v>Yes</v>
      </c>
      <c r="P563" s="136">
        <f t="shared" si="16"/>
        <v>0</v>
      </c>
      <c r="Q563" s="140"/>
      <c r="R563" s="144">
        <v>1</v>
      </c>
    </row>
    <row r="564" spans="1:18" ht="21.95" customHeight="1">
      <c r="A564" s="71" t="s">
        <v>1951</v>
      </c>
      <c r="B564" s="69"/>
      <c r="C564" s="70"/>
      <c r="D564" s="69"/>
      <c r="E564" s="69"/>
      <c r="F564" s="65"/>
      <c r="G564" s="65" t="s">
        <v>5811</v>
      </c>
      <c r="H564" s="65" t="str">
        <f>IFERROR(INDEX('Docketed Comments'!C:C,MATCH(A564,'Docketed Comments'!H:H,0))&amp;", "&amp;INDEX('Docketed Comments'!B:B,MATCH(A564,'Docketed Comments'!H:H,0)),"")</f>
        <v>Travis, Good</v>
      </c>
      <c r="I564" s="65" t="str">
        <f>IFERROR(INDEX('Docketed Comments'!D:D,MATCH(A564,'Docketed Comments'!H:H,0)),"")</f>
        <v>Phoenix</v>
      </c>
      <c r="J564" s="65" t="str">
        <f>IFERROR(INDEX('Docketed Comments'!I:I,MATCH(A564,'Docketed Comments'!H:H,0)),"")</f>
        <v>R3-47</v>
      </c>
      <c r="K564" s="65" t="str">
        <f t="shared" si="17"/>
        <v>✅ On Best Plan</v>
      </c>
      <c r="L564" s="65" t="str">
        <f>IFERROR(INDEX('Docketed Comments'!F:F,MATCH(A564,'Docketed Comments'!H:H,0)),"")</f>
        <v>Form letter</v>
      </c>
      <c r="M564" s="137" t="str">
        <f>IFERROR(HYPERLINK(INDEX('Docketed Comments'!G:G,MATCH(A564,'Docketed Comments'!H:H,0)),"📄 View Docket"),"")</f>
        <v>📄 View Docket</v>
      </c>
      <c r="N564" s="135" t="str">
        <f>IFERROR(INDEX('Docketed Comments'!N:N,MATCH(A564,'Docketed Comments'!H:H,0)),"")</f>
        <v>No</v>
      </c>
      <c r="O564" s="135" t="str">
        <f>IFERROR(INDEX('Docketed Comments'!L:L,MATCH(A564,'Docketed Comments'!H:H,0)),"")</f>
        <v>Yes</v>
      </c>
      <c r="P564" s="136">
        <f t="shared" si="16"/>
        <v>0</v>
      </c>
      <c r="Q564" s="140"/>
      <c r="R564" s="144">
        <v>1</v>
      </c>
    </row>
    <row r="565" spans="1:18" ht="21.95" customHeight="1">
      <c r="A565" s="71" t="s">
        <v>5245</v>
      </c>
      <c r="B565" s="69" t="s">
        <v>111</v>
      </c>
      <c r="C565" s="70">
        <v>45997</v>
      </c>
      <c r="D565" s="69" t="s">
        <v>4865</v>
      </c>
      <c r="E565" s="69"/>
      <c r="F565" s="65" t="s">
        <v>4906</v>
      </c>
      <c r="G565" s="65"/>
      <c r="H565" s="65" t="str">
        <f>IFERROR(INDEX('Docketed Comments'!C:C,MATCH(A565,'Docketed Comments'!H:H,0))&amp;", "&amp;INDEX('Docketed Comments'!B:B,MATCH(A565,'Docketed Comments'!H:H,0)),"")</f>
        <v>Michael, McKeever</v>
      </c>
      <c r="I565" s="65" t="str">
        <f>IFERROR(INDEX('Docketed Comments'!D:D,MATCH(A565,'Docketed Comments'!H:H,0)),"")</f>
        <v>Surprise</v>
      </c>
      <c r="J565" s="65" t="str">
        <f>IFERROR(INDEX('Docketed Comments'!I:I,MATCH(A565,'Docketed Comments'!H:H,0)),"")</f>
        <v>R3-47</v>
      </c>
      <c r="K565" s="65" t="str">
        <f t="shared" si="17"/>
        <v>✅ On Best Plan</v>
      </c>
      <c r="L565" s="65" t="str">
        <f>IFERROR(INDEX('Docketed Comments'!F:F,MATCH(A565,'Docketed Comments'!H:H,0)),"")</f>
        <v>This is insanity</v>
      </c>
      <c r="M565" s="137" t="str">
        <f>IFERROR(HYPERLINK(INDEX('Docketed Comments'!G:G,MATCH(A565,'Docketed Comments'!H:H,0)),"📄 View Docket"),"")</f>
        <v>📄 View Docket</v>
      </c>
      <c r="N565" s="135" t="str">
        <f>IFERROR(INDEX('Docketed Comments'!N:N,MATCH(A565,'Docketed Comments'!H:H,0)),"")</f>
        <v>No</v>
      </c>
      <c r="O565" s="135" t="str">
        <f>IFERROR(INDEX('Docketed Comments'!L:L,MATCH(A565,'Docketed Comments'!H:H,0)),"")</f>
        <v>Yes</v>
      </c>
      <c r="P565" s="136">
        <f t="shared" si="16"/>
        <v>0</v>
      </c>
      <c r="Q565" s="140" t="s">
        <v>5809</v>
      </c>
      <c r="R565" s="144">
        <v>0</v>
      </c>
    </row>
    <row r="566" spans="1:18" ht="21.95" customHeight="1">
      <c r="A566" s="71" t="s">
        <v>5246</v>
      </c>
      <c r="B566" s="69"/>
      <c r="C566" s="70"/>
      <c r="D566" s="69"/>
      <c r="E566" s="69"/>
      <c r="F566" s="65"/>
      <c r="G566" s="65" t="s">
        <v>5811</v>
      </c>
      <c r="H566" s="65" t="str">
        <f>IFERROR(INDEX('Docketed Comments'!C:C,MATCH(A566,'Docketed Comments'!H:H,0))&amp;", "&amp;INDEX('Docketed Comments'!B:B,MATCH(A566,'Docketed Comments'!H:H,0)),"")</f>
        <v>Macario, Vega</v>
      </c>
      <c r="I566" s="65" t="str">
        <f>IFERROR(INDEX('Docketed Comments'!D:D,MATCH(A566,'Docketed Comments'!H:H,0)),"")</f>
        <v>Phoenix</v>
      </c>
      <c r="J566" s="65" t="str">
        <f>IFERROR(INDEX('Docketed Comments'!I:I,MATCH(A566,'Docketed Comments'!H:H,0)),"")</f>
        <v>EPR-6w/ET-2</v>
      </c>
      <c r="K566" s="65" t="str">
        <f t="shared" si="17"/>
        <v>⚠ Frozen Rate</v>
      </c>
      <c r="L566" s="65" t="str">
        <f>IFERROR(INDEX('Docketed Comments'!F:F,MATCH(A566,'Docketed Comments'!H:H,0)),"")</f>
        <v>Form letter</v>
      </c>
      <c r="M566" s="137" t="str">
        <f>IFERROR(HYPERLINK(INDEX('Docketed Comments'!G:G,MATCH(A566,'Docketed Comments'!H:H,0)),"📄 View Docket"),"")</f>
        <v>📄 View Docket</v>
      </c>
      <c r="N566" s="135" t="str">
        <f>IFERROR(INDEX('Docketed Comments'!N:N,MATCH(A566,'Docketed Comments'!H:H,0)),"")</f>
        <v>No</v>
      </c>
      <c r="O566" s="135" t="str">
        <f>IFERROR(INDEX('Docketed Comments'!L:L,MATCH(A566,'Docketed Comments'!H:H,0)),"")</f>
        <v>Frozen Rate</v>
      </c>
      <c r="P566" s="136">
        <f t="shared" si="16"/>
        <v>0</v>
      </c>
      <c r="Q566" s="140"/>
      <c r="R566" s="144">
        <v>1</v>
      </c>
    </row>
    <row r="567" spans="1:18" ht="21.95" customHeight="1">
      <c r="A567" s="71" t="s">
        <v>1960</v>
      </c>
      <c r="B567" s="69"/>
      <c r="C567" s="70"/>
      <c r="D567" s="69"/>
      <c r="E567" s="69"/>
      <c r="F567" s="65"/>
      <c r="G567" s="65" t="s">
        <v>5811</v>
      </c>
      <c r="H567" s="65" t="str">
        <f>IFERROR(INDEX('Docketed Comments'!C:C,MATCH(A567,'Docketed Comments'!H:H,0))&amp;", "&amp;INDEX('Docketed Comments'!B:B,MATCH(A567,'Docketed Comments'!H:H,0)),"")</f>
        <v>Jonathan, Talamantez</v>
      </c>
      <c r="I567" s="65" t="str">
        <f>IFERROR(INDEX('Docketed Comments'!D:D,MATCH(A567,'Docketed Comments'!H:H,0)),"")</f>
        <v>Phoenix</v>
      </c>
      <c r="J567" s="65" t="str">
        <f>IFERROR(INDEX('Docketed Comments'!I:I,MATCH(A567,'Docketed Comments'!H:H,0)),"")</f>
        <v>R3-47</v>
      </c>
      <c r="K567" s="65" t="str">
        <f t="shared" si="17"/>
        <v>✅ On Best Plan</v>
      </c>
      <c r="L567" s="65" t="str">
        <f>IFERROR(INDEX('Docketed Comments'!F:F,MATCH(A567,'Docketed Comments'!H:H,0)),"")</f>
        <v>Form letter</v>
      </c>
      <c r="M567" s="137" t="str">
        <f>IFERROR(HYPERLINK(INDEX('Docketed Comments'!G:G,MATCH(A567,'Docketed Comments'!H:H,0)),"📄 View Docket"),"")</f>
        <v>📄 View Docket</v>
      </c>
      <c r="N567" s="135" t="str">
        <f>IFERROR(INDEX('Docketed Comments'!N:N,MATCH(A567,'Docketed Comments'!H:H,0)),"")</f>
        <v>No</v>
      </c>
      <c r="O567" s="135" t="str">
        <f>IFERROR(INDEX('Docketed Comments'!L:L,MATCH(A567,'Docketed Comments'!H:H,0)),"")</f>
        <v>Yes</v>
      </c>
      <c r="P567" s="136">
        <f t="shared" si="16"/>
        <v>0</v>
      </c>
      <c r="Q567" s="140"/>
      <c r="R567" s="144">
        <v>1</v>
      </c>
    </row>
    <row r="568" spans="1:18" ht="21.95" customHeight="1">
      <c r="A568" s="71" t="s">
        <v>5247</v>
      </c>
      <c r="B568" s="69"/>
      <c r="C568" s="70"/>
      <c r="D568" s="69"/>
      <c r="E568" s="69"/>
      <c r="F568" s="65"/>
      <c r="G568" s="65" t="s">
        <v>5811</v>
      </c>
      <c r="H568" s="65" t="str">
        <f>IFERROR(INDEX('Docketed Comments'!C:C,MATCH(A568,'Docketed Comments'!H:H,0))&amp;", "&amp;INDEX('Docketed Comments'!B:B,MATCH(A568,'Docketed Comments'!H:H,0)),"")</f>
        <v>Lorraine, Feehery</v>
      </c>
      <c r="I568" s="65" t="str">
        <f>IFERROR(INDEX('Docketed Comments'!D:D,MATCH(A568,'Docketed Comments'!H:H,0)),"")</f>
        <v>Phoenix</v>
      </c>
      <c r="J568" s="65" t="str">
        <f>IFERROR(INDEX('Docketed Comments'!I:I,MATCH(A568,'Docketed Comments'!H:H,0)),"")</f>
        <v>R-XS</v>
      </c>
      <c r="K568" s="65" t="str">
        <f t="shared" si="17"/>
        <v>✅ On Best Plan</v>
      </c>
      <c r="L568" s="65" t="str">
        <f>IFERROR(INDEX('Docketed Comments'!F:F,MATCH(A568,'Docketed Comments'!H:H,0)),"")</f>
        <v>Unjust and greedy money grab</v>
      </c>
      <c r="M568" s="137" t="str">
        <f>IFERROR(HYPERLINK(INDEX('Docketed Comments'!G:G,MATCH(A568,'Docketed Comments'!H:H,0)),"📄 View Docket"),"")</f>
        <v>📄 View Docket</v>
      </c>
      <c r="N568" s="135" t="str">
        <f>IFERROR(INDEX('Docketed Comments'!N:N,MATCH(A568,'Docketed Comments'!H:H,0)),"")</f>
        <v>No</v>
      </c>
      <c r="O568" s="135" t="str">
        <f>IFERROR(INDEX('Docketed Comments'!L:L,MATCH(A568,'Docketed Comments'!H:H,0)),"")</f>
        <v>Yes</v>
      </c>
      <c r="P568" s="136">
        <f t="shared" si="16"/>
        <v>0</v>
      </c>
      <c r="Q568" s="140"/>
      <c r="R568" s="144">
        <v>1</v>
      </c>
    </row>
    <row r="569" spans="1:18" ht="21.95" customHeight="1">
      <c r="A569" s="71" t="s">
        <v>5248</v>
      </c>
      <c r="B569" s="69"/>
      <c r="C569" s="70"/>
      <c r="D569" s="69"/>
      <c r="E569" s="69"/>
      <c r="F569" s="65"/>
      <c r="G569" s="65" t="s">
        <v>5811</v>
      </c>
      <c r="H569" s="65" t="str">
        <f>IFERROR(INDEX('Docketed Comments'!C:C,MATCH(A569,'Docketed Comments'!H:H,0))&amp;", "&amp;INDEX('Docketed Comments'!B:B,MATCH(A569,'Docketed Comments'!H:H,0)),"")</f>
        <v>Reyna, Penaloza</v>
      </c>
      <c r="I569" s="65" t="str">
        <f>IFERROR(INDEX('Docketed Comments'!D:D,MATCH(A569,'Docketed Comments'!H:H,0)),"")</f>
        <v>Buckeye</v>
      </c>
      <c r="J569" s="65" t="str">
        <f>IFERROR(INDEX('Docketed Comments'!I:I,MATCH(A569,'Docketed Comments'!H:H,0)),"")</f>
        <v>R-2</v>
      </c>
      <c r="K569" s="65" t="str">
        <f t="shared" si="17"/>
        <v>⚠ Frozen Rate</v>
      </c>
      <c r="L569" s="65" t="str">
        <f>IFERROR(INDEX('Docketed Comments'!F:F,MATCH(A569,'Docketed Comments'!H:H,0)),"")</f>
        <v>Form letter</v>
      </c>
      <c r="M569" s="137" t="str">
        <f>IFERROR(HYPERLINK(INDEX('Docketed Comments'!G:G,MATCH(A569,'Docketed Comments'!H:H,0)),"📄 View Docket"),"")</f>
        <v>📄 View Docket</v>
      </c>
      <c r="N569" s="135" t="str">
        <f>IFERROR(INDEX('Docketed Comments'!N:N,MATCH(A569,'Docketed Comments'!H:H,0)),"")</f>
        <v>No</v>
      </c>
      <c r="O569" s="135" t="str">
        <f>IFERROR(INDEX('Docketed Comments'!L:L,MATCH(A569,'Docketed Comments'!H:H,0)),"")</f>
        <v>Frozen Rate</v>
      </c>
      <c r="P569" s="136">
        <f t="shared" si="16"/>
        <v>0</v>
      </c>
      <c r="Q569" s="140"/>
      <c r="R569" s="144">
        <v>1</v>
      </c>
    </row>
    <row r="570" spans="1:18" ht="21.95" customHeight="1">
      <c r="A570" s="71" t="s">
        <v>5249</v>
      </c>
      <c r="B570" s="69"/>
      <c r="C570" s="70"/>
      <c r="D570" s="69"/>
      <c r="E570" s="69"/>
      <c r="F570" s="65"/>
      <c r="G570" s="65" t="s">
        <v>5811</v>
      </c>
      <c r="H570" s="65" t="str">
        <f>IFERROR(INDEX('Docketed Comments'!C:C,MATCH(A570,'Docketed Comments'!H:H,0))&amp;", "&amp;INDEX('Docketed Comments'!B:B,MATCH(A570,'Docketed Comments'!H:H,0)),"")</f>
        <v>Rose, Parrish</v>
      </c>
      <c r="I570" s="65" t="str">
        <f>IFERROR(INDEX('Docketed Comments'!D:D,MATCH(A570,'Docketed Comments'!H:H,0)),"")</f>
        <v>Phoenix</v>
      </c>
      <c r="J570" s="65" t="str">
        <f>IFERROR(INDEX('Docketed Comments'!I:I,MATCH(A570,'Docketed Comments'!H:H,0)),"")</f>
        <v>R3-47</v>
      </c>
      <c r="K570" s="65" t="str">
        <f t="shared" si="17"/>
        <v>✅ On Best Plan</v>
      </c>
      <c r="L570" s="65" t="str">
        <f>IFERROR(INDEX('Docketed Comments'!F:F,MATCH(A570,'Docketed Comments'!H:H,0)),"")</f>
        <v>Opposed</v>
      </c>
      <c r="M570" s="137" t="str">
        <f>IFERROR(HYPERLINK(INDEX('Docketed Comments'!G:G,MATCH(A570,'Docketed Comments'!H:H,0)),"📄 View Docket"),"")</f>
        <v>📄 View Docket</v>
      </c>
      <c r="N570" s="135" t="str">
        <f>IFERROR(INDEX('Docketed Comments'!N:N,MATCH(A570,'Docketed Comments'!H:H,0)),"")</f>
        <v>No</v>
      </c>
      <c r="O570" s="135" t="str">
        <f>IFERROR(INDEX('Docketed Comments'!L:L,MATCH(A570,'Docketed Comments'!H:H,0)),"")</f>
        <v>Yes</v>
      </c>
      <c r="P570" s="136">
        <f t="shared" si="16"/>
        <v>0</v>
      </c>
      <c r="Q570" s="140"/>
      <c r="R570" s="144">
        <v>1</v>
      </c>
    </row>
    <row r="571" spans="1:18" ht="21.95" customHeight="1">
      <c r="A571" s="71" t="s">
        <v>5250</v>
      </c>
      <c r="B571" s="69"/>
      <c r="C571" s="70"/>
      <c r="D571" s="69"/>
      <c r="E571" s="69"/>
      <c r="F571" s="65"/>
      <c r="G571" s="65" t="s">
        <v>5811</v>
      </c>
      <c r="H571" s="65" t="str">
        <f>IFERROR(INDEX('Docketed Comments'!C:C,MATCH(A571,'Docketed Comments'!H:H,0))&amp;", "&amp;INDEX('Docketed Comments'!B:B,MATCH(A571,'Docketed Comments'!H:H,0)),"")</f>
        <v xml:space="preserve">Ronald, Kovacs </v>
      </c>
      <c r="I571" s="65" t="str">
        <f>IFERROR(INDEX('Docketed Comments'!D:D,MATCH(A571,'Docketed Comments'!H:H,0)),"")</f>
        <v>Unknown</v>
      </c>
      <c r="J571" s="65" t="str">
        <f>IFERROR(INDEX('Docketed Comments'!I:I,MATCH(A571,'Docketed Comments'!H:H,0)),"")</f>
        <v>R-BASIC</v>
      </c>
      <c r="K571" s="65" t="str">
        <f t="shared" si="17"/>
        <v>✅ On Best Plan</v>
      </c>
      <c r="L571" s="65" t="str">
        <f>IFERROR(INDEX('Docketed Comments'!F:F,MATCH(A571,'Docketed Comments'!H:H,0)),"")</f>
        <v>Beyond reason, outrageous request</v>
      </c>
      <c r="M571" s="137" t="str">
        <f>IFERROR(HYPERLINK(INDEX('Docketed Comments'!G:G,MATCH(A571,'Docketed Comments'!H:H,0)),"📄 View Docket"),"")</f>
        <v>📄 View Docket</v>
      </c>
      <c r="N571" s="135" t="str">
        <f>IFERROR(INDEX('Docketed Comments'!N:N,MATCH(A571,'Docketed Comments'!H:H,0)),"")</f>
        <v>No</v>
      </c>
      <c r="O571" s="135" t="str">
        <f>IFERROR(INDEX('Docketed Comments'!L:L,MATCH(A571,'Docketed Comments'!H:H,0)),"")</f>
        <v>Yes</v>
      </c>
      <c r="P571" s="136">
        <f t="shared" si="16"/>
        <v>0</v>
      </c>
      <c r="Q571" s="140"/>
      <c r="R571" s="144">
        <v>1</v>
      </c>
    </row>
    <row r="572" spans="1:18" ht="21.95" customHeight="1">
      <c r="A572" s="71" t="s">
        <v>5251</v>
      </c>
      <c r="B572" s="69"/>
      <c r="C572" s="70"/>
      <c r="D572" s="69"/>
      <c r="E572" s="69"/>
      <c r="F572" s="65"/>
      <c r="G572" s="65" t="s">
        <v>5811</v>
      </c>
      <c r="H572" s="65" t="str">
        <f>IFERROR(INDEX('Docketed Comments'!C:C,MATCH(A572,'Docketed Comments'!H:H,0))&amp;", "&amp;INDEX('Docketed Comments'!B:B,MATCH(A572,'Docketed Comments'!H:H,0)),"")</f>
        <v>Nicholas, Borror</v>
      </c>
      <c r="I572" s="65" t="str">
        <f>IFERROR(INDEX('Docketed Comments'!D:D,MATCH(A572,'Docketed Comments'!H:H,0)),"")</f>
        <v>Phoenix</v>
      </c>
      <c r="J572" s="65" t="str">
        <f>IFERROR(INDEX('Docketed Comments'!I:I,MATCH(A572,'Docketed Comments'!H:H,0)),"")</f>
        <v>R3-47</v>
      </c>
      <c r="K572" s="65" t="str">
        <f t="shared" si="17"/>
        <v>✅ On Best Plan</v>
      </c>
      <c r="L572" s="65" t="str">
        <f>IFERROR(INDEX('Docketed Comments'!F:F,MATCH(A572,'Docketed Comments'!H:H,0)),"")</f>
        <v>Keep it affordable</v>
      </c>
      <c r="M572" s="137" t="str">
        <f>IFERROR(HYPERLINK(INDEX('Docketed Comments'!G:G,MATCH(A572,'Docketed Comments'!H:H,0)),"📄 View Docket"),"")</f>
        <v>📄 View Docket</v>
      </c>
      <c r="N572" s="135" t="str">
        <f>IFERROR(INDEX('Docketed Comments'!N:N,MATCH(A572,'Docketed Comments'!H:H,0)),"")</f>
        <v>No</v>
      </c>
      <c r="O572" s="135" t="str">
        <f>IFERROR(INDEX('Docketed Comments'!L:L,MATCH(A572,'Docketed Comments'!H:H,0)),"")</f>
        <v>Yes</v>
      </c>
      <c r="P572" s="136">
        <f t="shared" si="16"/>
        <v>0</v>
      </c>
      <c r="Q572" s="140"/>
      <c r="R572" s="144">
        <v>1</v>
      </c>
    </row>
    <row r="573" spans="1:18" ht="21.95" customHeight="1">
      <c r="A573" s="71" t="s">
        <v>5252</v>
      </c>
      <c r="B573" s="69"/>
      <c r="C573" s="70"/>
      <c r="D573" s="69"/>
      <c r="E573" s="69"/>
      <c r="F573" s="65"/>
      <c r="G573" s="65" t="s">
        <v>5811</v>
      </c>
      <c r="H573" s="65" t="str">
        <f>IFERROR(INDEX('Docketed Comments'!C:C,MATCH(A573,'Docketed Comments'!H:H,0))&amp;", "&amp;INDEX('Docketed Comments'!B:B,MATCH(A573,'Docketed Comments'!H:H,0)),"")</f>
        <v>Ken, Ferguson</v>
      </c>
      <c r="I573" s="65" t="str">
        <f>IFERROR(INDEX('Docketed Comments'!D:D,MATCH(A573,'Docketed Comments'!H:H,0)),"")</f>
        <v>Scottsdale</v>
      </c>
      <c r="J573" s="65" t="str">
        <f>IFERROR(INDEX('Docketed Comments'!I:I,MATCH(A573,'Docketed Comments'!H:H,0)),"")</f>
        <v>R3-47</v>
      </c>
      <c r="K573" s="65" t="str">
        <f t="shared" si="17"/>
        <v>✅ On Best Plan</v>
      </c>
      <c r="L573" s="65" t="str">
        <f>IFERROR(INDEX('Docketed Comments'!F:F,MATCH(A573,'Docketed Comments'!H:H,0)),"")</f>
        <v>Form letter</v>
      </c>
      <c r="M573" s="137" t="str">
        <f>IFERROR(HYPERLINK(INDEX('Docketed Comments'!G:G,MATCH(A573,'Docketed Comments'!H:H,0)),"📄 View Docket"),"")</f>
        <v>📄 View Docket</v>
      </c>
      <c r="N573" s="135" t="str">
        <f>IFERROR(INDEX('Docketed Comments'!N:N,MATCH(A573,'Docketed Comments'!H:H,0)),"")</f>
        <v>No</v>
      </c>
      <c r="O573" s="135" t="str">
        <f>IFERROR(INDEX('Docketed Comments'!L:L,MATCH(A573,'Docketed Comments'!H:H,0)),"")</f>
        <v>Yes</v>
      </c>
      <c r="P573" s="136">
        <f t="shared" si="16"/>
        <v>0</v>
      </c>
      <c r="Q573" s="140"/>
      <c r="R573" s="144">
        <v>1</v>
      </c>
    </row>
    <row r="574" spans="1:18" ht="21.95" customHeight="1">
      <c r="A574" s="71" t="s">
        <v>5253</v>
      </c>
      <c r="B574" s="69"/>
      <c r="C574" s="70"/>
      <c r="D574" s="69"/>
      <c r="E574" s="69"/>
      <c r="F574" s="65"/>
      <c r="G574" s="65" t="s">
        <v>5811</v>
      </c>
      <c r="H574" s="65" t="str">
        <f>IFERROR(INDEX('Docketed Comments'!C:C,MATCH(A574,'Docketed Comments'!H:H,0))&amp;", "&amp;INDEX('Docketed Comments'!B:B,MATCH(A574,'Docketed Comments'!H:H,0)),"")</f>
        <v>Ian, Cobb</v>
      </c>
      <c r="I574" s="65" t="str">
        <f>IFERROR(INDEX('Docketed Comments'!D:D,MATCH(A574,'Docketed Comments'!H:H,0)),"")</f>
        <v>Phoenix</v>
      </c>
      <c r="J574" s="65" t="str">
        <f>IFERROR(INDEX('Docketed Comments'!I:I,MATCH(A574,'Docketed Comments'!H:H,0)),"")</f>
        <v>R-BASIC</v>
      </c>
      <c r="K574" s="65" t="str">
        <f t="shared" si="17"/>
        <v>✅ On Best Plan</v>
      </c>
      <c r="L574" s="65" t="str">
        <f>IFERROR(INDEX('Docketed Comments'!F:F,MATCH(A574,'Docketed Comments'!H:H,0)),"")</f>
        <v>People are already hurting</v>
      </c>
      <c r="M574" s="137" t="str">
        <f>IFERROR(HYPERLINK(INDEX('Docketed Comments'!G:G,MATCH(A574,'Docketed Comments'!H:H,0)),"📄 View Docket"),"")</f>
        <v>📄 View Docket</v>
      </c>
      <c r="N574" s="135" t="str">
        <f>IFERROR(INDEX('Docketed Comments'!N:N,MATCH(A574,'Docketed Comments'!H:H,0)),"")</f>
        <v>No</v>
      </c>
      <c r="O574" s="135" t="str">
        <f>IFERROR(INDEX('Docketed Comments'!L:L,MATCH(A574,'Docketed Comments'!H:H,0)),"")</f>
        <v>Yes</v>
      </c>
      <c r="P574" s="136">
        <f t="shared" si="16"/>
        <v>0</v>
      </c>
      <c r="Q574" s="140"/>
      <c r="R574" s="144">
        <v>1</v>
      </c>
    </row>
    <row r="575" spans="1:18" ht="21.95" customHeight="1">
      <c r="A575" s="71" t="s">
        <v>5254</v>
      </c>
      <c r="B575" s="69"/>
      <c r="C575" s="70"/>
      <c r="D575" s="69"/>
      <c r="E575" s="69"/>
      <c r="F575" s="65"/>
      <c r="G575" s="65" t="s">
        <v>5811</v>
      </c>
      <c r="H575" s="65" t="str">
        <f>IFERROR(INDEX('Docketed Comments'!C:C,MATCH(A575,'Docketed Comments'!H:H,0))&amp;", "&amp;INDEX('Docketed Comments'!B:B,MATCH(A575,'Docketed Comments'!H:H,0)),"")</f>
        <v>Lisa, Pray</v>
      </c>
      <c r="I575" s="65" t="str">
        <f>IFERROR(INDEX('Docketed Comments'!D:D,MATCH(A575,'Docketed Comments'!H:H,0)),"")</f>
        <v>Phoenix</v>
      </c>
      <c r="J575" s="65" t="str">
        <f>IFERROR(INDEX('Docketed Comments'!I:I,MATCH(A575,'Docketed Comments'!H:H,0)),"")</f>
        <v>R-2</v>
      </c>
      <c r="K575" s="65" t="str">
        <f t="shared" si="17"/>
        <v>⚠ Frozen Rate</v>
      </c>
      <c r="L575" s="65" t="str">
        <f>IFERROR(INDEX('Docketed Comments'!F:F,MATCH(A575,'Docketed Comments'!H:H,0)),"")</f>
        <v>Object to charging residential customer for the power needs of AI &amp; IT</v>
      </c>
      <c r="M575" s="137" t="str">
        <f>IFERROR(HYPERLINK(INDEX('Docketed Comments'!G:G,MATCH(A575,'Docketed Comments'!H:H,0)),"📄 View Docket"),"")</f>
        <v>📄 View Docket</v>
      </c>
      <c r="N575" s="135" t="str">
        <f>IFERROR(INDEX('Docketed Comments'!N:N,MATCH(A575,'Docketed Comments'!H:H,0)),"")</f>
        <v>No</v>
      </c>
      <c r="O575" s="135" t="str">
        <f>IFERROR(INDEX('Docketed Comments'!L:L,MATCH(A575,'Docketed Comments'!H:H,0)),"")</f>
        <v>Frozen Rate</v>
      </c>
      <c r="P575" s="136">
        <f t="shared" si="16"/>
        <v>0</v>
      </c>
      <c r="Q575" s="140"/>
      <c r="R575" s="144">
        <v>1</v>
      </c>
    </row>
    <row r="576" spans="1:18" ht="21.95" customHeight="1">
      <c r="A576" s="71" t="s">
        <v>5255</v>
      </c>
      <c r="B576" s="69"/>
      <c r="C576" s="70"/>
      <c r="D576" s="69"/>
      <c r="E576" s="69"/>
      <c r="F576" s="65"/>
      <c r="G576" s="65" t="s">
        <v>5811</v>
      </c>
      <c r="H576" s="65" t="str">
        <f>IFERROR(INDEX('Docketed Comments'!C:C,MATCH(A576,'Docketed Comments'!H:H,0))&amp;", "&amp;INDEX('Docketed Comments'!B:B,MATCH(A576,'Docketed Comments'!H:H,0)),"")</f>
        <v xml:space="preserve">Dennis, Scheid </v>
      </c>
      <c r="I576" s="65" t="str">
        <f>IFERROR(INDEX('Docketed Comments'!D:D,MATCH(A576,'Docketed Comments'!H:H,0)),"")</f>
        <v>Payson</v>
      </c>
      <c r="J576" s="65" t="str">
        <f>IFERROR(INDEX('Docketed Comments'!I:I,MATCH(A576,'Docketed Comments'!H:H,0)),"")</f>
        <v>R3-47</v>
      </c>
      <c r="K576" s="65" t="str">
        <f t="shared" si="17"/>
        <v>✅ On Best Plan</v>
      </c>
      <c r="L576" s="65" t="str">
        <f>IFERROR(INDEX('Docketed Comments'!F:F,MATCH(A576,'Docketed Comments'!H:H,0)),"")</f>
        <v>Opposed, need oversight on their contractors</v>
      </c>
      <c r="M576" s="137" t="str">
        <f>IFERROR(HYPERLINK(INDEX('Docketed Comments'!G:G,MATCH(A576,'Docketed Comments'!H:H,0)),"📄 View Docket"),"")</f>
        <v>📄 View Docket</v>
      </c>
      <c r="N576" s="135" t="str">
        <f>IFERROR(INDEX('Docketed Comments'!N:N,MATCH(A576,'Docketed Comments'!H:H,0)),"")</f>
        <v>No</v>
      </c>
      <c r="O576" s="135" t="str">
        <f>IFERROR(INDEX('Docketed Comments'!L:L,MATCH(A576,'Docketed Comments'!H:H,0)),"")</f>
        <v>Yes</v>
      </c>
      <c r="P576" s="136">
        <f t="shared" si="16"/>
        <v>0</v>
      </c>
      <c r="Q576" s="140"/>
      <c r="R576" s="144">
        <v>1</v>
      </c>
    </row>
    <row r="577" spans="1:18" ht="21.95" customHeight="1">
      <c r="A577" s="71" t="s">
        <v>5256</v>
      </c>
      <c r="B577" s="69"/>
      <c r="C577" s="70"/>
      <c r="D577" s="69"/>
      <c r="E577" s="69"/>
      <c r="F577" s="65"/>
      <c r="G577" s="65" t="s">
        <v>5811</v>
      </c>
      <c r="H577" s="65" t="str">
        <f>IFERROR(INDEX('Docketed Comments'!C:C,MATCH(A577,'Docketed Comments'!H:H,0))&amp;", "&amp;INDEX('Docketed Comments'!B:B,MATCH(A577,'Docketed Comments'!H:H,0)),"")</f>
        <v>Gary, Burt</v>
      </c>
      <c r="I577" s="65" t="str">
        <f>IFERROR(INDEX('Docketed Comments'!D:D,MATCH(A577,'Docketed Comments'!H:H,0)),"")</f>
        <v xml:space="preserve">Sun City </v>
      </c>
      <c r="J577" s="65" t="str">
        <f>IFERROR(INDEX('Docketed Comments'!I:I,MATCH(A577,'Docketed Comments'!H:H,0)),"")</f>
        <v>RCPw/RTOUE47</v>
      </c>
      <c r="K577" s="65" t="str">
        <f t="shared" si="17"/>
        <v>✅ On Best Plan</v>
      </c>
      <c r="L577" s="65" t="str">
        <f>IFERROR(INDEX('Docketed Comments'!F:F,MATCH(A577,'Docketed Comments'!H:H,0)),"")</f>
        <v>On the backs of struggling seniors statewide</v>
      </c>
      <c r="M577" s="137" t="str">
        <f>IFERROR(HYPERLINK(INDEX('Docketed Comments'!G:G,MATCH(A577,'Docketed Comments'!H:H,0)),"📄 View Docket"),"")</f>
        <v>📄 View Docket</v>
      </c>
      <c r="N577" s="135" t="str">
        <f>IFERROR(INDEX('Docketed Comments'!N:N,MATCH(A577,'Docketed Comments'!H:H,0)),"")</f>
        <v>No</v>
      </c>
      <c r="O577" s="135" t="str">
        <f>IFERROR(INDEX('Docketed Comments'!L:L,MATCH(A577,'Docketed Comments'!H:H,0)),"")</f>
        <v>Yes</v>
      </c>
      <c r="P577" s="136">
        <f t="shared" si="16"/>
        <v>0</v>
      </c>
      <c r="Q577" s="140"/>
      <c r="R577" s="144">
        <v>1</v>
      </c>
    </row>
    <row r="578" spans="1:18" ht="21.95" customHeight="1">
      <c r="A578" s="71" t="s">
        <v>5257</v>
      </c>
      <c r="B578" s="69"/>
      <c r="C578" s="70"/>
      <c r="D578" s="69"/>
      <c r="E578" s="69"/>
      <c r="F578" s="65"/>
      <c r="G578" s="65" t="s">
        <v>5811</v>
      </c>
      <c r="H578" s="65" t="str">
        <f>IFERROR(INDEX('Docketed Comments'!C:C,MATCH(A578,'Docketed Comments'!H:H,0))&amp;", "&amp;INDEX('Docketed Comments'!B:B,MATCH(A578,'Docketed Comments'!H:H,0)),"")</f>
        <v>Ramiz, Toma</v>
      </c>
      <c r="I578" s="65" t="str">
        <f>IFERROR(INDEX('Docketed Comments'!D:D,MATCH(A578,'Docketed Comments'!H:H,0)),"")</f>
        <v>Phoenix</v>
      </c>
      <c r="J578" s="65" t="str">
        <f>IFERROR(INDEX('Docketed Comments'!I:I,MATCH(A578,'Docketed Comments'!H:H,0)),"")</f>
        <v>R-BASIC</v>
      </c>
      <c r="K578" s="65" t="str">
        <f t="shared" si="17"/>
        <v>✅ On Best Plan</v>
      </c>
      <c r="L578" s="65" t="str">
        <f>IFERROR(INDEX('Docketed Comments'!F:F,MATCH(A578,'Docketed Comments'!H:H,0)),"")</f>
        <v>opposed</v>
      </c>
      <c r="M578" s="137" t="str">
        <f>IFERROR(HYPERLINK(INDEX('Docketed Comments'!G:G,MATCH(A578,'Docketed Comments'!H:H,0)),"📄 View Docket"),"")</f>
        <v>📄 View Docket</v>
      </c>
      <c r="N578" s="135" t="str">
        <f>IFERROR(INDEX('Docketed Comments'!N:N,MATCH(A578,'Docketed Comments'!H:H,0)),"")</f>
        <v>No</v>
      </c>
      <c r="O578" s="135" t="str">
        <f>IFERROR(INDEX('Docketed Comments'!L:L,MATCH(A578,'Docketed Comments'!H:H,0)),"")</f>
        <v>Yes</v>
      </c>
      <c r="P578" s="136">
        <f t="shared" ref="P578:P641" si="18">IFERROR(IF(ISNUMBER(SEARCH("$",O578)),VALUE(SUBSTITUTE(SUBSTITUTE(MID(O578,FIND("$",O578)+1,FIND(")",O578)-FIND("$",O578)-1),",","")," ","")),VALUE(SUBSTITUTE(SUBSTITUTE(MID(O578,FIND("(",O578)+1,FIND(")",O578)-FIND("(",O578)-1),",","")," ",""))),0)</f>
        <v>0</v>
      </c>
      <c r="Q578" s="140"/>
      <c r="R578" s="144">
        <v>1</v>
      </c>
    </row>
    <row r="579" spans="1:18" ht="21.95" customHeight="1">
      <c r="A579" s="71" t="s">
        <v>5258</v>
      </c>
      <c r="B579" s="69"/>
      <c r="C579" s="70"/>
      <c r="D579" s="69"/>
      <c r="E579" s="69"/>
      <c r="F579" s="65"/>
      <c r="G579" s="65" t="s">
        <v>5811</v>
      </c>
      <c r="H579" s="65" t="str">
        <f>IFERROR(INDEX('Docketed Comments'!C:C,MATCH(A579,'Docketed Comments'!H:H,0))&amp;", "&amp;INDEX('Docketed Comments'!B:B,MATCH(A579,'Docketed Comments'!H:H,0)),"")</f>
        <v>Alexander, Misner</v>
      </c>
      <c r="I579" s="65" t="str">
        <f>IFERROR(INDEX('Docketed Comments'!D:D,MATCH(A579,'Docketed Comments'!H:H,0)),"")</f>
        <v>Phoenix</v>
      </c>
      <c r="J579" s="65" t="str">
        <f>IFERROR(INDEX('Docketed Comments'!I:I,MATCH(A579,'Docketed Comments'!H:H,0)),"")</f>
        <v>R-XS</v>
      </c>
      <c r="K579" s="65" t="str">
        <f t="shared" ref="K579:K642" si="19">IFERROR(IF(OR(LEFT(O579,2)="No",LEFT(O579,3)="Not"),"❌ Not on Best Plan",IF(OR(O579="Yes",O579="Y",O579="Yes "),"✅ On Best Plan","⚠ "&amp;O579)),"")</f>
        <v>✅ On Best Plan</v>
      </c>
      <c r="L579" s="65" t="str">
        <f>IFERROR(INDEX('Docketed Comments'!F:F,MATCH(A579,'Docketed Comments'!H:H,0)),"")</f>
        <v>Form letter</v>
      </c>
      <c r="M579" s="137" t="str">
        <f>IFERROR(HYPERLINK(INDEX('Docketed Comments'!G:G,MATCH(A579,'Docketed Comments'!H:H,0)),"📄 View Docket"),"")</f>
        <v>📄 View Docket</v>
      </c>
      <c r="N579" s="135" t="str">
        <f>IFERROR(INDEX('Docketed Comments'!N:N,MATCH(A579,'Docketed Comments'!H:H,0)),"")</f>
        <v>No</v>
      </c>
      <c r="O579" s="135" t="str">
        <f>IFERROR(INDEX('Docketed Comments'!L:L,MATCH(A579,'Docketed Comments'!H:H,0)),"")</f>
        <v>Yes</v>
      </c>
      <c r="P579" s="136">
        <f t="shared" si="18"/>
        <v>0</v>
      </c>
      <c r="Q579" s="140"/>
      <c r="R579" s="144">
        <v>1</v>
      </c>
    </row>
    <row r="580" spans="1:18" ht="21.95" customHeight="1">
      <c r="A580" s="71" t="s">
        <v>5259</v>
      </c>
      <c r="B580" s="69"/>
      <c r="C580" s="70"/>
      <c r="D580" s="69"/>
      <c r="E580" s="69"/>
      <c r="F580" s="65"/>
      <c r="G580" s="65" t="s">
        <v>5811</v>
      </c>
      <c r="H580" s="65" t="str">
        <f>IFERROR(INDEX('Docketed Comments'!C:C,MATCH(A580,'Docketed Comments'!H:H,0))&amp;", "&amp;INDEX('Docketed Comments'!B:B,MATCH(A580,'Docketed Comments'!H:H,0)),"")</f>
        <v>Clark, Gilliland</v>
      </c>
      <c r="I580" s="65" t="str">
        <f>IFERROR(INDEX('Docketed Comments'!D:D,MATCH(A580,'Docketed Comments'!H:H,0)),"")</f>
        <v>Scottsdale</v>
      </c>
      <c r="J580" s="65" t="str">
        <f>IFERROR(INDEX('Docketed Comments'!I:I,MATCH(A580,'Docketed Comments'!H:H,0)),"")</f>
        <v>R3-47</v>
      </c>
      <c r="K580" s="65" t="str">
        <f t="shared" si="19"/>
        <v>✅ On Best Plan</v>
      </c>
      <c r="L580" s="65" t="str">
        <f>IFERROR(INDEX('Docketed Comments'!F:F,MATCH(A580,'Docketed Comments'!H:H,0)),"")</f>
        <v>They are in a class action suit, we do not want to foot this bill</v>
      </c>
      <c r="M580" s="137" t="str">
        <f>IFERROR(HYPERLINK(INDEX('Docketed Comments'!G:G,MATCH(A580,'Docketed Comments'!H:H,0)),"📄 View Docket"),"")</f>
        <v>📄 View Docket</v>
      </c>
      <c r="N580" s="135" t="str">
        <f>IFERROR(INDEX('Docketed Comments'!N:N,MATCH(A580,'Docketed Comments'!H:H,0)),"")</f>
        <v>No</v>
      </c>
      <c r="O580" s="135" t="str">
        <f>IFERROR(INDEX('Docketed Comments'!L:L,MATCH(A580,'Docketed Comments'!H:H,0)),"")</f>
        <v>Yes</v>
      </c>
      <c r="P580" s="136">
        <f t="shared" si="18"/>
        <v>0</v>
      </c>
      <c r="Q580" s="140"/>
      <c r="R580" s="144">
        <v>1</v>
      </c>
    </row>
    <row r="581" spans="1:18" ht="21.95" customHeight="1">
      <c r="A581" s="71" t="s">
        <v>5260</v>
      </c>
      <c r="B581" s="69"/>
      <c r="C581" s="70"/>
      <c r="D581" s="69"/>
      <c r="E581" s="69"/>
      <c r="F581" s="65"/>
      <c r="G581" s="65" t="s">
        <v>5811</v>
      </c>
      <c r="H581" s="65" t="str">
        <f>IFERROR(INDEX('Docketed Comments'!C:C,MATCH(A581,'Docketed Comments'!H:H,0))&amp;", "&amp;INDEX('Docketed Comments'!B:B,MATCH(A581,'Docketed Comments'!H:H,0)),"")</f>
        <v>Chris, Franovich</v>
      </c>
      <c r="I581" s="65" t="str">
        <f>IFERROR(INDEX('Docketed Comments'!D:D,MATCH(A581,'Docketed Comments'!H:H,0)),"")</f>
        <v>Glendale</v>
      </c>
      <c r="J581" s="65" t="str">
        <f>IFERROR(INDEX('Docketed Comments'!I:I,MATCH(A581,'Docketed Comments'!H:H,0)),"")</f>
        <v>R-BASIC</v>
      </c>
      <c r="K581" s="65" t="str">
        <f t="shared" si="19"/>
        <v>✅ On Best Plan</v>
      </c>
      <c r="L581" s="65" t="str">
        <f>IFERROR(INDEX('Docketed Comments'!F:F,MATCH(A581,'Docketed Comments'!H:H,0)),"")</f>
        <v xml:space="preserve">Ridiculous </v>
      </c>
      <c r="M581" s="137" t="str">
        <f>IFERROR(HYPERLINK(INDEX('Docketed Comments'!G:G,MATCH(A581,'Docketed Comments'!H:H,0)),"📄 View Docket"),"")</f>
        <v>📄 View Docket</v>
      </c>
      <c r="N581" s="135" t="str">
        <f>IFERROR(INDEX('Docketed Comments'!N:N,MATCH(A581,'Docketed Comments'!H:H,0)),"")</f>
        <v>No</v>
      </c>
      <c r="O581" s="135" t="str">
        <f>IFERROR(INDEX('Docketed Comments'!L:L,MATCH(A581,'Docketed Comments'!H:H,0)),"")</f>
        <v>Yes</v>
      </c>
      <c r="P581" s="136">
        <f t="shared" si="18"/>
        <v>0</v>
      </c>
      <c r="Q581" s="140"/>
      <c r="R581" s="144">
        <v>1</v>
      </c>
    </row>
    <row r="582" spans="1:18" ht="21.95" customHeight="1">
      <c r="A582" s="71" t="s">
        <v>5261</v>
      </c>
      <c r="B582" s="69"/>
      <c r="C582" s="70"/>
      <c r="D582" s="69"/>
      <c r="E582" s="69"/>
      <c r="F582" s="65"/>
      <c r="G582" s="65" t="s">
        <v>5811</v>
      </c>
      <c r="H582" s="65" t="str">
        <f>IFERROR(INDEX('Docketed Comments'!C:C,MATCH(A582,'Docketed Comments'!H:H,0))&amp;", "&amp;INDEX('Docketed Comments'!B:B,MATCH(A582,'Docketed Comments'!H:H,0)),"")</f>
        <v>Melissa, Rosenberger</v>
      </c>
      <c r="I582" s="65" t="str">
        <f>IFERROR(INDEX('Docketed Comments'!D:D,MATCH(A582,'Docketed Comments'!H:H,0)),"")</f>
        <v>Glendale</v>
      </c>
      <c r="J582" s="65" t="str">
        <f>IFERROR(INDEX('Docketed Comments'!I:I,MATCH(A582,'Docketed Comments'!H:H,0)),"")</f>
        <v>R3-47</v>
      </c>
      <c r="K582" s="65" t="str">
        <f t="shared" si="19"/>
        <v>✅ On Best Plan</v>
      </c>
      <c r="L582" s="65" t="str">
        <f>IFERROR(INDEX('Docketed Comments'!F:F,MATCH(A582,'Docketed Comments'!H:H,0)),"")</f>
        <v>Absolutely insane</v>
      </c>
      <c r="M582" s="137" t="str">
        <f>IFERROR(HYPERLINK(INDEX('Docketed Comments'!G:G,MATCH(A582,'Docketed Comments'!H:H,0)),"📄 View Docket"),"")</f>
        <v>📄 View Docket</v>
      </c>
      <c r="N582" s="135" t="str">
        <f>IFERROR(INDEX('Docketed Comments'!N:N,MATCH(A582,'Docketed Comments'!H:H,0)),"")</f>
        <v>No</v>
      </c>
      <c r="O582" s="135" t="str">
        <f>IFERROR(INDEX('Docketed Comments'!L:L,MATCH(A582,'Docketed Comments'!H:H,0)),"")</f>
        <v>Yes</v>
      </c>
      <c r="P582" s="136">
        <f t="shared" si="18"/>
        <v>0</v>
      </c>
      <c r="Q582" s="140"/>
      <c r="R582" s="144">
        <v>1</v>
      </c>
    </row>
    <row r="583" spans="1:18" ht="21.95" customHeight="1">
      <c r="A583" s="71" t="s">
        <v>5262</v>
      </c>
      <c r="B583" s="69"/>
      <c r="C583" s="70"/>
      <c r="D583" s="69"/>
      <c r="E583" s="69"/>
      <c r="F583" s="65"/>
      <c r="G583" s="65" t="s">
        <v>5811</v>
      </c>
      <c r="H583" s="65" t="str">
        <f>IFERROR(INDEX('Docketed Comments'!C:C,MATCH(A583,'Docketed Comments'!H:H,0))&amp;", "&amp;INDEX('Docketed Comments'!B:B,MATCH(A583,'Docketed Comments'!H:H,0)),"")</f>
        <v>Richard, Mora</v>
      </c>
      <c r="I583" s="65" t="str">
        <f>IFERROR(INDEX('Docketed Comments'!D:D,MATCH(A583,'Docketed Comments'!H:H,0)),"")</f>
        <v>Gilbert</v>
      </c>
      <c r="J583" s="65" t="str">
        <f>IFERROR(INDEX('Docketed Comments'!I:I,MATCH(A583,'Docketed Comments'!H:H,0)),"")</f>
        <v>EPR-6w/E-12</v>
      </c>
      <c r="K583" s="65" t="str">
        <f t="shared" si="19"/>
        <v>⚠ Frozen Rate</v>
      </c>
      <c r="L583" s="65" t="str">
        <f>IFERROR(INDEX('Docketed Comments'!F:F,MATCH(A583,'Docketed Comments'!H:H,0)),"")</f>
        <v>Form letter</v>
      </c>
      <c r="M583" s="137" t="str">
        <f>IFERROR(HYPERLINK(INDEX('Docketed Comments'!G:G,MATCH(A583,'Docketed Comments'!H:H,0)),"📄 View Docket"),"")</f>
        <v>📄 View Docket</v>
      </c>
      <c r="N583" s="135" t="str">
        <f>IFERROR(INDEX('Docketed Comments'!N:N,MATCH(A583,'Docketed Comments'!H:H,0)),"")</f>
        <v>No</v>
      </c>
      <c r="O583" s="135" t="str">
        <f>IFERROR(INDEX('Docketed Comments'!L:L,MATCH(A583,'Docketed Comments'!H:H,0)),"")</f>
        <v>Frozen Rate</v>
      </c>
      <c r="P583" s="136">
        <f t="shared" si="18"/>
        <v>0</v>
      </c>
      <c r="Q583" s="140"/>
      <c r="R583" s="144">
        <v>1</v>
      </c>
    </row>
    <row r="584" spans="1:18" ht="21.95" customHeight="1">
      <c r="A584" s="71" t="s">
        <v>5263</v>
      </c>
      <c r="B584" s="69"/>
      <c r="C584" s="70"/>
      <c r="D584" s="69"/>
      <c r="E584" s="69"/>
      <c r="F584" s="65"/>
      <c r="G584" s="65" t="s">
        <v>5811</v>
      </c>
      <c r="H584" s="65" t="str">
        <f>IFERROR(INDEX('Docketed Comments'!C:C,MATCH(A584,'Docketed Comments'!H:H,0))&amp;", "&amp;INDEX('Docketed Comments'!B:B,MATCH(A584,'Docketed Comments'!H:H,0)),"")</f>
        <v>Armand, Altiveros</v>
      </c>
      <c r="I584" s="65" t="str">
        <f>IFERROR(INDEX('Docketed Comments'!D:D,MATCH(A584,'Docketed Comments'!H:H,0)),"")</f>
        <v>Phoenix</v>
      </c>
      <c r="J584" s="65" t="str">
        <f>IFERROR(INDEX('Docketed Comments'!I:I,MATCH(A584,'Docketed Comments'!H:H,0)),"")</f>
        <v>R-XS</v>
      </c>
      <c r="K584" s="65" t="str">
        <f t="shared" si="19"/>
        <v>✅ On Best Plan</v>
      </c>
      <c r="L584" s="65" t="str">
        <f>IFERROR(INDEX('Docketed Comments'!F:F,MATCH(A584,'Docketed Comments'!H:H,0)),"")</f>
        <v>Form letter</v>
      </c>
      <c r="M584" s="137" t="str">
        <f>IFERROR(HYPERLINK(INDEX('Docketed Comments'!G:G,MATCH(A584,'Docketed Comments'!H:H,0)),"📄 View Docket"),"")</f>
        <v>📄 View Docket</v>
      </c>
      <c r="N584" s="135" t="str">
        <f>IFERROR(INDEX('Docketed Comments'!N:N,MATCH(A584,'Docketed Comments'!H:H,0)),"")</f>
        <v>No</v>
      </c>
      <c r="O584" s="135" t="str">
        <f>IFERROR(INDEX('Docketed Comments'!L:L,MATCH(A584,'Docketed Comments'!H:H,0)),"")</f>
        <v>Yes</v>
      </c>
      <c r="P584" s="136">
        <f t="shared" si="18"/>
        <v>0</v>
      </c>
      <c r="Q584" s="140"/>
      <c r="R584" s="144">
        <v>1</v>
      </c>
    </row>
    <row r="585" spans="1:18" ht="21.95" customHeight="1">
      <c r="A585" s="71" t="s">
        <v>5264</v>
      </c>
      <c r="B585" s="69"/>
      <c r="C585" s="70"/>
      <c r="D585" s="69"/>
      <c r="E585" s="69"/>
      <c r="F585" s="65"/>
      <c r="G585" s="65" t="s">
        <v>5811</v>
      </c>
      <c r="H585" s="65" t="str">
        <f>IFERROR(INDEX('Docketed Comments'!C:C,MATCH(A585,'Docketed Comments'!H:H,0))&amp;", "&amp;INDEX('Docketed Comments'!B:B,MATCH(A585,'Docketed Comments'!H:H,0)),"")</f>
        <v>Kim, Roman</v>
      </c>
      <c r="I585" s="65" t="str">
        <f>IFERROR(INDEX('Docketed Comments'!D:D,MATCH(A585,'Docketed Comments'!H:H,0)),"")</f>
        <v>Florence</v>
      </c>
      <c r="J585" s="65" t="str">
        <f>IFERROR(INDEX('Docketed Comments'!I:I,MATCH(A585,'Docketed Comments'!H:H,0)),"")</f>
        <v>RCPw/RTOUE47</v>
      </c>
      <c r="K585" s="65" t="str">
        <f t="shared" si="19"/>
        <v>✅ On Best Plan</v>
      </c>
      <c r="L585" s="65" t="str">
        <f>IFERROR(INDEX('Docketed Comments'!F:F,MATCH(A585,'Docketed Comments'!H:H,0)),"")</f>
        <v>Retired, cannot afford this</v>
      </c>
      <c r="M585" s="137" t="str">
        <f>IFERROR(HYPERLINK(INDEX('Docketed Comments'!G:G,MATCH(A585,'Docketed Comments'!H:H,0)),"📄 View Docket"),"")</f>
        <v>📄 View Docket</v>
      </c>
      <c r="N585" s="135" t="str">
        <f>IFERROR(INDEX('Docketed Comments'!N:N,MATCH(A585,'Docketed Comments'!H:H,0)),"")</f>
        <v>No</v>
      </c>
      <c r="O585" s="135" t="str">
        <f>IFERROR(INDEX('Docketed Comments'!L:L,MATCH(A585,'Docketed Comments'!H:H,0)),"")</f>
        <v>Yes</v>
      </c>
      <c r="P585" s="136">
        <f t="shared" si="18"/>
        <v>0</v>
      </c>
      <c r="Q585" s="140"/>
      <c r="R585" s="144">
        <v>1</v>
      </c>
    </row>
    <row r="586" spans="1:18" ht="21.95" customHeight="1">
      <c r="A586" s="71" t="s">
        <v>5265</v>
      </c>
      <c r="B586" s="69"/>
      <c r="C586" s="70"/>
      <c r="D586" s="69"/>
      <c r="E586" s="69"/>
      <c r="F586" s="65"/>
      <c r="G586" s="65" t="s">
        <v>5811</v>
      </c>
      <c r="H586" s="65" t="str">
        <f>IFERROR(INDEX('Docketed Comments'!C:C,MATCH(A586,'Docketed Comments'!H:H,0))&amp;", "&amp;INDEX('Docketed Comments'!B:B,MATCH(A586,'Docketed Comments'!H:H,0)),"")</f>
        <v>Michael, Hooker</v>
      </c>
      <c r="I586" s="65" t="str">
        <f>IFERROR(INDEX('Docketed Comments'!D:D,MATCH(A586,'Docketed Comments'!H:H,0)),"")</f>
        <v>Glendale</v>
      </c>
      <c r="J586" s="65" t="str">
        <f>IFERROR(INDEX('Docketed Comments'!I:I,MATCH(A586,'Docketed Comments'!H:H,0)),"")</f>
        <v>R3-47</v>
      </c>
      <c r="K586" s="65" t="str">
        <f t="shared" si="19"/>
        <v>✅ On Best Plan</v>
      </c>
      <c r="L586" s="65" t="str">
        <f>IFERROR(INDEX('Docketed Comments'!F:F,MATCH(A586,'Docketed Comments'!H:H,0)),"")</f>
        <v>Opposed</v>
      </c>
      <c r="M586" s="137" t="str">
        <f>IFERROR(HYPERLINK(INDEX('Docketed Comments'!G:G,MATCH(A586,'Docketed Comments'!H:H,0)),"📄 View Docket"),"")</f>
        <v>📄 View Docket</v>
      </c>
      <c r="N586" s="135" t="str">
        <f>IFERROR(INDEX('Docketed Comments'!N:N,MATCH(A586,'Docketed Comments'!H:H,0)),"")</f>
        <v>No</v>
      </c>
      <c r="O586" s="135" t="str">
        <f>IFERROR(INDEX('Docketed Comments'!L:L,MATCH(A586,'Docketed Comments'!H:H,0)),"")</f>
        <v>Yes</v>
      </c>
      <c r="P586" s="136">
        <f t="shared" si="18"/>
        <v>0</v>
      </c>
      <c r="Q586" s="140"/>
      <c r="R586" s="144">
        <v>1</v>
      </c>
    </row>
    <row r="587" spans="1:18" ht="21.95" customHeight="1">
      <c r="A587" s="71" t="s">
        <v>5266</v>
      </c>
      <c r="B587" s="69"/>
      <c r="C587" s="70"/>
      <c r="D587" s="69"/>
      <c r="E587" s="69"/>
      <c r="F587" s="65"/>
      <c r="G587" s="65" t="s">
        <v>5811</v>
      </c>
      <c r="H587" s="65" t="str">
        <f>IFERROR(INDEX('Docketed Comments'!C:C,MATCH(A587,'Docketed Comments'!H:H,0))&amp;", "&amp;INDEX('Docketed Comments'!B:B,MATCH(A587,'Docketed Comments'!H:H,0)),"")</f>
        <v>Sarah, Bihms</v>
      </c>
      <c r="I587" s="65" t="str">
        <f>IFERROR(INDEX('Docketed Comments'!D:D,MATCH(A587,'Docketed Comments'!H:H,0)),"")</f>
        <v>Surprise</v>
      </c>
      <c r="J587" s="65" t="str">
        <f>IFERROR(INDEX('Docketed Comments'!I:I,MATCH(A587,'Docketed Comments'!H:H,0)),"")</f>
        <v>RCPw/RTOUE47</v>
      </c>
      <c r="K587" s="65" t="str">
        <f t="shared" si="19"/>
        <v>✅ On Best Plan</v>
      </c>
      <c r="L587" s="65" t="str">
        <f>IFERROR(INDEX('Docketed Comments'!F:F,MATCH(A587,'Docketed Comments'!H:H,0)),"")</f>
        <v>Opposed</v>
      </c>
      <c r="M587" s="137" t="str">
        <f>IFERROR(HYPERLINK(INDEX('Docketed Comments'!G:G,MATCH(A587,'Docketed Comments'!H:H,0)),"📄 View Docket"),"")</f>
        <v>📄 View Docket</v>
      </c>
      <c r="N587" s="135" t="str">
        <f>IFERROR(INDEX('Docketed Comments'!N:N,MATCH(A587,'Docketed Comments'!H:H,0)),"")</f>
        <v>No</v>
      </c>
      <c r="O587" s="135" t="str">
        <f>IFERROR(INDEX('Docketed Comments'!L:L,MATCH(A587,'Docketed Comments'!H:H,0)),"")</f>
        <v>Yes</v>
      </c>
      <c r="P587" s="136">
        <f t="shared" si="18"/>
        <v>0</v>
      </c>
      <c r="Q587" s="140"/>
      <c r="R587" s="144">
        <v>1</v>
      </c>
    </row>
    <row r="588" spans="1:18" ht="21.95" customHeight="1">
      <c r="A588" s="71" t="s">
        <v>5267</v>
      </c>
      <c r="B588" s="69" t="s">
        <v>111</v>
      </c>
      <c r="C588" s="70">
        <v>45997</v>
      </c>
      <c r="D588" s="69" t="s">
        <v>4888</v>
      </c>
      <c r="E588" s="69"/>
      <c r="F588" s="65" t="s">
        <v>5707</v>
      </c>
      <c r="G588" s="65"/>
      <c r="H588" s="65" t="str">
        <f>IFERROR(INDEX('Docketed Comments'!C:C,MATCH(A588,'Docketed Comments'!H:H,0))&amp;", "&amp;INDEX('Docketed Comments'!B:B,MATCH(A588,'Docketed Comments'!H:H,0)),"")</f>
        <v>Dean, Hayter</v>
      </c>
      <c r="I588" s="65" t="str">
        <f>IFERROR(INDEX('Docketed Comments'!D:D,MATCH(A588,'Docketed Comments'!H:H,0)),"")</f>
        <v>Phoenix</v>
      </c>
      <c r="J588" s="65" t="str">
        <f>IFERROR(INDEX('Docketed Comments'!I:I,MATCH(A588,'Docketed Comments'!H:H,0)),"")</f>
        <v>R-XS</v>
      </c>
      <c r="K588" s="65" t="str">
        <f t="shared" si="19"/>
        <v>✅ On Best Plan</v>
      </c>
      <c r="L588" s="65" t="str">
        <f>IFERROR(INDEX('Docketed Comments'!F:F,MATCH(A588,'Docketed Comments'!H:H,0)),"")</f>
        <v>Form letter</v>
      </c>
      <c r="M588" s="137" t="str">
        <f>IFERROR(HYPERLINK(INDEX('Docketed Comments'!G:G,MATCH(A588,'Docketed Comments'!H:H,0)),"📄 View Docket"),"")</f>
        <v>📄 View Docket</v>
      </c>
      <c r="N588" s="135" t="str">
        <f>IFERROR(INDEX('Docketed Comments'!N:N,MATCH(A588,'Docketed Comments'!H:H,0)),"")</f>
        <v>No</v>
      </c>
      <c r="O588" s="135" t="str">
        <f>IFERROR(INDEX('Docketed Comments'!L:L,MATCH(A588,'Docketed Comments'!H:H,0)),"")</f>
        <v>Yes</v>
      </c>
      <c r="P588" s="136">
        <f t="shared" si="18"/>
        <v>0</v>
      </c>
      <c r="Q588" s="140" t="s">
        <v>5809</v>
      </c>
      <c r="R588" s="144">
        <v>0</v>
      </c>
    </row>
    <row r="589" spans="1:18" ht="21.95" customHeight="1">
      <c r="A589" s="71" t="s">
        <v>5268</v>
      </c>
      <c r="B589" s="69"/>
      <c r="C589" s="70"/>
      <c r="D589" s="69"/>
      <c r="E589" s="69"/>
      <c r="F589" s="65"/>
      <c r="G589" s="65" t="s">
        <v>5811</v>
      </c>
      <c r="H589" s="65" t="str">
        <f>IFERROR(INDEX('Docketed Comments'!C:C,MATCH(A589,'Docketed Comments'!H:H,0))&amp;", "&amp;INDEX('Docketed Comments'!B:B,MATCH(A589,'Docketed Comments'!H:H,0)),"")</f>
        <v>Jacob, Rhodes</v>
      </c>
      <c r="I589" s="65" t="str">
        <f>IFERROR(INDEX('Docketed Comments'!D:D,MATCH(A589,'Docketed Comments'!H:H,0)),"")</f>
        <v>Phoenix</v>
      </c>
      <c r="J589" s="65" t="str">
        <f>IFERROR(INDEX('Docketed Comments'!I:I,MATCH(A589,'Docketed Comments'!H:H,0)),"")</f>
        <v>RCPw/R3-47</v>
      </c>
      <c r="K589" s="65" t="str">
        <f t="shared" si="19"/>
        <v>✅ On Best Plan</v>
      </c>
      <c r="L589" s="65" t="str">
        <f>IFERROR(INDEX('Docketed Comments'!F:F,MATCH(A589,'Docketed Comments'!H:H,0)),"")</f>
        <v>Form letter</v>
      </c>
      <c r="M589" s="137" t="str">
        <f>IFERROR(HYPERLINK(INDEX('Docketed Comments'!G:G,MATCH(A589,'Docketed Comments'!H:H,0)),"📄 View Docket"),"")</f>
        <v>📄 View Docket</v>
      </c>
      <c r="N589" s="135" t="str">
        <f>IFERROR(INDEX('Docketed Comments'!N:N,MATCH(A589,'Docketed Comments'!H:H,0)),"")</f>
        <v>No</v>
      </c>
      <c r="O589" s="135" t="str">
        <f>IFERROR(INDEX('Docketed Comments'!L:L,MATCH(A589,'Docketed Comments'!H:H,0)),"")</f>
        <v>Yes</v>
      </c>
      <c r="P589" s="136">
        <f t="shared" si="18"/>
        <v>0</v>
      </c>
      <c r="Q589" s="140"/>
      <c r="R589" s="144">
        <v>1</v>
      </c>
    </row>
    <row r="590" spans="1:18" ht="21.95" customHeight="1">
      <c r="A590" s="71" t="s">
        <v>5269</v>
      </c>
      <c r="B590" s="69"/>
      <c r="C590" s="70"/>
      <c r="D590" s="69"/>
      <c r="E590" s="69"/>
      <c r="F590" s="65"/>
      <c r="G590" s="65" t="s">
        <v>5811</v>
      </c>
      <c r="H590" s="65" t="str">
        <f>IFERROR(INDEX('Docketed Comments'!C:C,MATCH(A590,'Docketed Comments'!H:H,0))&amp;", "&amp;INDEX('Docketed Comments'!B:B,MATCH(A590,'Docketed Comments'!H:H,0)),"")</f>
        <v>Janene, Coltom</v>
      </c>
      <c r="I590" s="65" t="str">
        <f>IFERROR(INDEX('Docketed Comments'!D:D,MATCH(A590,'Docketed Comments'!H:H,0)),"")</f>
        <v>Surprise</v>
      </c>
      <c r="J590" s="65" t="str">
        <f>IFERROR(INDEX('Docketed Comments'!I:I,MATCH(A590,'Docketed Comments'!H:H,0)),"")</f>
        <v>R3-47</v>
      </c>
      <c r="K590" s="65" t="str">
        <f t="shared" si="19"/>
        <v>✅ On Best Plan</v>
      </c>
      <c r="L590" s="65" t="str">
        <f>IFERROR(INDEX('Docketed Comments'!F:F,MATCH(A590,'Docketed Comments'!H:H,0)),"")</f>
        <v>Form letter</v>
      </c>
      <c r="M590" s="137" t="str">
        <f>IFERROR(HYPERLINK(INDEX('Docketed Comments'!G:G,MATCH(A590,'Docketed Comments'!H:H,0)),"📄 View Docket"),"")</f>
        <v>📄 View Docket</v>
      </c>
      <c r="N590" s="135" t="str">
        <f>IFERROR(INDEX('Docketed Comments'!N:N,MATCH(A590,'Docketed Comments'!H:H,0)),"")</f>
        <v>No</v>
      </c>
      <c r="O590" s="135" t="str">
        <f>IFERROR(INDEX('Docketed Comments'!L:L,MATCH(A590,'Docketed Comments'!H:H,0)),"")</f>
        <v>Yes</v>
      </c>
      <c r="P590" s="136">
        <f t="shared" si="18"/>
        <v>0</v>
      </c>
      <c r="Q590" s="140"/>
      <c r="R590" s="144">
        <v>1</v>
      </c>
    </row>
    <row r="591" spans="1:18" ht="21.95" customHeight="1">
      <c r="A591" s="71" t="s">
        <v>5270</v>
      </c>
      <c r="B591" s="69"/>
      <c r="C591" s="70"/>
      <c r="D591" s="69"/>
      <c r="E591" s="69"/>
      <c r="F591" s="65"/>
      <c r="G591" s="65" t="s">
        <v>5811</v>
      </c>
      <c r="H591" s="65" t="str">
        <f>IFERROR(INDEX('Docketed Comments'!C:C,MATCH(A591,'Docketed Comments'!H:H,0))&amp;", "&amp;INDEX('Docketed Comments'!B:B,MATCH(A591,'Docketed Comments'!H:H,0)),"")</f>
        <v>Michael, Hardee</v>
      </c>
      <c r="I591" s="65" t="str">
        <f>IFERROR(INDEX('Docketed Comments'!D:D,MATCH(A591,'Docketed Comments'!H:H,0)),"")</f>
        <v>Flagstaff</v>
      </c>
      <c r="J591" s="65" t="str">
        <f>IFERROR(INDEX('Docketed Comments'!I:I,MATCH(A591,'Docketed Comments'!H:H,0)),"")</f>
        <v>R-XS</v>
      </c>
      <c r="K591" s="65" t="str">
        <f t="shared" si="19"/>
        <v>✅ On Best Plan</v>
      </c>
      <c r="L591" s="65" t="str">
        <f>IFERROR(INDEX('Docketed Comments'!F:F,MATCH(A591,'Docketed Comments'!H:H,0)),"")</f>
        <v>Form letter</v>
      </c>
      <c r="M591" s="137" t="str">
        <f>IFERROR(HYPERLINK(INDEX('Docketed Comments'!G:G,MATCH(A591,'Docketed Comments'!H:H,0)),"📄 View Docket"),"")</f>
        <v>📄 View Docket</v>
      </c>
      <c r="N591" s="135" t="str">
        <f>IFERROR(INDEX('Docketed Comments'!N:N,MATCH(A591,'Docketed Comments'!H:H,0)),"")</f>
        <v>No</v>
      </c>
      <c r="O591" s="135" t="str">
        <f>IFERROR(INDEX('Docketed Comments'!L:L,MATCH(A591,'Docketed Comments'!H:H,0)),"")</f>
        <v>Yes</v>
      </c>
      <c r="P591" s="136">
        <f t="shared" si="18"/>
        <v>0</v>
      </c>
      <c r="Q591" s="140"/>
      <c r="R591" s="144">
        <v>1</v>
      </c>
    </row>
    <row r="592" spans="1:18" ht="21.95" customHeight="1">
      <c r="A592" s="71" t="s">
        <v>5271</v>
      </c>
      <c r="B592" s="69"/>
      <c r="C592" s="70"/>
      <c r="D592" s="69"/>
      <c r="E592" s="69"/>
      <c r="F592" s="65"/>
      <c r="G592" s="65" t="s">
        <v>5811</v>
      </c>
      <c r="H592" s="65" t="str">
        <f>IFERROR(INDEX('Docketed Comments'!C:C,MATCH(A592,'Docketed Comments'!H:H,0))&amp;", "&amp;INDEX('Docketed Comments'!B:B,MATCH(A592,'Docketed Comments'!H:H,0)),"")</f>
        <v>Brian, Starr</v>
      </c>
      <c r="I592" s="65" t="str">
        <f>IFERROR(INDEX('Docketed Comments'!D:D,MATCH(A592,'Docketed Comments'!H:H,0)),"")</f>
        <v>Phoenix</v>
      </c>
      <c r="J592" s="65" t="str">
        <f>IFERROR(INDEX('Docketed Comments'!I:I,MATCH(A592,'Docketed Comments'!H:H,0)),"")</f>
        <v>RCPw/RTOUE47</v>
      </c>
      <c r="K592" s="65" t="str">
        <f t="shared" si="19"/>
        <v>✅ On Best Plan</v>
      </c>
      <c r="L592" s="65" t="str">
        <f>IFERROR(INDEX('Docketed Comments'!F:F,MATCH(A592,'Docketed Comments'!H:H,0)),"")</f>
        <v>Form letter</v>
      </c>
      <c r="M592" s="137" t="str">
        <f>IFERROR(HYPERLINK(INDEX('Docketed Comments'!G:G,MATCH(A592,'Docketed Comments'!H:H,0)),"📄 View Docket"),"")</f>
        <v>📄 View Docket</v>
      </c>
      <c r="N592" s="135" t="str">
        <f>IFERROR(INDEX('Docketed Comments'!N:N,MATCH(A592,'Docketed Comments'!H:H,0)),"")</f>
        <v>No</v>
      </c>
      <c r="O592" s="135" t="str">
        <f>IFERROR(INDEX('Docketed Comments'!L:L,MATCH(A592,'Docketed Comments'!H:H,0)),"")</f>
        <v>Yes</v>
      </c>
      <c r="P592" s="136">
        <f t="shared" si="18"/>
        <v>0</v>
      </c>
      <c r="Q592" s="140"/>
      <c r="R592" s="144">
        <v>1</v>
      </c>
    </row>
    <row r="593" spans="1:18" ht="21.95" customHeight="1">
      <c r="A593" s="71" t="s">
        <v>5272</v>
      </c>
      <c r="B593" s="69"/>
      <c r="C593" s="70"/>
      <c r="D593" s="69"/>
      <c r="E593" s="69"/>
      <c r="F593" s="65"/>
      <c r="G593" s="65" t="s">
        <v>5811</v>
      </c>
      <c r="H593" s="65" t="str">
        <f>IFERROR(INDEX('Docketed Comments'!C:C,MATCH(A593,'Docketed Comments'!H:H,0))&amp;", "&amp;INDEX('Docketed Comments'!B:B,MATCH(A593,'Docketed Comments'!H:H,0)),"")</f>
        <v>Hunter, Lanchbury</v>
      </c>
      <c r="I593" s="65" t="str">
        <f>IFERROR(INDEX('Docketed Comments'!D:D,MATCH(A593,'Docketed Comments'!H:H,0)),"")</f>
        <v>Phoenix</v>
      </c>
      <c r="J593" s="65" t="str">
        <f>IFERROR(INDEX('Docketed Comments'!I:I,MATCH(A593,'Docketed Comments'!H:H,0)),"")</f>
        <v>EPR-6w/ET-2</v>
      </c>
      <c r="K593" s="65" t="str">
        <f t="shared" si="19"/>
        <v>⚠ Frozen Rate</v>
      </c>
      <c r="L593" s="65" t="str">
        <f>IFERROR(INDEX('Docketed Comments'!F:F,MATCH(A593,'Docketed Comments'!H:H,0)),"")</f>
        <v>Form letter</v>
      </c>
      <c r="M593" s="137" t="str">
        <f>IFERROR(HYPERLINK(INDEX('Docketed Comments'!G:G,MATCH(A593,'Docketed Comments'!H:H,0)),"📄 View Docket"),"")</f>
        <v>📄 View Docket</v>
      </c>
      <c r="N593" s="135" t="str">
        <f>IFERROR(INDEX('Docketed Comments'!N:N,MATCH(A593,'Docketed Comments'!H:H,0)),"")</f>
        <v>No</v>
      </c>
      <c r="O593" s="135" t="str">
        <f>IFERROR(INDEX('Docketed Comments'!L:L,MATCH(A593,'Docketed Comments'!H:H,0)),"")</f>
        <v>Frozen Rate</v>
      </c>
      <c r="P593" s="136">
        <f t="shared" si="18"/>
        <v>0</v>
      </c>
      <c r="Q593" s="140"/>
      <c r="R593" s="144">
        <v>1</v>
      </c>
    </row>
    <row r="594" spans="1:18" ht="21.95" customHeight="1">
      <c r="A594" s="71" t="s">
        <v>5273</v>
      </c>
      <c r="B594" s="69"/>
      <c r="C594" s="70"/>
      <c r="D594" s="69"/>
      <c r="E594" s="69"/>
      <c r="F594" s="65"/>
      <c r="G594" s="65" t="s">
        <v>5811</v>
      </c>
      <c r="H594" s="65" t="str">
        <f>IFERROR(INDEX('Docketed Comments'!C:C,MATCH(A594,'Docketed Comments'!H:H,0))&amp;", "&amp;INDEX('Docketed Comments'!B:B,MATCH(A594,'Docketed Comments'!H:H,0)),"")</f>
        <v>Ivan, Lopez</v>
      </c>
      <c r="I594" s="65" t="str">
        <f>IFERROR(INDEX('Docketed Comments'!D:D,MATCH(A594,'Docketed Comments'!H:H,0)),"")</f>
        <v>Gilbert</v>
      </c>
      <c r="J594" s="65" t="str">
        <f>IFERROR(INDEX('Docketed Comments'!I:I,MATCH(A594,'Docketed Comments'!H:H,0)),"")</f>
        <v>R-BASIC</v>
      </c>
      <c r="K594" s="65" t="str">
        <f t="shared" si="19"/>
        <v>✅ On Best Plan</v>
      </c>
      <c r="L594" s="65" t="str">
        <f>IFERROR(INDEX('Docketed Comments'!F:F,MATCH(A594,'Docketed Comments'!H:H,0)),"")</f>
        <v>Opposed</v>
      </c>
      <c r="M594" s="137" t="str">
        <f>IFERROR(HYPERLINK(INDEX('Docketed Comments'!G:G,MATCH(A594,'Docketed Comments'!H:H,0)),"📄 View Docket"),"")</f>
        <v>📄 View Docket</v>
      </c>
      <c r="N594" s="135" t="str">
        <f>IFERROR(INDEX('Docketed Comments'!N:N,MATCH(A594,'Docketed Comments'!H:H,0)),"")</f>
        <v>No</v>
      </c>
      <c r="O594" s="135" t="str">
        <f>IFERROR(INDEX('Docketed Comments'!L:L,MATCH(A594,'Docketed Comments'!H:H,0)),"")</f>
        <v>Yes</v>
      </c>
      <c r="P594" s="136">
        <f t="shared" si="18"/>
        <v>0</v>
      </c>
      <c r="Q594" s="140"/>
      <c r="R594" s="144">
        <v>1</v>
      </c>
    </row>
    <row r="595" spans="1:18" ht="21.95" customHeight="1">
      <c r="A595" s="71" t="s">
        <v>5274</v>
      </c>
      <c r="B595" s="69"/>
      <c r="C595" s="70"/>
      <c r="D595" s="69"/>
      <c r="E595" s="69"/>
      <c r="F595" s="65"/>
      <c r="G595" s="65" t="s">
        <v>5811</v>
      </c>
      <c r="H595" s="65" t="str">
        <f>IFERROR(INDEX('Docketed Comments'!C:C,MATCH(A595,'Docketed Comments'!H:H,0))&amp;", "&amp;INDEX('Docketed Comments'!B:B,MATCH(A595,'Docketed Comments'!H:H,0)),"")</f>
        <v>Troy, Young</v>
      </c>
      <c r="I595" s="65" t="str">
        <f>IFERROR(INDEX('Docketed Comments'!D:D,MATCH(A595,'Docketed Comments'!H:H,0)),"")</f>
        <v>Phoenix</v>
      </c>
      <c r="J595" s="65" t="str">
        <f>IFERROR(INDEX('Docketed Comments'!I:I,MATCH(A595,'Docketed Comments'!H:H,0)),"")</f>
        <v>R3-47</v>
      </c>
      <c r="K595" s="65" t="str">
        <f t="shared" si="19"/>
        <v>✅ On Best Plan</v>
      </c>
      <c r="L595" s="65" t="str">
        <f>IFERROR(INDEX('Docketed Comments'!F:F,MATCH(A595,'Docketed Comments'!H:H,0)),"")</f>
        <v>Keep it affordable</v>
      </c>
      <c r="M595" s="137" t="str">
        <f>IFERROR(HYPERLINK(INDEX('Docketed Comments'!G:G,MATCH(A595,'Docketed Comments'!H:H,0)),"📄 View Docket"),"")</f>
        <v>📄 View Docket</v>
      </c>
      <c r="N595" s="135" t="str">
        <f>IFERROR(INDEX('Docketed Comments'!N:N,MATCH(A595,'Docketed Comments'!H:H,0)),"")</f>
        <v>No</v>
      </c>
      <c r="O595" s="135" t="str">
        <f>IFERROR(INDEX('Docketed Comments'!L:L,MATCH(A595,'Docketed Comments'!H:H,0)),"")</f>
        <v>Yes</v>
      </c>
      <c r="P595" s="136">
        <f t="shared" si="18"/>
        <v>0</v>
      </c>
      <c r="Q595" s="140"/>
      <c r="R595" s="144">
        <v>1</v>
      </c>
    </row>
    <row r="596" spans="1:18" ht="21.95" customHeight="1">
      <c r="A596" s="71" t="s">
        <v>5275</v>
      </c>
      <c r="B596" s="69"/>
      <c r="C596" s="70"/>
      <c r="D596" s="69"/>
      <c r="E596" s="69"/>
      <c r="F596" s="65"/>
      <c r="G596" s="65" t="s">
        <v>5811</v>
      </c>
      <c r="H596" s="65" t="str">
        <f>IFERROR(INDEX('Docketed Comments'!C:C,MATCH(A596,'Docketed Comments'!H:H,0))&amp;", "&amp;INDEX('Docketed Comments'!B:B,MATCH(A596,'Docketed Comments'!H:H,0)),"")</f>
        <v>Matthew, Clements</v>
      </c>
      <c r="I596" s="65" t="str">
        <f>IFERROR(INDEX('Docketed Comments'!D:D,MATCH(A596,'Docketed Comments'!H:H,0)),"")</f>
        <v>Tempe</v>
      </c>
      <c r="J596" s="65" t="str">
        <f>IFERROR(INDEX('Docketed Comments'!I:I,MATCH(A596,'Docketed Comments'!H:H,0)),"")</f>
        <v>R3-47</v>
      </c>
      <c r="K596" s="65" t="str">
        <f t="shared" si="19"/>
        <v>✅ On Best Plan</v>
      </c>
      <c r="L596" s="65" t="str">
        <f>IFERROR(INDEX('Docketed Comments'!F:F,MATCH(A596,'Docketed Comments'!H:H,0)),"")</f>
        <v>Form letter</v>
      </c>
      <c r="M596" s="137" t="str">
        <f>IFERROR(HYPERLINK(INDEX('Docketed Comments'!G:G,MATCH(A596,'Docketed Comments'!H:H,0)),"📄 View Docket"),"")</f>
        <v>📄 View Docket</v>
      </c>
      <c r="N596" s="135" t="str">
        <f>IFERROR(INDEX('Docketed Comments'!N:N,MATCH(A596,'Docketed Comments'!H:H,0)),"")</f>
        <v>No</v>
      </c>
      <c r="O596" s="135" t="str">
        <f>IFERROR(INDEX('Docketed Comments'!L:L,MATCH(A596,'Docketed Comments'!H:H,0)),"")</f>
        <v>Yes</v>
      </c>
      <c r="P596" s="136">
        <f t="shared" si="18"/>
        <v>0</v>
      </c>
      <c r="Q596" s="140"/>
      <c r="R596" s="144">
        <v>1</v>
      </c>
    </row>
    <row r="597" spans="1:18" ht="21.95" customHeight="1">
      <c r="A597" s="71" t="s">
        <v>5276</v>
      </c>
      <c r="B597" s="69"/>
      <c r="C597" s="70"/>
      <c r="D597" s="69"/>
      <c r="E597" s="69"/>
      <c r="F597" s="65"/>
      <c r="G597" s="65" t="s">
        <v>5811</v>
      </c>
      <c r="H597" s="65" t="str">
        <f>IFERROR(INDEX('Docketed Comments'!C:C,MATCH(A597,'Docketed Comments'!H:H,0))&amp;", "&amp;INDEX('Docketed Comments'!B:B,MATCH(A597,'Docketed Comments'!H:H,0)),"")</f>
        <v>DJ, Paynter</v>
      </c>
      <c r="I597" s="65" t="str">
        <f>IFERROR(INDEX('Docketed Comments'!D:D,MATCH(A597,'Docketed Comments'!H:H,0)),"")</f>
        <v>Peoria</v>
      </c>
      <c r="J597" s="65" t="str">
        <f>IFERROR(INDEX('Docketed Comments'!I:I,MATCH(A597,'Docketed Comments'!H:H,0)),"")</f>
        <v>R3-47</v>
      </c>
      <c r="K597" s="65" t="str">
        <f t="shared" si="19"/>
        <v>✅ On Best Plan</v>
      </c>
      <c r="L597" s="65" t="str">
        <f>IFERROR(INDEX('Docketed Comments'!F:F,MATCH(A597,'Docketed Comments'!H:H,0)),"")</f>
        <v>Form letter</v>
      </c>
      <c r="M597" s="137" t="str">
        <f>IFERROR(HYPERLINK(INDEX('Docketed Comments'!G:G,MATCH(A597,'Docketed Comments'!H:H,0)),"📄 View Docket"),"")</f>
        <v>📄 View Docket</v>
      </c>
      <c r="N597" s="135" t="str">
        <f>IFERROR(INDEX('Docketed Comments'!N:N,MATCH(A597,'Docketed Comments'!H:H,0)),"")</f>
        <v>No</v>
      </c>
      <c r="O597" s="135" t="str">
        <f>IFERROR(INDEX('Docketed Comments'!L:L,MATCH(A597,'Docketed Comments'!H:H,0)),"")</f>
        <v>Yes</v>
      </c>
      <c r="P597" s="136">
        <f t="shared" si="18"/>
        <v>0</v>
      </c>
      <c r="Q597" s="140"/>
      <c r="R597" s="144">
        <v>1</v>
      </c>
    </row>
    <row r="598" spans="1:18" ht="21.95" customHeight="1">
      <c r="A598" s="71" t="s">
        <v>5277</v>
      </c>
      <c r="B598" s="69"/>
      <c r="C598" s="70"/>
      <c r="D598" s="69"/>
      <c r="E598" s="69"/>
      <c r="F598" s="65"/>
      <c r="G598" s="65" t="s">
        <v>5811</v>
      </c>
      <c r="H598" s="65" t="str">
        <f>IFERROR(INDEX('Docketed Comments'!C:C,MATCH(A598,'Docketed Comments'!H:H,0))&amp;", "&amp;INDEX('Docketed Comments'!B:B,MATCH(A598,'Docketed Comments'!H:H,0)),"")</f>
        <v>Marina, Kachur</v>
      </c>
      <c r="I598" s="65" t="str">
        <f>IFERROR(INDEX('Docketed Comments'!D:D,MATCH(A598,'Docketed Comments'!H:H,0)),"")</f>
        <v>Cave Creek</v>
      </c>
      <c r="J598" s="65" t="str">
        <f>IFERROR(INDEX('Docketed Comments'!I:I,MATCH(A598,'Docketed Comments'!H:H,0)),"")</f>
        <v>RTOUE47</v>
      </c>
      <c r="K598" s="65" t="str">
        <f t="shared" si="19"/>
        <v>✅ On Best Plan</v>
      </c>
      <c r="L598" s="65" t="str">
        <f>IFERROR(INDEX('Docketed Comments'!F:F,MATCH(A598,'Docketed Comments'!H:H,0)),"")</f>
        <v>Form letter</v>
      </c>
      <c r="M598" s="137" t="str">
        <f>IFERROR(HYPERLINK(INDEX('Docketed Comments'!G:G,MATCH(A598,'Docketed Comments'!H:H,0)),"📄 View Docket"),"")</f>
        <v>📄 View Docket</v>
      </c>
      <c r="N598" s="135" t="str">
        <f>IFERROR(INDEX('Docketed Comments'!N:N,MATCH(A598,'Docketed Comments'!H:H,0)),"")</f>
        <v>No</v>
      </c>
      <c r="O598" s="135" t="str">
        <f>IFERROR(INDEX('Docketed Comments'!L:L,MATCH(A598,'Docketed Comments'!H:H,0)),"")</f>
        <v>Yes</v>
      </c>
      <c r="P598" s="136">
        <f t="shared" si="18"/>
        <v>0</v>
      </c>
      <c r="Q598" s="140"/>
      <c r="R598" s="144">
        <v>1</v>
      </c>
    </row>
    <row r="599" spans="1:18" ht="21.95" customHeight="1">
      <c r="A599" s="71" t="s">
        <v>5278</v>
      </c>
      <c r="B599" s="69"/>
      <c r="C599" s="70"/>
      <c r="D599" s="69"/>
      <c r="E599" s="69"/>
      <c r="F599" s="65"/>
      <c r="G599" s="65" t="s">
        <v>5811</v>
      </c>
      <c r="H599" s="65" t="str">
        <f>IFERROR(INDEX('Docketed Comments'!C:C,MATCH(A599,'Docketed Comments'!H:H,0))&amp;", "&amp;INDEX('Docketed Comments'!B:B,MATCH(A599,'Docketed Comments'!H:H,0)),"")</f>
        <v>Tina, Gallagher</v>
      </c>
      <c r="I599" s="65" t="str">
        <f>IFERROR(INDEX('Docketed Comments'!D:D,MATCH(A599,'Docketed Comments'!H:H,0)),"")</f>
        <v>Surprise</v>
      </c>
      <c r="J599" s="65" t="str">
        <f>IFERROR(INDEX('Docketed Comments'!I:I,MATCH(A599,'Docketed Comments'!H:H,0)),"")</f>
        <v>R3-47</v>
      </c>
      <c r="K599" s="65" t="str">
        <f t="shared" si="19"/>
        <v>✅ On Best Plan</v>
      </c>
      <c r="L599" s="65" t="str">
        <f>IFERROR(INDEX('Docketed Comments'!F:F,MATCH(A599,'Docketed Comments'!H:H,0)),"")</f>
        <v xml:space="preserve">Fixed income </v>
      </c>
      <c r="M599" s="137" t="str">
        <f>IFERROR(HYPERLINK(INDEX('Docketed Comments'!G:G,MATCH(A599,'Docketed Comments'!H:H,0)),"📄 View Docket"),"")</f>
        <v>📄 View Docket</v>
      </c>
      <c r="N599" s="135" t="str">
        <f>IFERROR(INDEX('Docketed Comments'!N:N,MATCH(A599,'Docketed Comments'!H:H,0)),"")</f>
        <v>No</v>
      </c>
      <c r="O599" s="135" t="str">
        <f>IFERROR(INDEX('Docketed Comments'!L:L,MATCH(A599,'Docketed Comments'!H:H,0)),"")</f>
        <v>Yes</v>
      </c>
      <c r="P599" s="136">
        <f t="shared" si="18"/>
        <v>0</v>
      </c>
      <c r="Q599" s="140"/>
      <c r="R599" s="144">
        <v>1</v>
      </c>
    </row>
    <row r="600" spans="1:18" ht="21.95" customHeight="1">
      <c r="A600" s="71" t="s">
        <v>5279</v>
      </c>
      <c r="B600" s="69"/>
      <c r="C600" s="70"/>
      <c r="D600" s="69"/>
      <c r="E600" s="69"/>
      <c r="F600" s="65"/>
      <c r="G600" s="65" t="s">
        <v>5811</v>
      </c>
      <c r="H600" s="65" t="str">
        <f>IFERROR(INDEX('Docketed Comments'!C:C,MATCH(A600,'Docketed Comments'!H:H,0))&amp;", "&amp;INDEX('Docketed Comments'!B:B,MATCH(A600,'Docketed Comments'!H:H,0)),"")</f>
        <v>Paul, Juneau</v>
      </c>
      <c r="I600" s="65" t="str">
        <f>IFERROR(INDEX('Docketed Comments'!D:D,MATCH(A600,'Docketed Comments'!H:H,0)),"")</f>
        <v>Phoenix</v>
      </c>
      <c r="J600" s="65" t="str">
        <f>IFERROR(INDEX('Docketed Comments'!I:I,MATCH(A600,'Docketed Comments'!H:H,0)),"")</f>
        <v>R3-47</v>
      </c>
      <c r="K600" s="65" t="str">
        <f t="shared" si="19"/>
        <v>✅ On Best Plan</v>
      </c>
      <c r="L600" s="65" t="str">
        <f>IFERROR(INDEX('Docketed Comments'!F:F,MATCH(A600,'Docketed Comments'!H:H,0)),"")</f>
        <v>Opposed</v>
      </c>
      <c r="M600" s="137" t="str">
        <f>IFERROR(HYPERLINK(INDEX('Docketed Comments'!G:G,MATCH(A600,'Docketed Comments'!H:H,0)),"📄 View Docket"),"")</f>
        <v>📄 View Docket</v>
      </c>
      <c r="N600" s="135" t="str">
        <f>IFERROR(INDEX('Docketed Comments'!N:N,MATCH(A600,'Docketed Comments'!H:H,0)),"")</f>
        <v>No</v>
      </c>
      <c r="O600" s="135" t="str">
        <f>IFERROR(INDEX('Docketed Comments'!L:L,MATCH(A600,'Docketed Comments'!H:H,0)),"")</f>
        <v>Yes</v>
      </c>
      <c r="P600" s="136">
        <f t="shared" si="18"/>
        <v>0</v>
      </c>
      <c r="Q600" s="140"/>
      <c r="R600" s="144">
        <v>1</v>
      </c>
    </row>
    <row r="601" spans="1:18" ht="21.95" customHeight="1">
      <c r="A601" s="71" t="s">
        <v>5280</v>
      </c>
      <c r="B601" s="69"/>
      <c r="C601" s="70"/>
      <c r="D601" s="69"/>
      <c r="E601" s="69"/>
      <c r="F601" s="65"/>
      <c r="G601" s="65" t="s">
        <v>5811</v>
      </c>
      <c r="H601" s="65" t="str">
        <f>IFERROR(INDEX('Docketed Comments'!C:C,MATCH(A601,'Docketed Comments'!H:H,0))&amp;", "&amp;INDEX('Docketed Comments'!B:B,MATCH(A601,'Docketed Comments'!H:H,0)),"")</f>
        <v>Leslie, Landau</v>
      </c>
      <c r="I601" s="65" t="str">
        <f>IFERROR(INDEX('Docketed Comments'!D:D,MATCH(A601,'Docketed Comments'!H:H,0)),"")</f>
        <v>Scottsdale</v>
      </c>
      <c r="J601" s="65" t="str">
        <f>IFERROR(INDEX('Docketed Comments'!I:I,MATCH(A601,'Docketed Comments'!H:H,0)),"")</f>
        <v>R3-47</v>
      </c>
      <c r="K601" s="65" t="str">
        <f t="shared" si="19"/>
        <v>✅ On Best Plan</v>
      </c>
      <c r="L601" s="65" t="str">
        <f>IFERROR(INDEX('Docketed Comments'!F:F,MATCH(A601,'Docketed Comments'!H:H,0)),"")</f>
        <v>Opposed</v>
      </c>
      <c r="M601" s="137" t="str">
        <f>IFERROR(HYPERLINK(INDEX('Docketed Comments'!G:G,MATCH(A601,'Docketed Comments'!H:H,0)),"📄 View Docket"),"")</f>
        <v>📄 View Docket</v>
      </c>
      <c r="N601" s="135" t="str">
        <f>IFERROR(INDEX('Docketed Comments'!N:N,MATCH(A601,'Docketed Comments'!H:H,0)),"")</f>
        <v>No</v>
      </c>
      <c r="O601" s="135" t="str">
        <f>IFERROR(INDEX('Docketed Comments'!L:L,MATCH(A601,'Docketed Comments'!H:H,0)),"")</f>
        <v>Yes</v>
      </c>
      <c r="P601" s="136">
        <f t="shared" si="18"/>
        <v>0</v>
      </c>
      <c r="Q601" s="140"/>
      <c r="R601" s="144">
        <v>1</v>
      </c>
    </row>
    <row r="602" spans="1:18" ht="21.95" customHeight="1">
      <c r="A602" s="71" t="s">
        <v>5281</v>
      </c>
      <c r="B602" s="69"/>
      <c r="C602" s="70"/>
      <c r="D602" s="69"/>
      <c r="E602" s="69"/>
      <c r="F602" s="65"/>
      <c r="G602" s="65" t="s">
        <v>5811</v>
      </c>
      <c r="H602" s="65" t="str">
        <f>IFERROR(INDEX('Docketed Comments'!C:C,MATCH(A602,'Docketed Comments'!H:H,0))&amp;", "&amp;INDEX('Docketed Comments'!B:B,MATCH(A602,'Docketed Comments'!H:H,0)),"")</f>
        <v>Stephanie, Mandala</v>
      </c>
      <c r="I602" s="65" t="str">
        <f>IFERROR(INDEX('Docketed Comments'!D:D,MATCH(A602,'Docketed Comments'!H:H,0)),"")</f>
        <v>Scottsdale</v>
      </c>
      <c r="J602" s="65" t="str">
        <f>IFERROR(INDEX('Docketed Comments'!I:I,MATCH(A602,'Docketed Comments'!H:H,0)),"")</f>
        <v>R-BASIC</v>
      </c>
      <c r="K602" s="65" t="str">
        <f t="shared" si="19"/>
        <v>✅ On Best Plan</v>
      </c>
      <c r="L602" s="65" t="str">
        <f>IFERROR(INDEX('Docketed Comments'!F:F,MATCH(A602,'Docketed Comments'!H:H,0)),"")</f>
        <v>Form letter</v>
      </c>
      <c r="M602" s="137" t="str">
        <f>IFERROR(HYPERLINK(INDEX('Docketed Comments'!G:G,MATCH(A602,'Docketed Comments'!H:H,0)),"📄 View Docket"),"")</f>
        <v>📄 View Docket</v>
      </c>
      <c r="N602" s="135" t="str">
        <f>IFERROR(INDEX('Docketed Comments'!N:N,MATCH(A602,'Docketed Comments'!H:H,0)),"")</f>
        <v>No</v>
      </c>
      <c r="O602" s="135" t="str">
        <f>IFERROR(INDEX('Docketed Comments'!L:L,MATCH(A602,'Docketed Comments'!H:H,0)),"")</f>
        <v>Yes</v>
      </c>
      <c r="P602" s="136">
        <f t="shared" si="18"/>
        <v>0</v>
      </c>
      <c r="Q602" s="140"/>
      <c r="R602" s="144">
        <v>1</v>
      </c>
    </row>
    <row r="603" spans="1:18" ht="21.95" customHeight="1">
      <c r="A603" s="71" t="s">
        <v>2107</v>
      </c>
      <c r="B603" s="69"/>
      <c r="C603" s="70"/>
      <c r="D603" s="69"/>
      <c r="E603" s="69"/>
      <c r="F603" s="65"/>
      <c r="G603" s="65" t="s">
        <v>5811</v>
      </c>
      <c r="H603" s="65" t="str">
        <f>IFERROR(INDEX('Docketed Comments'!C:C,MATCH(A603,'Docketed Comments'!H:H,0))&amp;", "&amp;INDEX('Docketed Comments'!B:B,MATCH(A603,'Docketed Comments'!H:H,0)),"")</f>
        <v>Steven, Alexander</v>
      </c>
      <c r="I603" s="65" t="str">
        <f>IFERROR(INDEX('Docketed Comments'!D:D,MATCH(A603,'Docketed Comments'!H:H,0)),"")</f>
        <v>Phoenix</v>
      </c>
      <c r="J603" s="65" t="str">
        <f>IFERROR(INDEX('Docketed Comments'!I:I,MATCH(A603,'Docketed Comments'!H:H,0)),"")</f>
        <v>R3-47</v>
      </c>
      <c r="K603" s="65" t="str">
        <f t="shared" si="19"/>
        <v>✅ On Best Plan</v>
      </c>
      <c r="L603" s="65" t="str">
        <f>IFERROR(INDEX('Docketed Comments'!F:F,MATCH(A603,'Docketed Comments'!H:H,0)),"")</f>
        <v>Money grab</v>
      </c>
      <c r="M603" s="137" t="str">
        <f>IFERROR(HYPERLINK(INDEX('Docketed Comments'!G:G,MATCH(A603,'Docketed Comments'!H:H,0)),"📄 View Docket"),"")</f>
        <v>📄 View Docket</v>
      </c>
      <c r="N603" s="135" t="str">
        <f>IFERROR(INDEX('Docketed Comments'!N:N,MATCH(A603,'Docketed Comments'!H:H,0)),"")</f>
        <v>No</v>
      </c>
      <c r="O603" s="135" t="str">
        <f>IFERROR(INDEX('Docketed Comments'!L:L,MATCH(A603,'Docketed Comments'!H:H,0)),"")</f>
        <v>Yes</v>
      </c>
      <c r="P603" s="136">
        <f t="shared" si="18"/>
        <v>0</v>
      </c>
      <c r="Q603" s="140"/>
      <c r="R603" s="144">
        <v>1</v>
      </c>
    </row>
    <row r="604" spans="1:18" ht="21.95" customHeight="1">
      <c r="A604" s="71" t="s">
        <v>5282</v>
      </c>
      <c r="B604" s="69"/>
      <c r="C604" s="70"/>
      <c r="D604" s="69"/>
      <c r="E604" s="69"/>
      <c r="F604" s="65"/>
      <c r="G604" s="65" t="s">
        <v>5811</v>
      </c>
      <c r="H604" s="65" t="str">
        <f>IFERROR(INDEX('Docketed Comments'!C:C,MATCH(A604,'Docketed Comments'!H:H,0))&amp;", "&amp;INDEX('Docketed Comments'!B:B,MATCH(A604,'Docketed Comments'!H:H,0)),"")</f>
        <v>Megan, Orillie</v>
      </c>
      <c r="I604" s="65" t="str">
        <f>IFERROR(INDEX('Docketed Comments'!D:D,MATCH(A604,'Docketed Comments'!H:H,0)),"")</f>
        <v>Case Grande</v>
      </c>
      <c r="J604" s="65" t="str">
        <f>IFERROR(INDEX('Docketed Comments'!I:I,MATCH(A604,'Docketed Comments'!H:H,0)),"")</f>
        <v>R3-47</v>
      </c>
      <c r="K604" s="65" t="str">
        <f t="shared" si="19"/>
        <v>✅ On Best Plan</v>
      </c>
      <c r="L604" s="65" t="str">
        <f>IFERROR(INDEX('Docketed Comments'!F:F,MATCH(A604,'Docketed Comments'!H:H,0)),"")</f>
        <v>Cost are already obscene</v>
      </c>
      <c r="M604" s="137" t="str">
        <f>IFERROR(HYPERLINK(INDEX('Docketed Comments'!G:G,MATCH(A604,'Docketed Comments'!H:H,0)),"📄 View Docket"),"")</f>
        <v>📄 View Docket</v>
      </c>
      <c r="N604" s="135" t="str">
        <f>IFERROR(INDEX('Docketed Comments'!N:N,MATCH(A604,'Docketed Comments'!H:H,0)),"")</f>
        <v>No</v>
      </c>
      <c r="O604" s="135" t="str">
        <f>IFERROR(INDEX('Docketed Comments'!L:L,MATCH(A604,'Docketed Comments'!H:H,0)),"")</f>
        <v>Yes</v>
      </c>
      <c r="P604" s="136">
        <f t="shared" si="18"/>
        <v>0</v>
      </c>
      <c r="Q604" s="140"/>
      <c r="R604" s="144">
        <v>1</v>
      </c>
    </row>
    <row r="605" spans="1:18" ht="21.95" customHeight="1">
      <c r="A605" s="71" t="s">
        <v>5283</v>
      </c>
      <c r="B605" s="69"/>
      <c r="C605" s="70"/>
      <c r="D605" s="69"/>
      <c r="E605" s="69"/>
      <c r="F605" s="65"/>
      <c r="G605" s="65" t="s">
        <v>5811</v>
      </c>
      <c r="H605" s="65" t="str">
        <f>IFERROR(INDEX('Docketed Comments'!C:C,MATCH(A605,'Docketed Comments'!H:H,0))&amp;", "&amp;INDEX('Docketed Comments'!B:B,MATCH(A605,'Docketed Comments'!H:H,0)),"")</f>
        <v>Adam, Gunderson</v>
      </c>
      <c r="I605" s="65" t="str">
        <f>IFERROR(INDEX('Docketed Comments'!D:D,MATCH(A605,'Docketed Comments'!H:H,0)),"")</f>
        <v>Glendale</v>
      </c>
      <c r="J605" s="65" t="str">
        <f>IFERROR(INDEX('Docketed Comments'!I:I,MATCH(A605,'Docketed Comments'!H:H,0)),"")</f>
        <v>RCPw/RTOUE47</v>
      </c>
      <c r="K605" s="65" t="str">
        <f t="shared" si="19"/>
        <v>✅ On Best Plan</v>
      </c>
      <c r="L605" s="65" t="str">
        <f>IFERROR(INDEX('Docketed Comments'!F:F,MATCH(A605,'Docketed Comments'!H:H,0)),"")</f>
        <v>Massive financial burden on my family</v>
      </c>
      <c r="M605" s="137" t="str">
        <f>IFERROR(HYPERLINK(INDEX('Docketed Comments'!G:G,MATCH(A605,'Docketed Comments'!H:H,0)),"📄 View Docket"),"")</f>
        <v>📄 View Docket</v>
      </c>
      <c r="N605" s="135" t="str">
        <f>IFERROR(INDEX('Docketed Comments'!N:N,MATCH(A605,'Docketed Comments'!H:H,0)),"")</f>
        <v>No</v>
      </c>
      <c r="O605" s="135" t="str">
        <f>IFERROR(INDEX('Docketed Comments'!L:L,MATCH(A605,'Docketed Comments'!H:H,0)),"")</f>
        <v>Yes</v>
      </c>
      <c r="P605" s="136">
        <f t="shared" si="18"/>
        <v>0</v>
      </c>
      <c r="Q605" s="140"/>
      <c r="R605" s="144">
        <v>1</v>
      </c>
    </row>
    <row r="606" spans="1:18" ht="21.95" customHeight="1">
      <c r="A606" s="71" t="s">
        <v>5284</v>
      </c>
      <c r="B606" s="69"/>
      <c r="C606" s="70"/>
      <c r="D606" s="69"/>
      <c r="E606" s="69"/>
      <c r="F606" s="65"/>
      <c r="G606" s="65" t="s">
        <v>5811</v>
      </c>
      <c r="H606" s="65" t="str">
        <f>IFERROR(INDEX('Docketed Comments'!C:C,MATCH(A606,'Docketed Comments'!H:H,0))&amp;", "&amp;INDEX('Docketed Comments'!B:B,MATCH(A606,'Docketed Comments'!H:H,0)),"")</f>
        <v>Amy, McPherson</v>
      </c>
      <c r="I606" s="65" t="str">
        <f>IFERROR(INDEX('Docketed Comments'!D:D,MATCH(A606,'Docketed Comments'!H:H,0)),"")</f>
        <v>Phoenix</v>
      </c>
      <c r="J606" s="65" t="str">
        <f>IFERROR(INDEX('Docketed Comments'!I:I,MATCH(A606,'Docketed Comments'!H:H,0)),"")</f>
        <v>R3-47</v>
      </c>
      <c r="K606" s="65" t="str">
        <f t="shared" si="19"/>
        <v>✅ On Best Plan</v>
      </c>
      <c r="L606" s="65" t="str">
        <f>IFERROR(INDEX('Docketed Comments'!F:F,MATCH(A606,'Docketed Comments'!H:H,0)),"")</f>
        <v>Form letter</v>
      </c>
      <c r="M606" s="137" t="str">
        <f>IFERROR(HYPERLINK(INDEX('Docketed Comments'!G:G,MATCH(A606,'Docketed Comments'!H:H,0)),"📄 View Docket"),"")</f>
        <v>📄 View Docket</v>
      </c>
      <c r="N606" s="135" t="str">
        <f>IFERROR(INDEX('Docketed Comments'!N:N,MATCH(A606,'Docketed Comments'!H:H,0)),"")</f>
        <v>No</v>
      </c>
      <c r="O606" s="135" t="str">
        <f>IFERROR(INDEX('Docketed Comments'!L:L,MATCH(A606,'Docketed Comments'!H:H,0)),"")</f>
        <v>Yes</v>
      </c>
      <c r="P606" s="136">
        <f t="shared" si="18"/>
        <v>0</v>
      </c>
      <c r="Q606" s="140"/>
      <c r="R606" s="144">
        <v>1</v>
      </c>
    </row>
    <row r="607" spans="1:18" ht="21.95" customHeight="1">
      <c r="A607" s="71" t="s">
        <v>5285</v>
      </c>
      <c r="B607" s="69"/>
      <c r="C607" s="70"/>
      <c r="D607" s="69"/>
      <c r="E607" s="69"/>
      <c r="F607" s="65"/>
      <c r="G607" s="65" t="s">
        <v>5811</v>
      </c>
      <c r="H607" s="65" t="str">
        <f>IFERROR(INDEX('Docketed Comments'!C:C,MATCH(A607,'Docketed Comments'!H:H,0))&amp;", "&amp;INDEX('Docketed Comments'!B:B,MATCH(A607,'Docketed Comments'!H:H,0)),"")</f>
        <v>John, Neville</v>
      </c>
      <c r="I607" s="65" t="str">
        <f>IFERROR(INDEX('Docketed Comments'!D:D,MATCH(A607,'Docketed Comments'!H:H,0)),"")</f>
        <v>Sedona</v>
      </c>
      <c r="J607" s="65" t="str">
        <f>IFERROR(INDEX('Docketed Comments'!I:I,MATCH(A607,'Docketed Comments'!H:H,0)),"")</f>
        <v>EPR-6w/E-12</v>
      </c>
      <c r="K607" s="65" t="str">
        <f t="shared" si="19"/>
        <v>⚠ Frozen Rate</v>
      </c>
      <c r="L607" s="65" t="str">
        <f>IFERROR(INDEX('Docketed Comments'!F:F,MATCH(A607,'Docketed Comments'!H:H,0)),"")</f>
        <v>Unnecessary</v>
      </c>
      <c r="M607" s="137" t="str">
        <f>IFERROR(HYPERLINK(INDEX('Docketed Comments'!G:G,MATCH(A607,'Docketed Comments'!H:H,0)),"📄 View Docket"),"")</f>
        <v>📄 View Docket</v>
      </c>
      <c r="N607" s="135" t="str">
        <f>IFERROR(INDEX('Docketed Comments'!N:N,MATCH(A607,'Docketed Comments'!H:H,0)),"")</f>
        <v>No</v>
      </c>
      <c r="O607" s="135" t="str">
        <f>IFERROR(INDEX('Docketed Comments'!L:L,MATCH(A607,'Docketed Comments'!H:H,0)),"")</f>
        <v>Frozen Rate</v>
      </c>
      <c r="P607" s="136">
        <f t="shared" si="18"/>
        <v>0</v>
      </c>
      <c r="Q607" s="140"/>
      <c r="R607" s="144">
        <v>1</v>
      </c>
    </row>
    <row r="608" spans="1:18" ht="21.95" customHeight="1">
      <c r="A608" s="71" t="s">
        <v>5286</v>
      </c>
      <c r="B608" s="69"/>
      <c r="C608" s="70"/>
      <c r="D608" s="69"/>
      <c r="E608" s="69"/>
      <c r="F608" s="65"/>
      <c r="G608" s="65" t="s">
        <v>5811</v>
      </c>
      <c r="H608" s="65" t="str">
        <f>IFERROR(INDEX('Docketed Comments'!C:C,MATCH(A608,'Docketed Comments'!H:H,0))&amp;", "&amp;INDEX('Docketed Comments'!B:B,MATCH(A608,'Docketed Comments'!H:H,0)),"")</f>
        <v>Caryn, Cafagna</v>
      </c>
      <c r="I608" s="65" t="str">
        <f>IFERROR(INDEX('Docketed Comments'!D:D,MATCH(A608,'Docketed Comments'!H:H,0)),"")</f>
        <v>Cornville</v>
      </c>
      <c r="J608" s="65" t="str">
        <f>IFERROR(INDEX('Docketed Comments'!I:I,MATCH(A608,'Docketed Comments'!H:H,0)),"")</f>
        <v>R-XS</v>
      </c>
      <c r="K608" s="65" t="str">
        <f t="shared" si="19"/>
        <v>✅ On Best Plan</v>
      </c>
      <c r="L608" s="65" t="str">
        <f>IFERROR(INDEX('Docketed Comments'!F:F,MATCH(A608,'Docketed Comments'!H:H,0)),"")</f>
        <v>Will be burdensome on a fixed income</v>
      </c>
      <c r="M608" s="137" t="str">
        <f>IFERROR(HYPERLINK(INDEX('Docketed Comments'!G:G,MATCH(A608,'Docketed Comments'!H:H,0)),"📄 View Docket"),"")</f>
        <v>📄 View Docket</v>
      </c>
      <c r="N608" s="135" t="str">
        <f>IFERROR(INDEX('Docketed Comments'!N:N,MATCH(A608,'Docketed Comments'!H:H,0)),"")</f>
        <v>No</v>
      </c>
      <c r="O608" s="135" t="str">
        <f>IFERROR(INDEX('Docketed Comments'!L:L,MATCH(A608,'Docketed Comments'!H:H,0)),"")</f>
        <v>Yes</v>
      </c>
      <c r="P608" s="136">
        <f t="shared" si="18"/>
        <v>0</v>
      </c>
      <c r="Q608" s="140"/>
      <c r="R608" s="144">
        <v>1</v>
      </c>
    </row>
    <row r="609" spans="1:18" ht="21.95" customHeight="1">
      <c r="A609" s="71" t="s">
        <v>5287</v>
      </c>
      <c r="B609" s="69"/>
      <c r="C609" s="70"/>
      <c r="D609" s="69"/>
      <c r="E609" s="69"/>
      <c r="F609" s="65"/>
      <c r="G609" s="65" t="s">
        <v>5811</v>
      </c>
      <c r="H609" s="65" t="str">
        <f>IFERROR(INDEX('Docketed Comments'!C:C,MATCH(A609,'Docketed Comments'!H:H,0))&amp;", "&amp;INDEX('Docketed Comments'!B:B,MATCH(A609,'Docketed Comments'!H:H,0)),"")</f>
        <v>Christian, Weiner</v>
      </c>
      <c r="I609" s="65" t="str">
        <f>IFERROR(INDEX('Docketed Comments'!D:D,MATCH(A609,'Docketed Comments'!H:H,0)),"")</f>
        <v>Phoenix</v>
      </c>
      <c r="J609" s="65" t="str">
        <f>IFERROR(INDEX('Docketed Comments'!I:I,MATCH(A609,'Docketed Comments'!H:H,0)),"")</f>
        <v>R-XS</v>
      </c>
      <c r="K609" s="65" t="str">
        <f t="shared" si="19"/>
        <v>✅ On Best Plan</v>
      </c>
      <c r="L609" s="65" t="str">
        <f>IFERROR(INDEX('Docketed Comments'!F:F,MATCH(A609,'Docketed Comments'!H:H,0)),"")</f>
        <v>Form letter</v>
      </c>
      <c r="M609" s="137" t="str">
        <f>IFERROR(HYPERLINK(INDEX('Docketed Comments'!G:G,MATCH(A609,'Docketed Comments'!H:H,0)),"📄 View Docket"),"")</f>
        <v>📄 View Docket</v>
      </c>
      <c r="N609" s="135" t="str">
        <f>IFERROR(INDEX('Docketed Comments'!N:N,MATCH(A609,'Docketed Comments'!H:H,0)),"")</f>
        <v>No</v>
      </c>
      <c r="O609" s="135" t="str">
        <f>IFERROR(INDEX('Docketed Comments'!L:L,MATCH(A609,'Docketed Comments'!H:H,0)),"")</f>
        <v>Yes</v>
      </c>
      <c r="P609" s="136">
        <f t="shared" si="18"/>
        <v>0</v>
      </c>
      <c r="Q609" s="140"/>
      <c r="R609" s="144">
        <v>1</v>
      </c>
    </row>
    <row r="610" spans="1:18" ht="21.95" customHeight="1">
      <c r="A610" s="71" t="s">
        <v>5288</v>
      </c>
      <c r="B610" s="69"/>
      <c r="C610" s="70"/>
      <c r="D610" s="69"/>
      <c r="E610" s="69"/>
      <c r="F610" s="65"/>
      <c r="G610" s="65" t="s">
        <v>5811</v>
      </c>
      <c r="H610" s="65" t="str">
        <f>IFERROR(INDEX('Docketed Comments'!C:C,MATCH(A610,'Docketed Comments'!H:H,0))&amp;", "&amp;INDEX('Docketed Comments'!B:B,MATCH(A610,'Docketed Comments'!H:H,0)),"")</f>
        <v>Richard, Verdi</v>
      </c>
      <c r="I610" s="65" t="str">
        <f>IFERROR(INDEX('Docketed Comments'!D:D,MATCH(A610,'Docketed Comments'!H:H,0)),"")</f>
        <v>Peoria</v>
      </c>
      <c r="J610" s="65" t="str">
        <f>IFERROR(INDEX('Docketed Comments'!I:I,MATCH(A610,'Docketed Comments'!H:H,0)),"")</f>
        <v>EPR-6w/ET-2</v>
      </c>
      <c r="K610" s="65" t="str">
        <f t="shared" si="19"/>
        <v>⚠ Frozen Rate</v>
      </c>
      <c r="L610" s="65" t="str">
        <f>IFERROR(INDEX('Docketed Comments'!F:F,MATCH(A610,'Docketed Comments'!H:H,0)),"")</f>
        <v>Enough already</v>
      </c>
      <c r="M610" s="137" t="str">
        <f>IFERROR(HYPERLINK(INDEX('Docketed Comments'!G:G,MATCH(A610,'Docketed Comments'!H:H,0)),"📄 View Docket"),"")</f>
        <v>📄 View Docket</v>
      </c>
      <c r="N610" s="135" t="str">
        <f>IFERROR(INDEX('Docketed Comments'!N:N,MATCH(A610,'Docketed Comments'!H:H,0)),"")</f>
        <v>No</v>
      </c>
      <c r="O610" s="135" t="str">
        <f>IFERROR(INDEX('Docketed Comments'!L:L,MATCH(A610,'Docketed Comments'!H:H,0)),"")</f>
        <v>Frozen Rate</v>
      </c>
      <c r="P610" s="136">
        <f t="shared" si="18"/>
        <v>0</v>
      </c>
      <c r="Q610" s="140"/>
      <c r="R610" s="144">
        <v>1</v>
      </c>
    </row>
    <row r="611" spans="1:18" ht="21.95" customHeight="1">
      <c r="A611" s="71" t="s">
        <v>5289</v>
      </c>
      <c r="B611" s="69"/>
      <c r="C611" s="70"/>
      <c r="D611" s="69"/>
      <c r="E611" s="69"/>
      <c r="F611" s="65"/>
      <c r="G611" s="65" t="s">
        <v>5811</v>
      </c>
      <c r="H611" s="65" t="str">
        <f>IFERROR(INDEX('Docketed Comments'!C:C,MATCH(A611,'Docketed Comments'!H:H,0))&amp;", "&amp;INDEX('Docketed Comments'!B:B,MATCH(A611,'Docketed Comments'!H:H,0)),"")</f>
        <v>Loyiel, Duckworth</v>
      </c>
      <c r="I611" s="65" t="str">
        <f>IFERROR(INDEX('Docketed Comments'!D:D,MATCH(A611,'Docketed Comments'!H:H,0)),"")</f>
        <v>Goodyear</v>
      </c>
      <c r="J611" s="65" t="str">
        <f>IFERROR(INDEX('Docketed Comments'!I:I,MATCH(A611,'Docketed Comments'!H:H,0)),"")</f>
        <v>R3-47</v>
      </c>
      <c r="K611" s="65" t="str">
        <f t="shared" si="19"/>
        <v>✅ On Best Plan</v>
      </c>
      <c r="L611" s="65" t="str">
        <f>IFERROR(INDEX('Docketed Comments'!F:F,MATCH(A611,'Docketed Comments'!H:H,0)),"")</f>
        <v>Opposed</v>
      </c>
      <c r="M611" s="137" t="str">
        <f>IFERROR(HYPERLINK(INDEX('Docketed Comments'!G:G,MATCH(A611,'Docketed Comments'!H:H,0)),"📄 View Docket"),"")</f>
        <v>📄 View Docket</v>
      </c>
      <c r="N611" s="135" t="str">
        <f>IFERROR(INDEX('Docketed Comments'!N:N,MATCH(A611,'Docketed Comments'!H:H,0)),"")</f>
        <v>No</v>
      </c>
      <c r="O611" s="135" t="str">
        <f>IFERROR(INDEX('Docketed Comments'!L:L,MATCH(A611,'Docketed Comments'!H:H,0)),"")</f>
        <v>Yes</v>
      </c>
      <c r="P611" s="136">
        <f t="shared" si="18"/>
        <v>0</v>
      </c>
      <c r="Q611" s="140"/>
      <c r="R611" s="144">
        <v>1</v>
      </c>
    </row>
    <row r="612" spans="1:18" ht="21.95" customHeight="1">
      <c r="A612" s="71" t="s">
        <v>5290</v>
      </c>
      <c r="B612" s="69"/>
      <c r="C612" s="70"/>
      <c r="D612" s="69"/>
      <c r="E612" s="69"/>
      <c r="F612" s="65"/>
      <c r="G612" s="65" t="s">
        <v>5811</v>
      </c>
      <c r="H612" s="65" t="str">
        <f>IFERROR(INDEX('Docketed Comments'!C:C,MATCH(A612,'Docketed Comments'!H:H,0))&amp;", "&amp;INDEX('Docketed Comments'!B:B,MATCH(A612,'Docketed Comments'!H:H,0)),"")</f>
        <v>Veena, Prakriya</v>
      </c>
      <c r="I612" s="65" t="str">
        <f>IFERROR(INDEX('Docketed Comments'!D:D,MATCH(A612,'Docketed Comments'!H:H,0)),"")</f>
        <v>Phoenix</v>
      </c>
      <c r="J612" s="65" t="str">
        <f>IFERROR(INDEX('Docketed Comments'!I:I,MATCH(A612,'Docketed Comments'!H:H,0)),"")</f>
        <v>R-XS</v>
      </c>
      <c r="K612" s="65" t="str">
        <f t="shared" si="19"/>
        <v>✅ On Best Plan</v>
      </c>
      <c r="L612" s="65" t="str">
        <f>IFERROR(INDEX('Docketed Comments'!F:F,MATCH(A612,'Docketed Comments'!H:H,0)),"")</f>
        <v>Unaffordable</v>
      </c>
      <c r="M612" s="137" t="str">
        <f>IFERROR(HYPERLINK(INDEX('Docketed Comments'!G:G,MATCH(A612,'Docketed Comments'!H:H,0)),"📄 View Docket"),"")</f>
        <v>📄 View Docket</v>
      </c>
      <c r="N612" s="135" t="str">
        <f>IFERROR(INDEX('Docketed Comments'!N:N,MATCH(A612,'Docketed Comments'!H:H,0)),"")</f>
        <v>No</v>
      </c>
      <c r="O612" s="135" t="str">
        <f>IFERROR(INDEX('Docketed Comments'!L:L,MATCH(A612,'Docketed Comments'!H:H,0)),"")</f>
        <v>Yes</v>
      </c>
      <c r="P612" s="136">
        <f t="shared" si="18"/>
        <v>0</v>
      </c>
      <c r="Q612" s="140"/>
      <c r="R612" s="144">
        <v>1</v>
      </c>
    </row>
    <row r="613" spans="1:18" ht="21.95" customHeight="1">
      <c r="A613" s="71" t="s">
        <v>2141</v>
      </c>
      <c r="B613" s="69" t="s">
        <v>4887</v>
      </c>
      <c r="C613" s="70">
        <v>46074</v>
      </c>
      <c r="D613" s="69" t="s">
        <v>4888</v>
      </c>
      <c r="E613" s="69"/>
      <c r="F613" s="65" t="s">
        <v>4938</v>
      </c>
      <c r="G613" s="65"/>
      <c r="H613" s="65" t="str">
        <f>IFERROR(INDEX('Docketed Comments'!C:C,MATCH(A613,'Docketed Comments'!H:H,0))&amp;", "&amp;INDEX('Docketed Comments'!B:B,MATCH(A613,'Docketed Comments'!H:H,0)),"")</f>
        <v>Cecilia, Funk</v>
      </c>
      <c r="I613" s="65" t="str">
        <f>IFERROR(INDEX('Docketed Comments'!D:D,MATCH(A613,'Docketed Comments'!H:H,0)),"")</f>
        <v>Surprise</v>
      </c>
      <c r="J613" s="65" t="str">
        <f>IFERROR(INDEX('Docketed Comments'!I:I,MATCH(A613,'Docketed Comments'!H:H,0)),"")</f>
        <v>RCPw/RTOUE47</v>
      </c>
      <c r="K613" s="65" t="str">
        <f t="shared" si="19"/>
        <v>✅ On Best Plan</v>
      </c>
      <c r="L613" s="65" t="str">
        <f>IFERROR(INDEX('Docketed Comments'!F:F,MATCH(A613,'Docketed Comments'!H:H,0)),"")</f>
        <v>Form letter</v>
      </c>
      <c r="M613" s="137" t="str">
        <f>IFERROR(HYPERLINK(INDEX('Docketed Comments'!G:G,MATCH(A613,'Docketed Comments'!H:H,0)),"📄 View Docket"),"")</f>
        <v>📄 View Docket</v>
      </c>
      <c r="N613" s="135" t="str">
        <f>IFERROR(INDEX('Docketed Comments'!N:N,MATCH(A613,'Docketed Comments'!H:H,0)),"")</f>
        <v>No</v>
      </c>
      <c r="O613" s="135" t="str">
        <f>IFERROR(INDEX('Docketed Comments'!L:L,MATCH(A613,'Docketed Comments'!H:H,0)),"")</f>
        <v>Y</v>
      </c>
      <c r="P613" s="136">
        <f t="shared" si="18"/>
        <v>0</v>
      </c>
      <c r="Q613" s="140" t="s">
        <v>5809</v>
      </c>
      <c r="R613" s="144">
        <v>0</v>
      </c>
    </row>
    <row r="614" spans="1:18" ht="21.95" customHeight="1">
      <c r="A614" s="71" t="s">
        <v>2151</v>
      </c>
      <c r="B614" s="69"/>
      <c r="C614" s="70"/>
      <c r="D614" s="69"/>
      <c r="E614" s="69"/>
      <c r="F614" s="65"/>
      <c r="G614" s="65" t="s">
        <v>5811</v>
      </c>
      <c r="H614" s="65" t="str">
        <f>IFERROR(INDEX('Docketed Comments'!C:C,MATCH(A614,'Docketed Comments'!H:H,0))&amp;", "&amp;INDEX('Docketed Comments'!B:B,MATCH(A614,'Docketed Comments'!H:H,0)),"")</f>
        <v>David, Fehr</v>
      </c>
      <c r="I614" s="65" t="str">
        <f>IFERROR(INDEX('Docketed Comments'!D:D,MATCH(A614,'Docketed Comments'!H:H,0)),"")</f>
        <v>Scottsdale</v>
      </c>
      <c r="J614" s="65" t="str">
        <f>IFERROR(INDEX('Docketed Comments'!I:I,MATCH(A614,'Docketed Comments'!H:H,0)),"")</f>
        <v>R3-47</v>
      </c>
      <c r="K614" s="65" t="str">
        <f t="shared" si="19"/>
        <v>✅ On Best Plan</v>
      </c>
      <c r="L614" s="65" t="str">
        <f>IFERROR(INDEX('Docketed Comments'!F:F,MATCH(A614,'Docketed Comments'!H:H,0)),"")</f>
        <v>Unreasonably high</v>
      </c>
      <c r="M614" s="137" t="str">
        <f>IFERROR(HYPERLINK(INDEX('Docketed Comments'!G:G,MATCH(A614,'Docketed Comments'!H:H,0)),"📄 View Docket"),"")</f>
        <v>📄 View Docket</v>
      </c>
      <c r="N614" s="135" t="str">
        <f>IFERROR(INDEX('Docketed Comments'!N:N,MATCH(A614,'Docketed Comments'!H:H,0)),"")</f>
        <v>No</v>
      </c>
      <c r="O614" s="135" t="str">
        <f>IFERROR(INDEX('Docketed Comments'!L:L,MATCH(A614,'Docketed Comments'!H:H,0)),"")</f>
        <v>Yes</v>
      </c>
      <c r="P614" s="136">
        <f t="shared" si="18"/>
        <v>0</v>
      </c>
      <c r="Q614" s="140"/>
      <c r="R614" s="144">
        <v>1</v>
      </c>
    </row>
    <row r="615" spans="1:18" ht="21.95" customHeight="1">
      <c r="A615" s="71" t="s">
        <v>5291</v>
      </c>
      <c r="B615" s="69"/>
      <c r="C615" s="70"/>
      <c r="D615" s="69"/>
      <c r="E615" s="69"/>
      <c r="F615" s="65"/>
      <c r="G615" s="65" t="s">
        <v>5811</v>
      </c>
      <c r="H615" s="65" t="str">
        <f>IFERROR(INDEX('Docketed Comments'!C:C,MATCH(A615,'Docketed Comments'!H:H,0))&amp;", "&amp;INDEX('Docketed Comments'!B:B,MATCH(A615,'Docketed Comments'!H:H,0)),"")</f>
        <v>Sean, Hepner</v>
      </c>
      <c r="I615" s="65" t="str">
        <f>IFERROR(INDEX('Docketed Comments'!D:D,MATCH(A615,'Docketed Comments'!H:H,0)),"")</f>
        <v>Phoenix</v>
      </c>
      <c r="J615" s="65" t="str">
        <f>IFERROR(INDEX('Docketed Comments'!I:I,MATCH(A615,'Docketed Comments'!H:H,0)),"")</f>
        <v>R3-47</v>
      </c>
      <c r="K615" s="65" t="str">
        <f t="shared" si="19"/>
        <v>✅ On Best Plan</v>
      </c>
      <c r="L615" s="65" t="str">
        <f>IFERROR(INDEX('Docketed Comments'!F:F,MATCH(A615,'Docketed Comments'!H:H,0)),"")</f>
        <v>Supports FRM</v>
      </c>
      <c r="M615" s="137" t="str">
        <f>IFERROR(HYPERLINK(INDEX('Docketed Comments'!G:G,MATCH(A615,'Docketed Comments'!H:H,0)),"📄 View Docket"),"")</f>
        <v>📄 View Docket</v>
      </c>
      <c r="N615" s="135" t="str">
        <f>IFERROR(INDEX('Docketed Comments'!N:N,MATCH(A615,'Docketed Comments'!H:H,0)),"")</f>
        <v>No</v>
      </c>
      <c r="O615" s="135" t="str">
        <f>IFERROR(INDEX('Docketed Comments'!L:L,MATCH(A615,'Docketed Comments'!H:H,0)),"")</f>
        <v>Yes</v>
      </c>
      <c r="P615" s="136">
        <f t="shared" si="18"/>
        <v>0</v>
      </c>
      <c r="Q615" s="140"/>
      <c r="R615" s="144">
        <v>1</v>
      </c>
    </row>
    <row r="616" spans="1:18" ht="21.95" customHeight="1">
      <c r="A616" s="71" t="s">
        <v>5292</v>
      </c>
      <c r="B616" s="69"/>
      <c r="C616" s="70"/>
      <c r="D616" s="69"/>
      <c r="E616" s="69"/>
      <c r="F616" s="65"/>
      <c r="G616" s="65" t="s">
        <v>5811</v>
      </c>
      <c r="H616" s="65" t="str">
        <f>IFERROR(INDEX('Docketed Comments'!C:C,MATCH(A616,'Docketed Comments'!H:H,0))&amp;", "&amp;INDEX('Docketed Comments'!B:B,MATCH(A616,'Docketed Comments'!H:H,0)),"")</f>
        <v>Kyle, Hart</v>
      </c>
      <c r="I616" s="65" t="str">
        <f>IFERROR(INDEX('Docketed Comments'!D:D,MATCH(A616,'Docketed Comments'!H:H,0)),"")</f>
        <v>Surprise</v>
      </c>
      <c r="J616" s="65" t="str">
        <f>IFERROR(INDEX('Docketed Comments'!I:I,MATCH(A616,'Docketed Comments'!H:H,0)),"")</f>
        <v>RTOUE47</v>
      </c>
      <c r="K616" s="65" t="str">
        <f t="shared" si="19"/>
        <v>✅ On Best Plan</v>
      </c>
      <c r="L616" s="65" t="str">
        <f>IFERROR(INDEX('Docketed Comments'!F:F,MATCH(A616,'Docketed Comments'!H:H,0)),"")</f>
        <v>Form letter</v>
      </c>
      <c r="M616" s="137" t="str">
        <f>IFERROR(HYPERLINK(INDEX('Docketed Comments'!G:G,MATCH(A616,'Docketed Comments'!H:H,0)),"📄 View Docket"),"")</f>
        <v>📄 View Docket</v>
      </c>
      <c r="N616" s="135" t="str">
        <f>IFERROR(INDEX('Docketed Comments'!N:N,MATCH(A616,'Docketed Comments'!H:H,0)),"")</f>
        <v>No</v>
      </c>
      <c r="O616" s="135" t="str">
        <f>IFERROR(INDEX('Docketed Comments'!L:L,MATCH(A616,'Docketed Comments'!H:H,0)),"")</f>
        <v>Yes</v>
      </c>
      <c r="P616" s="136">
        <f t="shared" si="18"/>
        <v>0</v>
      </c>
      <c r="Q616" s="140"/>
      <c r="R616" s="144">
        <v>1</v>
      </c>
    </row>
    <row r="617" spans="1:18" ht="21.95" customHeight="1">
      <c r="A617" s="71" t="s">
        <v>5293</v>
      </c>
      <c r="B617" s="69"/>
      <c r="C617" s="70"/>
      <c r="D617" s="69"/>
      <c r="E617" s="69"/>
      <c r="F617" s="65"/>
      <c r="G617" s="65" t="s">
        <v>5811</v>
      </c>
      <c r="H617" s="65" t="str">
        <f>IFERROR(INDEX('Docketed Comments'!C:C,MATCH(A617,'Docketed Comments'!H:H,0))&amp;", "&amp;INDEX('Docketed Comments'!B:B,MATCH(A617,'Docketed Comments'!H:H,0)),"")</f>
        <v>Caitlin, Tucker</v>
      </c>
      <c r="I617" s="65" t="str">
        <f>IFERROR(INDEX('Docketed Comments'!D:D,MATCH(A617,'Docketed Comments'!H:H,0)),"")</f>
        <v>Phoenix</v>
      </c>
      <c r="J617" s="65" t="str">
        <f>IFERROR(INDEX('Docketed Comments'!I:I,MATCH(A617,'Docketed Comments'!H:H,0)),"")</f>
        <v>R-XS</v>
      </c>
      <c r="K617" s="65" t="str">
        <f t="shared" si="19"/>
        <v>✅ On Best Plan</v>
      </c>
      <c r="L617" s="65" t="str">
        <f>IFERROR(INDEX('Docketed Comments'!F:F,MATCH(A617,'Docketed Comments'!H:H,0)),"")</f>
        <v>against any increase</v>
      </c>
      <c r="M617" s="137" t="str">
        <f>IFERROR(HYPERLINK(INDEX('Docketed Comments'!G:G,MATCH(A617,'Docketed Comments'!H:H,0)),"📄 View Docket"),"")</f>
        <v>📄 View Docket</v>
      </c>
      <c r="N617" s="135" t="str">
        <f>IFERROR(INDEX('Docketed Comments'!N:N,MATCH(A617,'Docketed Comments'!H:H,0)),"")</f>
        <v>No</v>
      </c>
      <c r="O617" s="135" t="str">
        <f>IFERROR(INDEX('Docketed Comments'!L:L,MATCH(A617,'Docketed Comments'!H:H,0)),"")</f>
        <v>Yes</v>
      </c>
      <c r="P617" s="136">
        <f t="shared" si="18"/>
        <v>0</v>
      </c>
      <c r="Q617" s="140"/>
      <c r="R617" s="144">
        <v>1</v>
      </c>
    </row>
    <row r="618" spans="1:18" ht="21.95" customHeight="1">
      <c r="A618" s="71" t="s">
        <v>5294</v>
      </c>
      <c r="B618" s="69"/>
      <c r="C618" s="70"/>
      <c r="D618" s="69"/>
      <c r="E618" s="69"/>
      <c r="F618" s="65"/>
      <c r="G618" s="65" t="s">
        <v>5811</v>
      </c>
      <c r="H618" s="65" t="str">
        <f>IFERROR(INDEX('Docketed Comments'!C:C,MATCH(A618,'Docketed Comments'!H:H,0))&amp;", "&amp;INDEX('Docketed Comments'!B:B,MATCH(A618,'Docketed Comments'!H:H,0)),"")</f>
        <v>David, Jimenez</v>
      </c>
      <c r="I618" s="65" t="str">
        <f>IFERROR(INDEX('Docketed Comments'!D:D,MATCH(A618,'Docketed Comments'!H:H,0)),"")</f>
        <v>Phoenix</v>
      </c>
      <c r="J618" s="65" t="str">
        <f>IFERROR(INDEX('Docketed Comments'!I:I,MATCH(A618,'Docketed Comments'!H:H,0)),"")</f>
        <v>R3-47</v>
      </c>
      <c r="K618" s="65" t="str">
        <f t="shared" si="19"/>
        <v>✅ On Best Plan</v>
      </c>
      <c r="L618" s="65" t="str">
        <f>IFERROR(INDEX('Docketed Comments'!F:F,MATCH(A618,'Docketed Comments'!H:H,0)),"")</f>
        <v>No more rate hikes</v>
      </c>
      <c r="M618" s="137" t="str">
        <f>IFERROR(HYPERLINK(INDEX('Docketed Comments'!G:G,MATCH(A618,'Docketed Comments'!H:H,0)),"📄 View Docket"),"")</f>
        <v>📄 View Docket</v>
      </c>
      <c r="N618" s="135" t="str">
        <f>IFERROR(INDEX('Docketed Comments'!N:N,MATCH(A618,'Docketed Comments'!H:H,0)),"")</f>
        <v>No</v>
      </c>
      <c r="O618" s="135" t="str">
        <f>IFERROR(INDEX('Docketed Comments'!L:L,MATCH(A618,'Docketed Comments'!H:H,0)),"")</f>
        <v>Yes</v>
      </c>
      <c r="P618" s="136">
        <f t="shared" si="18"/>
        <v>0</v>
      </c>
      <c r="Q618" s="140"/>
      <c r="R618" s="144">
        <v>1</v>
      </c>
    </row>
    <row r="619" spans="1:18" ht="21.95" customHeight="1">
      <c r="A619" s="71" t="s">
        <v>2193</v>
      </c>
      <c r="B619" s="69"/>
      <c r="C619" s="70"/>
      <c r="D619" s="69"/>
      <c r="E619" s="69"/>
      <c r="F619" s="65"/>
      <c r="G619" s="65" t="s">
        <v>5811</v>
      </c>
      <c r="H619" s="65" t="str">
        <f>IFERROR(INDEX('Docketed Comments'!C:C,MATCH(A619,'Docketed Comments'!H:H,0))&amp;", "&amp;INDEX('Docketed Comments'!B:B,MATCH(A619,'Docketed Comments'!H:H,0)),"")</f>
        <v>Heather, Bauer</v>
      </c>
      <c r="I619" s="65" t="str">
        <f>IFERROR(INDEX('Docketed Comments'!D:D,MATCH(A619,'Docketed Comments'!H:H,0)),"")</f>
        <v>Chandler</v>
      </c>
      <c r="J619" s="65" t="str">
        <f>IFERROR(INDEX('Docketed Comments'!I:I,MATCH(A619,'Docketed Comments'!H:H,0)),"")</f>
        <v>EPR-6w/E-12</v>
      </c>
      <c r="K619" s="65" t="str">
        <f t="shared" si="19"/>
        <v>⚠ Frozen Rate</v>
      </c>
      <c r="L619" s="65" t="str">
        <f>IFERROR(INDEX('Docketed Comments'!F:F,MATCH(A619,'Docketed Comments'!H:H,0)),"")</f>
        <v>Form letter</v>
      </c>
      <c r="M619" s="137" t="str">
        <f>IFERROR(HYPERLINK(INDEX('Docketed Comments'!G:G,MATCH(A619,'Docketed Comments'!H:H,0)),"📄 View Docket"),"")</f>
        <v>📄 View Docket</v>
      </c>
      <c r="N619" s="135" t="str">
        <f>IFERROR(INDEX('Docketed Comments'!N:N,MATCH(A619,'Docketed Comments'!H:H,0)),"")</f>
        <v>No</v>
      </c>
      <c r="O619" s="135" t="str">
        <f>IFERROR(INDEX('Docketed Comments'!L:L,MATCH(A619,'Docketed Comments'!H:H,0)),"")</f>
        <v>Frozen Rate</v>
      </c>
      <c r="P619" s="136">
        <f t="shared" si="18"/>
        <v>0</v>
      </c>
      <c r="Q619" s="140"/>
      <c r="R619" s="144">
        <v>1</v>
      </c>
    </row>
    <row r="620" spans="1:18" ht="21.95" customHeight="1">
      <c r="A620" s="71" t="s">
        <v>5295</v>
      </c>
      <c r="B620" s="69"/>
      <c r="C620" s="70"/>
      <c r="D620" s="69"/>
      <c r="E620" s="69"/>
      <c r="F620" s="65"/>
      <c r="G620" s="65" t="s">
        <v>5811</v>
      </c>
      <c r="H620" s="65" t="str">
        <f>IFERROR(INDEX('Docketed Comments'!C:C,MATCH(A620,'Docketed Comments'!H:H,0))&amp;", "&amp;INDEX('Docketed Comments'!B:B,MATCH(A620,'Docketed Comments'!H:H,0)),"")</f>
        <v xml:space="preserve">Matthew, Willer </v>
      </c>
      <c r="I620" s="65" t="str">
        <f>IFERROR(INDEX('Docketed Comments'!D:D,MATCH(A620,'Docketed Comments'!H:H,0)),"")</f>
        <v>New River</v>
      </c>
      <c r="J620" s="65" t="str">
        <f>IFERROR(INDEX('Docketed Comments'!I:I,MATCH(A620,'Docketed Comments'!H:H,0)),"")</f>
        <v>RCPw/R3-47</v>
      </c>
      <c r="K620" s="65" t="str">
        <f t="shared" si="19"/>
        <v>✅ On Best Plan</v>
      </c>
      <c r="L620" s="65" t="str">
        <f>IFERROR(INDEX('Docketed Comments'!F:F,MATCH(A620,'Docketed Comments'!H:H,0)),"")</f>
        <v>Opposed</v>
      </c>
      <c r="M620" s="137" t="str">
        <f>IFERROR(HYPERLINK(INDEX('Docketed Comments'!G:G,MATCH(A620,'Docketed Comments'!H:H,0)),"📄 View Docket"),"")</f>
        <v>📄 View Docket</v>
      </c>
      <c r="N620" s="135" t="str">
        <f>IFERROR(INDEX('Docketed Comments'!N:N,MATCH(A620,'Docketed Comments'!H:H,0)),"")</f>
        <v>No</v>
      </c>
      <c r="O620" s="135" t="str">
        <f>IFERROR(INDEX('Docketed Comments'!L:L,MATCH(A620,'Docketed Comments'!H:H,0)),"")</f>
        <v>Yes</v>
      </c>
      <c r="P620" s="136">
        <f t="shared" si="18"/>
        <v>0</v>
      </c>
      <c r="Q620" s="140"/>
      <c r="R620" s="144">
        <v>1</v>
      </c>
    </row>
    <row r="621" spans="1:18" ht="21.95" customHeight="1">
      <c r="A621" s="71" t="s">
        <v>5296</v>
      </c>
      <c r="B621" s="69"/>
      <c r="C621" s="70"/>
      <c r="D621" s="69"/>
      <c r="E621" s="69"/>
      <c r="F621" s="65"/>
      <c r="G621" s="65" t="s">
        <v>5811</v>
      </c>
      <c r="H621" s="65" t="str">
        <f>IFERROR(INDEX('Docketed Comments'!C:C,MATCH(A621,'Docketed Comments'!H:H,0))&amp;", "&amp;INDEX('Docketed Comments'!B:B,MATCH(A621,'Docketed Comments'!H:H,0)),"")</f>
        <v>Madeline, Johnston</v>
      </c>
      <c r="I621" s="65" t="str">
        <f>IFERROR(INDEX('Docketed Comments'!D:D,MATCH(A621,'Docketed Comments'!H:H,0)),"")</f>
        <v>Phoenix</v>
      </c>
      <c r="J621" s="65" t="str">
        <f>IFERROR(INDEX('Docketed Comments'!I:I,MATCH(A621,'Docketed Comments'!H:H,0)),"")</f>
        <v>R-BASIC</v>
      </c>
      <c r="K621" s="65" t="str">
        <f t="shared" si="19"/>
        <v>✅ On Best Plan</v>
      </c>
      <c r="L621" s="65" t="str">
        <f>IFERROR(INDEX('Docketed Comments'!F:F,MATCH(A621,'Docketed Comments'!H:H,0)),"")</f>
        <v>Form letter</v>
      </c>
      <c r="M621" s="137" t="str">
        <f>IFERROR(HYPERLINK(INDEX('Docketed Comments'!G:G,MATCH(A621,'Docketed Comments'!H:H,0)),"📄 View Docket"),"")</f>
        <v>📄 View Docket</v>
      </c>
      <c r="N621" s="135" t="str">
        <f>IFERROR(INDEX('Docketed Comments'!N:N,MATCH(A621,'Docketed Comments'!H:H,0)),"")</f>
        <v>No</v>
      </c>
      <c r="O621" s="135" t="str">
        <f>IFERROR(INDEX('Docketed Comments'!L:L,MATCH(A621,'Docketed Comments'!H:H,0)),"")</f>
        <v>Yes</v>
      </c>
      <c r="P621" s="136">
        <f t="shared" si="18"/>
        <v>0</v>
      </c>
      <c r="Q621" s="140"/>
      <c r="R621" s="144">
        <v>1</v>
      </c>
    </row>
    <row r="622" spans="1:18" ht="21.95" customHeight="1">
      <c r="A622" s="71" t="s">
        <v>5297</v>
      </c>
      <c r="B622" s="69"/>
      <c r="C622" s="70"/>
      <c r="D622" s="69"/>
      <c r="E622" s="69"/>
      <c r="F622" s="65"/>
      <c r="G622" s="65" t="s">
        <v>5811</v>
      </c>
      <c r="H622" s="65" t="str">
        <f>IFERROR(INDEX('Docketed Comments'!C:C,MATCH(A622,'Docketed Comments'!H:H,0))&amp;", "&amp;INDEX('Docketed Comments'!B:B,MATCH(A622,'Docketed Comments'!H:H,0)),"")</f>
        <v>Margaret, Valeev</v>
      </c>
      <c r="I622" s="65" t="str">
        <f>IFERROR(INDEX('Docketed Comments'!D:D,MATCH(A622,'Docketed Comments'!H:H,0)),"")</f>
        <v>Phoenix</v>
      </c>
      <c r="J622" s="65" t="str">
        <f>IFERROR(INDEX('Docketed Comments'!I:I,MATCH(A622,'Docketed Comments'!H:H,0)),"")</f>
        <v>R-XS</v>
      </c>
      <c r="K622" s="65" t="str">
        <f t="shared" si="19"/>
        <v>✅ On Best Plan</v>
      </c>
      <c r="L622" s="65" t="str">
        <f>IFERROR(INDEX('Docketed Comments'!F:F,MATCH(A622,'Docketed Comments'!H:H,0)),"")</f>
        <v>Furious</v>
      </c>
      <c r="M622" s="137" t="str">
        <f>IFERROR(HYPERLINK(INDEX('Docketed Comments'!G:G,MATCH(A622,'Docketed Comments'!H:H,0)),"📄 View Docket"),"")</f>
        <v>📄 View Docket</v>
      </c>
      <c r="N622" s="135" t="str">
        <f>IFERROR(INDEX('Docketed Comments'!N:N,MATCH(A622,'Docketed Comments'!H:H,0)),"")</f>
        <v>No</v>
      </c>
      <c r="O622" s="135" t="str">
        <f>IFERROR(INDEX('Docketed Comments'!L:L,MATCH(A622,'Docketed Comments'!H:H,0)),"")</f>
        <v>Yes</v>
      </c>
      <c r="P622" s="136">
        <f t="shared" si="18"/>
        <v>0</v>
      </c>
      <c r="Q622" s="140"/>
      <c r="R622" s="144">
        <v>1</v>
      </c>
    </row>
    <row r="623" spans="1:18" ht="21.95" customHeight="1">
      <c r="A623" s="71" t="s">
        <v>5298</v>
      </c>
      <c r="B623" s="69"/>
      <c r="C623" s="70"/>
      <c r="D623" s="69"/>
      <c r="E623" s="69"/>
      <c r="F623" s="65"/>
      <c r="G623" s="65" t="s">
        <v>5811</v>
      </c>
      <c r="H623" s="65" t="str">
        <f>IFERROR(INDEX('Docketed Comments'!C:C,MATCH(A623,'Docketed Comments'!H:H,0))&amp;", "&amp;INDEX('Docketed Comments'!B:B,MATCH(A623,'Docketed Comments'!H:H,0)),"")</f>
        <v>Darla, Hareza</v>
      </c>
      <c r="I623" s="65" t="str">
        <f>IFERROR(INDEX('Docketed Comments'!D:D,MATCH(A623,'Docketed Comments'!H:H,0)),"")</f>
        <v>Peoria</v>
      </c>
      <c r="J623" s="65" t="str">
        <f>IFERROR(INDEX('Docketed Comments'!I:I,MATCH(A623,'Docketed Comments'!H:H,0)),"")</f>
        <v>R3-47</v>
      </c>
      <c r="K623" s="65" t="str">
        <f t="shared" si="19"/>
        <v>✅ On Best Plan</v>
      </c>
      <c r="L623" s="65" t="str">
        <f>IFERROR(INDEX('Docketed Comments'!F:F,MATCH(A623,'Docketed Comments'!H:H,0)),"")</f>
        <v>Stop being so greedy</v>
      </c>
      <c r="M623" s="137" t="str">
        <f>IFERROR(HYPERLINK(INDEX('Docketed Comments'!G:G,MATCH(A623,'Docketed Comments'!H:H,0)),"📄 View Docket"),"")</f>
        <v>📄 View Docket</v>
      </c>
      <c r="N623" s="135" t="str">
        <f>IFERROR(INDEX('Docketed Comments'!N:N,MATCH(A623,'Docketed Comments'!H:H,0)),"")</f>
        <v>No</v>
      </c>
      <c r="O623" s="135" t="str">
        <f>IFERROR(INDEX('Docketed Comments'!L:L,MATCH(A623,'Docketed Comments'!H:H,0)),"")</f>
        <v>Yes</v>
      </c>
      <c r="P623" s="136">
        <f t="shared" si="18"/>
        <v>0</v>
      </c>
      <c r="Q623" s="140"/>
      <c r="R623" s="144">
        <v>1</v>
      </c>
    </row>
    <row r="624" spans="1:18" ht="21.95" customHeight="1">
      <c r="A624" s="71" t="s">
        <v>5299</v>
      </c>
      <c r="B624" s="69"/>
      <c r="C624" s="70"/>
      <c r="D624" s="69"/>
      <c r="E624" s="69"/>
      <c r="F624" s="65"/>
      <c r="G624" s="65" t="s">
        <v>5811</v>
      </c>
      <c r="H624" s="65" t="str">
        <f>IFERROR(INDEX('Docketed Comments'!C:C,MATCH(A624,'Docketed Comments'!H:H,0))&amp;", "&amp;INDEX('Docketed Comments'!B:B,MATCH(A624,'Docketed Comments'!H:H,0)),"")</f>
        <v>Aaron, Downey</v>
      </c>
      <c r="I624" s="65" t="str">
        <f>IFERROR(INDEX('Docketed Comments'!D:D,MATCH(A624,'Docketed Comments'!H:H,0)),"")</f>
        <v>Goodyear</v>
      </c>
      <c r="J624" s="65" t="str">
        <f>IFERROR(INDEX('Docketed Comments'!I:I,MATCH(A624,'Docketed Comments'!H:H,0)),"")</f>
        <v>R3-47</v>
      </c>
      <c r="K624" s="65" t="str">
        <f t="shared" si="19"/>
        <v>✅ On Best Plan</v>
      </c>
      <c r="L624" s="65" t="str">
        <f>IFERROR(INDEX('Docketed Comments'!F:F,MATCH(A624,'Docketed Comments'!H:H,0)),"")</f>
        <v>Enough already</v>
      </c>
      <c r="M624" s="137" t="str">
        <f>IFERROR(HYPERLINK(INDEX('Docketed Comments'!G:G,MATCH(A624,'Docketed Comments'!H:H,0)),"📄 View Docket"),"")</f>
        <v>📄 View Docket</v>
      </c>
      <c r="N624" s="135" t="str">
        <f>IFERROR(INDEX('Docketed Comments'!N:N,MATCH(A624,'Docketed Comments'!H:H,0)),"")</f>
        <v>No</v>
      </c>
      <c r="O624" s="135" t="str">
        <f>IFERROR(INDEX('Docketed Comments'!L:L,MATCH(A624,'Docketed Comments'!H:H,0)),"")</f>
        <v>Yes</v>
      </c>
      <c r="P624" s="136">
        <f t="shared" si="18"/>
        <v>0</v>
      </c>
      <c r="Q624" s="140"/>
      <c r="R624" s="144">
        <v>1</v>
      </c>
    </row>
    <row r="625" spans="1:18" ht="21.95" customHeight="1">
      <c r="A625" s="71" t="s">
        <v>5300</v>
      </c>
      <c r="B625" s="69"/>
      <c r="C625" s="70"/>
      <c r="D625" s="69"/>
      <c r="E625" s="69"/>
      <c r="F625" s="65"/>
      <c r="G625" s="65" t="s">
        <v>5811</v>
      </c>
      <c r="H625" s="65" t="str">
        <f>IFERROR(INDEX('Docketed Comments'!C:C,MATCH(A625,'Docketed Comments'!H:H,0))&amp;", "&amp;INDEX('Docketed Comments'!B:B,MATCH(A625,'Docketed Comments'!H:H,0)),"")</f>
        <v>Jeff , Handelman</v>
      </c>
      <c r="I625" s="65" t="str">
        <f>IFERROR(INDEX('Docketed Comments'!D:D,MATCH(A625,'Docketed Comments'!H:H,0)),"")</f>
        <v>Carefree</v>
      </c>
      <c r="J625" s="65" t="str">
        <f>IFERROR(INDEX('Docketed Comments'!I:I,MATCH(A625,'Docketed Comments'!H:H,0)),"")</f>
        <v>R3-47</v>
      </c>
      <c r="K625" s="65" t="str">
        <f t="shared" si="19"/>
        <v>✅ On Best Plan</v>
      </c>
      <c r="L625" s="65" t="str">
        <f>IFERROR(INDEX('Docketed Comments'!F:F,MATCH(A625,'Docketed Comments'!H:H,0)),"")</f>
        <v>Opposed, gouging customers</v>
      </c>
      <c r="M625" s="137" t="str">
        <f>IFERROR(HYPERLINK(INDEX('Docketed Comments'!G:G,MATCH(A625,'Docketed Comments'!H:H,0)),"📄 View Docket"),"")</f>
        <v>📄 View Docket</v>
      </c>
      <c r="N625" s="135" t="str">
        <f>IFERROR(INDEX('Docketed Comments'!N:N,MATCH(A625,'Docketed Comments'!H:H,0)),"")</f>
        <v>No</v>
      </c>
      <c r="O625" s="135" t="str">
        <f>IFERROR(INDEX('Docketed Comments'!L:L,MATCH(A625,'Docketed Comments'!H:H,0)),"")</f>
        <v>Yes</v>
      </c>
      <c r="P625" s="136">
        <f t="shared" si="18"/>
        <v>0</v>
      </c>
      <c r="Q625" s="140"/>
      <c r="R625" s="144">
        <v>1</v>
      </c>
    </row>
    <row r="626" spans="1:18" ht="21.95" customHeight="1">
      <c r="A626" s="71" t="s">
        <v>5301</v>
      </c>
      <c r="B626" s="69"/>
      <c r="C626" s="70"/>
      <c r="D626" s="69"/>
      <c r="E626" s="69"/>
      <c r="F626" s="65"/>
      <c r="G626" s="65" t="s">
        <v>5811</v>
      </c>
      <c r="H626" s="65" t="str">
        <f>IFERROR(INDEX('Docketed Comments'!C:C,MATCH(A626,'Docketed Comments'!H:H,0))&amp;", "&amp;INDEX('Docketed Comments'!B:B,MATCH(A626,'Docketed Comments'!H:H,0)),"")</f>
        <v>Selvakumar, Palaniraj</v>
      </c>
      <c r="I626" s="65" t="str">
        <f>IFERROR(INDEX('Docketed Comments'!D:D,MATCH(A626,'Docketed Comments'!H:H,0)),"")</f>
        <v>Peoria</v>
      </c>
      <c r="J626" s="65" t="str">
        <f>IFERROR(INDEX('Docketed Comments'!I:I,MATCH(A626,'Docketed Comments'!H:H,0)),"")</f>
        <v>R-XS</v>
      </c>
      <c r="K626" s="65" t="str">
        <f t="shared" si="19"/>
        <v>✅ On Best Plan</v>
      </c>
      <c r="L626" s="65" t="str">
        <f>IFERROR(INDEX('Docketed Comments'!F:F,MATCH(A626,'Docketed Comments'!H:H,0)),"")</f>
        <v>Opposed</v>
      </c>
      <c r="M626" s="137" t="str">
        <f>IFERROR(HYPERLINK(INDEX('Docketed Comments'!G:G,MATCH(A626,'Docketed Comments'!H:H,0)),"📄 View Docket"),"")</f>
        <v>📄 View Docket</v>
      </c>
      <c r="N626" s="135" t="str">
        <f>IFERROR(INDEX('Docketed Comments'!N:N,MATCH(A626,'Docketed Comments'!H:H,0)),"")</f>
        <v>No</v>
      </c>
      <c r="O626" s="135" t="str">
        <f>IFERROR(INDEX('Docketed Comments'!L:L,MATCH(A626,'Docketed Comments'!H:H,0)),"")</f>
        <v>Yes</v>
      </c>
      <c r="P626" s="136">
        <f t="shared" si="18"/>
        <v>0</v>
      </c>
      <c r="Q626" s="140"/>
      <c r="R626" s="144">
        <v>1</v>
      </c>
    </row>
    <row r="627" spans="1:18" ht="21.95" customHeight="1">
      <c r="A627" s="71" t="s">
        <v>5302</v>
      </c>
      <c r="B627" s="69"/>
      <c r="C627" s="70"/>
      <c r="D627" s="69"/>
      <c r="E627" s="69"/>
      <c r="F627" s="65"/>
      <c r="G627" s="65" t="s">
        <v>5811</v>
      </c>
      <c r="H627" s="65" t="str">
        <f>IFERROR(INDEX('Docketed Comments'!C:C,MATCH(A627,'Docketed Comments'!H:H,0))&amp;", "&amp;INDEX('Docketed Comments'!B:B,MATCH(A627,'Docketed Comments'!H:H,0)),"")</f>
        <v>Lucie, Becus</v>
      </c>
      <c r="I627" s="65" t="str">
        <f>IFERROR(INDEX('Docketed Comments'!D:D,MATCH(A627,'Docketed Comments'!H:H,0)),"")</f>
        <v>Surprise</v>
      </c>
      <c r="J627" s="65" t="str">
        <f>IFERROR(INDEX('Docketed Comments'!I:I,MATCH(A627,'Docketed Comments'!H:H,0)),"")</f>
        <v>RCPw/R3-47</v>
      </c>
      <c r="K627" s="65" t="str">
        <f t="shared" si="19"/>
        <v>✅ On Best Plan</v>
      </c>
      <c r="L627" s="65" t="str">
        <f>IFERROR(INDEX('Docketed Comments'!F:F,MATCH(A627,'Docketed Comments'!H:H,0)),"")</f>
        <v>Form letter</v>
      </c>
      <c r="M627" s="137" t="str">
        <f>IFERROR(HYPERLINK(INDEX('Docketed Comments'!G:G,MATCH(A627,'Docketed Comments'!H:H,0)),"📄 View Docket"),"")</f>
        <v>📄 View Docket</v>
      </c>
      <c r="N627" s="135" t="str">
        <f>IFERROR(INDEX('Docketed Comments'!N:N,MATCH(A627,'Docketed Comments'!H:H,0)),"")</f>
        <v>No</v>
      </c>
      <c r="O627" s="135" t="str">
        <f>IFERROR(INDEX('Docketed Comments'!L:L,MATCH(A627,'Docketed Comments'!H:H,0)),"")</f>
        <v>Yes</v>
      </c>
      <c r="P627" s="136">
        <f t="shared" si="18"/>
        <v>0</v>
      </c>
      <c r="Q627" s="140"/>
      <c r="R627" s="144">
        <v>1</v>
      </c>
    </row>
    <row r="628" spans="1:18" ht="21.95" customHeight="1">
      <c r="A628" s="71" t="s">
        <v>5303</v>
      </c>
      <c r="B628" s="69"/>
      <c r="C628" s="70"/>
      <c r="D628" s="69"/>
      <c r="E628" s="69"/>
      <c r="F628" s="65"/>
      <c r="G628" s="65" t="s">
        <v>5811</v>
      </c>
      <c r="H628" s="65" t="str">
        <f>IFERROR(INDEX('Docketed Comments'!C:C,MATCH(A628,'Docketed Comments'!H:H,0))&amp;", "&amp;INDEX('Docketed Comments'!B:B,MATCH(A628,'Docketed Comments'!H:H,0)),"")</f>
        <v>Julie, Zausmer</v>
      </c>
      <c r="I628" s="65" t="str">
        <f>IFERROR(INDEX('Docketed Comments'!D:D,MATCH(A628,'Docketed Comments'!H:H,0)),"")</f>
        <v>Scottsdale</v>
      </c>
      <c r="J628" s="65" t="str">
        <f>IFERROR(INDEX('Docketed Comments'!I:I,MATCH(A628,'Docketed Comments'!H:H,0)),"")</f>
        <v>RTOUE47</v>
      </c>
      <c r="K628" s="65" t="str">
        <f t="shared" si="19"/>
        <v>✅ On Best Plan</v>
      </c>
      <c r="L628" s="65" t="str">
        <f>IFERROR(INDEX('Docketed Comments'!F:F,MATCH(A628,'Docketed Comments'!H:H,0)),"")</f>
        <v>Form letter</v>
      </c>
      <c r="M628" s="137" t="str">
        <f>IFERROR(HYPERLINK(INDEX('Docketed Comments'!G:G,MATCH(A628,'Docketed Comments'!H:H,0)),"📄 View Docket"),"")</f>
        <v>📄 View Docket</v>
      </c>
      <c r="N628" s="135" t="str">
        <f>IFERROR(INDEX('Docketed Comments'!N:N,MATCH(A628,'Docketed Comments'!H:H,0)),"")</f>
        <v>No</v>
      </c>
      <c r="O628" s="135" t="str">
        <f>IFERROR(INDEX('Docketed Comments'!L:L,MATCH(A628,'Docketed Comments'!H:H,0)),"")</f>
        <v>Yes</v>
      </c>
      <c r="P628" s="136">
        <f t="shared" si="18"/>
        <v>0</v>
      </c>
      <c r="Q628" s="140"/>
      <c r="R628" s="144">
        <v>1</v>
      </c>
    </row>
    <row r="629" spans="1:18" ht="21.95" customHeight="1">
      <c r="A629" s="71" t="s">
        <v>5304</v>
      </c>
      <c r="B629" s="69"/>
      <c r="C629" s="70"/>
      <c r="D629" s="69"/>
      <c r="E629" s="69"/>
      <c r="F629" s="65"/>
      <c r="G629" s="65" t="s">
        <v>5811</v>
      </c>
      <c r="H629" s="65" t="str">
        <f>IFERROR(INDEX('Docketed Comments'!C:C,MATCH(A629,'Docketed Comments'!H:H,0))&amp;", "&amp;INDEX('Docketed Comments'!B:B,MATCH(A629,'Docketed Comments'!H:H,0)),"")</f>
        <v>Jessica, Terry</v>
      </c>
      <c r="I629" s="65" t="str">
        <f>IFERROR(INDEX('Docketed Comments'!D:D,MATCH(A629,'Docketed Comments'!H:H,0)),"")</f>
        <v>Flagstaff</v>
      </c>
      <c r="J629" s="65" t="str">
        <f>IFERROR(INDEX('Docketed Comments'!I:I,MATCH(A629,'Docketed Comments'!H:H,0)),"")</f>
        <v>R-XS</v>
      </c>
      <c r="K629" s="65" t="str">
        <f t="shared" si="19"/>
        <v>✅ On Best Plan</v>
      </c>
      <c r="L629" s="65" t="str">
        <f>IFERROR(INDEX('Docketed Comments'!F:F,MATCH(A629,'Docketed Comments'!H:H,0)),"")</f>
        <v>Form letter</v>
      </c>
      <c r="M629" s="137" t="str">
        <f>IFERROR(HYPERLINK(INDEX('Docketed Comments'!G:G,MATCH(A629,'Docketed Comments'!H:H,0)),"📄 View Docket"),"")</f>
        <v>📄 View Docket</v>
      </c>
      <c r="N629" s="135" t="str">
        <f>IFERROR(INDEX('Docketed Comments'!N:N,MATCH(A629,'Docketed Comments'!H:H,0)),"")</f>
        <v>No</v>
      </c>
      <c r="O629" s="135" t="str">
        <f>IFERROR(INDEX('Docketed Comments'!L:L,MATCH(A629,'Docketed Comments'!H:H,0)),"")</f>
        <v>Yes</v>
      </c>
      <c r="P629" s="136">
        <f t="shared" si="18"/>
        <v>0</v>
      </c>
      <c r="Q629" s="140"/>
      <c r="R629" s="144">
        <v>1</v>
      </c>
    </row>
    <row r="630" spans="1:18" ht="21.95" customHeight="1">
      <c r="A630" s="71" t="s">
        <v>5305</v>
      </c>
      <c r="B630" s="69"/>
      <c r="C630" s="70"/>
      <c r="D630" s="69"/>
      <c r="E630" s="69"/>
      <c r="F630" s="65"/>
      <c r="G630" s="65" t="s">
        <v>5811</v>
      </c>
      <c r="H630" s="65" t="str">
        <f>IFERROR(INDEX('Docketed Comments'!C:C,MATCH(A630,'Docketed Comments'!H:H,0))&amp;", "&amp;INDEX('Docketed Comments'!B:B,MATCH(A630,'Docketed Comments'!H:H,0)),"")</f>
        <v>Konrad, Taft</v>
      </c>
      <c r="I630" s="65" t="str">
        <f>IFERROR(INDEX('Docketed Comments'!D:D,MATCH(A630,'Docketed Comments'!H:H,0)),"")</f>
        <v>Surprise</v>
      </c>
      <c r="J630" s="65" t="str">
        <f>IFERROR(INDEX('Docketed Comments'!I:I,MATCH(A630,'Docketed Comments'!H:H,0)),"")</f>
        <v>R-BASIC</v>
      </c>
      <c r="K630" s="65" t="str">
        <f t="shared" si="19"/>
        <v>✅ On Best Plan</v>
      </c>
      <c r="L630" s="65" t="str">
        <f>IFERROR(INDEX('Docketed Comments'!F:F,MATCH(A630,'Docketed Comments'!H:H,0)),"")</f>
        <v>Data centers coming in and nothing to with energy use</v>
      </c>
      <c r="M630" s="137" t="str">
        <f>IFERROR(HYPERLINK(INDEX('Docketed Comments'!G:G,MATCH(A630,'Docketed Comments'!H:H,0)),"📄 View Docket"),"")</f>
        <v>📄 View Docket</v>
      </c>
      <c r="N630" s="135" t="str">
        <f>IFERROR(INDEX('Docketed Comments'!N:N,MATCH(A630,'Docketed Comments'!H:H,0)),"")</f>
        <v>No</v>
      </c>
      <c r="O630" s="135" t="str">
        <f>IFERROR(INDEX('Docketed Comments'!L:L,MATCH(A630,'Docketed Comments'!H:H,0)),"")</f>
        <v>Yes</v>
      </c>
      <c r="P630" s="136">
        <f t="shared" si="18"/>
        <v>0</v>
      </c>
      <c r="Q630" s="140"/>
      <c r="R630" s="144">
        <v>1</v>
      </c>
    </row>
    <row r="631" spans="1:18" ht="21.95" customHeight="1">
      <c r="A631" s="71" t="s">
        <v>2252</v>
      </c>
      <c r="B631" s="69"/>
      <c r="C631" s="70"/>
      <c r="D631" s="69"/>
      <c r="E631" s="69"/>
      <c r="F631" s="65"/>
      <c r="G631" s="65" t="s">
        <v>5811</v>
      </c>
      <c r="H631" s="65" t="str">
        <f>IFERROR(INDEX('Docketed Comments'!C:C,MATCH(A631,'Docketed Comments'!H:H,0))&amp;", "&amp;INDEX('Docketed Comments'!B:B,MATCH(A631,'Docketed Comments'!H:H,0)),"")</f>
        <v>Rohit, Reddy</v>
      </c>
      <c r="I631" s="65" t="str">
        <f>IFERROR(INDEX('Docketed Comments'!D:D,MATCH(A631,'Docketed Comments'!H:H,0)),"")</f>
        <v>Peoria</v>
      </c>
      <c r="J631" s="65" t="str">
        <f>IFERROR(INDEX('Docketed Comments'!I:I,MATCH(A631,'Docketed Comments'!H:H,0)),"")</f>
        <v>R-XS</v>
      </c>
      <c r="K631" s="65" t="str">
        <f t="shared" si="19"/>
        <v>✅ On Best Plan</v>
      </c>
      <c r="L631" s="65" t="str">
        <f>IFERROR(INDEX('Docketed Comments'!F:F,MATCH(A631,'Docketed Comments'!H:H,0)),"")</f>
        <v>Cannot afford</v>
      </c>
      <c r="M631" s="137" t="str">
        <f>IFERROR(HYPERLINK(INDEX('Docketed Comments'!G:G,MATCH(A631,'Docketed Comments'!H:H,0)),"📄 View Docket"),"")</f>
        <v>📄 View Docket</v>
      </c>
      <c r="N631" s="135" t="str">
        <f>IFERROR(INDEX('Docketed Comments'!N:N,MATCH(A631,'Docketed Comments'!H:H,0)),"")</f>
        <v>No</v>
      </c>
      <c r="O631" s="135" t="str">
        <f>IFERROR(INDEX('Docketed Comments'!L:L,MATCH(A631,'Docketed Comments'!H:H,0)),"")</f>
        <v>Yes</v>
      </c>
      <c r="P631" s="136">
        <f t="shared" si="18"/>
        <v>0</v>
      </c>
      <c r="Q631" s="140"/>
      <c r="R631" s="144">
        <v>1</v>
      </c>
    </row>
    <row r="632" spans="1:18" ht="21.95" customHeight="1">
      <c r="A632" s="71" t="s">
        <v>5306</v>
      </c>
      <c r="B632" s="69"/>
      <c r="C632" s="70"/>
      <c r="D632" s="69"/>
      <c r="E632" s="69"/>
      <c r="F632" s="65"/>
      <c r="G632" s="65" t="s">
        <v>5811</v>
      </c>
      <c r="H632" s="65" t="str">
        <f>IFERROR(INDEX('Docketed Comments'!C:C,MATCH(A632,'Docketed Comments'!H:H,0))&amp;", "&amp;INDEX('Docketed Comments'!B:B,MATCH(A632,'Docketed Comments'!H:H,0)),"")</f>
        <v>Claire, Stout</v>
      </c>
      <c r="I632" s="65" t="str">
        <f>IFERROR(INDEX('Docketed Comments'!D:D,MATCH(A632,'Docketed Comments'!H:H,0)),"")</f>
        <v>Grand Canyon</v>
      </c>
      <c r="J632" s="65" t="str">
        <f>IFERROR(INDEX('Docketed Comments'!I:I,MATCH(A632,'Docketed Comments'!H:H,0)),"")</f>
        <v>R-XS</v>
      </c>
      <c r="K632" s="65" t="str">
        <f t="shared" si="19"/>
        <v>✅ On Best Plan</v>
      </c>
      <c r="L632" s="65" t="str">
        <f>IFERROR(INDEX('Docketed Comments'!F:F,MATCH(A632,'Docketed Comments'!H:H,0)),"")</f>
        <v>Form letter</v>
      </c>
      <c r="M632" s="137" t="str">
        <f>IFERROR(HYPERLINK(INDEX('Docketed Comments'!G:G,MATCH(A632,'Docketed Comments'!H:H,0)),"📄 View Docket"),"")</f>
        <v>📄 View Docket</v>
      </c>
      <c r="N632" s="135" t="str">
        <f>IFERROR(INDEX('Docketed Comments'!N:N,MATCH(A632,'Docketed Comments'!H:H,0)),"")</f>
        <v>No</v>
      </c>
      <c r="O632" s="135" t="str">
        <f>IFERROR(INDEX('Docketed Comments'!L:L,MATCH(A632,'Docketed Comments'!H:H,0)),"")</f>
        <v>Yes</v>
      </c>
      <c r="P632" s="136">
        <f t="shared" si="18"/>
        <v>0</v>
      </c>
      <c r="Q632" s="140"/>
      <c r="R632" s="144">
        <v>1</v>
      </c>
    </row>
    <row r="633" spans="1:18" ht="21.95" customHeight="1">
      <c r="A633" s="71" t="s">
        <v>4601</v>
      </c>
      <c r="B633" s="69"/>
      <c r="C633" s="70"/>
      <c r="D633" s="69"/>
      <c r="E633" s="69"/>
      <c r="F633" s="65"/>
      <c r="G633" s="65" t="s">
        <v>5811</v>
      </c>
      <c r="H633" s="65" t="str">
        <f>IFERROR(INDEX('Docketed Comments'!C:C,MATCH(A633,'Docketed Comments'!H:H,0))&amp;", "&amp;INDEX('Docketed Comments'!B:B,MATCH(A633,'Docketed Comments'!H:H,0)),"")</f>
        <v>Andrew, Lenick</v>
      </c>
      <c r="I633" s="65" t="str">
        <f>IFERROR(INDEX('Docketed Comments'!D:D,MATCH(A633,'Docketed Comments'!H:H,0)),"")</f>
        <v>Phoenix</v>
      </c>
      <c r="J633" s="65" t="str">
        <f>IFERROR(INDEX('Docketed Comments'!I:I,MATCH(A633,'Docketed Comments'!H:H,0)),"")</f>
        <v>R-2</v>
      </c>
      <c r="K633" s="65" t="str">
        <f t="shared" si="19"/>
        <v>⚠ Frozen Rate</v>
      </c>
      <c r="L633" s="65" t="str">
        <f>IFERROR(INDEX('Docketed Comments'!F:F,MATCH(A633,'Docketed Comments'!H:H,0)),"")</f>
        <v>Form letter</v>
      </c>
      <c r="M633" s="137" t="str">
        <f>IFERROR(HYPERLINK(INDEX('Docketed Comments'!G:G,MATCH(A633,'Docketed Comments'!H:H,0)),"📄 View Docket"),"")</f>
        <v>📄 View Docket</v>
      </c>
      <c r="N633" s="135" t="str">
        <f>IFERROR(INDEX('Docketed Comments'!N:N,MATCH(A633,'Docketed Comments'!H:H,0)),"")</f>
        <v>No</v>
      </c>
      <c r="O633" s="135" t="str">
        <f>IFERROR(INDEX('Docketed Comments'!L:L,MATCH(A633,'Docketed Comments'!H:H,0)),"")</f>
        <v>Frozen Rate</v>
      </c>
      <c r="P633" s="136">
        <f t="shared" si="18"/>
        <v>0</v>
      </c>
      <c r="Q633" s="140"/>
      <c r="R633" s="144">
        <v>1</v>
      </c>
    </row>
    <row r="634" spans="1:18" ht="21.95" customHeight="1">
      <c r="A634" s="71" t="s">
        <v>5307</v>
      </c>
      <c r="B634" s="69"/>
      <c r="C634" s="70"/>
      <c r="D634" s="69"/>
      <c r="E634" s="69"/>
      <c r="F634" s="65"/>
      <c r="G634" s="65" t="s">
        <v>5811</v>
      </c>
      <c r="H634" s="65" t="str">
        <f>IFERROR(INDEX('Docketed Comments'!C:C,MATCH(A634,'Docketed Comments'!H:H,0))&amp;", "&amp;INDEX('Docketed Comments'!B:B,MATCH(A634,'Docketed Comments'!H:H,0)),"")</f>
        <v>Derek, Campbell</v>
      </c>
      <c r="I634" s="65" t="str">
        <f>IFERROR(INDEX('Docketed Comments'!D:D,MATCH(A634,'Docketed Comments'!H:H,0)),"")</f>
        <v>Phoenix</v>
      </c>
      <c r="J634" s="65" t="str">
        <f>IFERROR(INDEX('Docketed Comments'!I:I,MATCH(A634,'Docketed Comments'!H:H,0)),"")</f>
        <v>R-BASIC</v>
      </c>
      <c r="K634" s="65" t="str">
        <f t="shared" si="19"/>
        <v>✅ On Best Plan</v>
      </c>
      <c r="L634" s="65" t="str">
        <f>IFERROR(INDEX('Docketed Comments'!F:F,MATCH(A634,'Docketed Comments'!H:H,0)),"")</f>
        <v>Form letter</v>
      </c>
      <c r="M634" s="137" t="str">
        <f>IFERROR(HYPERLINK(INDEX('Docketed Comments'!G:G,MATCH(A634,'Docketed Comments'!H:H,0)),"📄 View Docket"),"")</f>
        <v>📄 View Docket</v>
      </c>
      <c r="N634" s="135" t="str">
        <f>IFERROR(INDEX('Docketed Comments'!N:N,MATCH(A634,'Docketed Comments'!H:H,0)),"")</f>
        <v>No</v>
      </c>
      <c r="O634" s="135" t="str">
        <f>IFERROR(INDEX('Docketed Comments'!L:L,MATCH(A634,'Docketed Comments'!H:H,0)),"")</f>
        <v>Yes</v>
      </c>
      <c r="P634" s="136">
        <f t="shared" si="18"/>
        <v>0</v>
      </c>
      <c r="Q634" s="140"/>
      <c r="R634" s="144">
        <v>1</v>
      </c>
    </row>
    <row r="635" spans="1:18" ht="21.95" customHeight="1">
      <c r="A635" s="71" t="s">
        <v>5308</v>
      </c>
      <c r="B635" s="69"/>
      <c r="C635" s="70"/>
      <c r="D635" s="69"/>
      <c r="E635" s="69"/>
      <c r="F635" s="65"/>
      <c r="G635" s="65" t="s">
        <v>5811</v>
      </c>
      <c r="H635" s="65" t="str">
        <f>IFERROR(INDEX('Docketed Comments'!C:C,MATCH(A635,'Docketed Comments'!H:H,0))&amp;", "&amp;INDEX('Docketed Comments'!B:B,MATCH(A635,'Docketed Comments'!H:H,0)),"")</f>
        <v>Jackson, Reynolds</v>
      </c>
      <c r="I635" s="65" t="str">
        <f>IFERROR(INDEX('Docketed Comments'!D:D,MATCH(A635,'Docketed Comments'!H:H,0)),"")</f>
        <v>Phoenix</v>
      </c>
      <c r="J635" s="65" t="str">
        <f>IFERROR(INDEX('Docketed Comments'!I:I,MATCH(A635,'Docketed Comments'!H:H,0)),"")</f>
        <v>R-BASIC</v>
      </c>
      <c r="K635" s="65" t="str">
        <f t="shared" si="19"/>
        <v>✅ On Best Plan</v>
      </c>
      <c r="L635" s="65" t="str">
        <f>IFERROR(INDEX('Docketed Comments'!F:F,MATCH(A635,'Docketed Comments'!H:H,0)),"")</f>
        <v>Opposed</v>
      </c>
      <c r="M635" s="137" t="str">
        <f>IFERROR(HYPERLINK(INDEX('Docketed Comments'!G:G,MATCH(A635,'Docketed Comments'!H:H,0)),"📄 View Docket"),"")</f>
        <v>📄 View Docket</v>
      </c>
      <c r="N635" s="135" t="str">
        <f>IFERROR(INDEX('Docketed Comments'!N:N,MATCH(A635,'Docketed Comments'!H:H,0)),"")</f>
        <v>No</v>
      </c>
      <c r="O635" s="135" t="str">
        <f>IFERROR(INDEX('Docketed Comments'!L:L,MATCH(A635,'Docketed Comments'!H:H,0)),"")</f>
        <v>Yes</v>
      </c>
      <c r="P635" s="136">
        <f t="shared" si="18"/>
        <v>0</v>
      </c>
      <c r="Q635" s="140"/>
      <c r="R635" s="144">
        <v>1</v>
      </c>
    </row>
    <row r="636" spans="1:18" ht="21.95" customHeight="1">
      <c r="A636" s="71" t="s">
        <v>5309</v>
      </c>
      <c r="B636" s="69"/>
      <c r="C636" s="70"/>
      <c r="D636" s="69"/>
      <c r="E636" s="69"/>
      <c r="F636" s="65"/>
      <c r="G636" s="65" t="s">
        <v>5811</v>
      </c>
      <c r="H636" s="65" t="str">
        <f>IFERROR(INDEX('Docketed Comments'!C:C,MATCH(A636,'Docketed Comments'!H:H,0))&amp;", "&amp;INDEX('Docketed Comments'!B:B,MATCH(A636,'Docketed Comments'!H:H,0)),"")</f>
        <v>Jan , DeBay</v>
      </c>
      <c r="I636" s="65" t="str">
        <f>IFERROR(INDEX('Docketed Comments'!D:D,MATCH(A636,'Docketed Comments'!H:H,0)),"")</f>
        <v>Unknown</v>
      </c>
      <c r="J636" s="65" t="str">
        <f>IFERROR(INDEX('Docketed Comments'!I:I,MATCH(A636,'Docketed Comments'!H:H,0)),"")</f>
        <v>R3-47</v>
      </c>
      <c r="K636" s="65" t="str">
        <f t="shared" si="19"/>
        <v>✅ On Best Plan</v>
      </c>
      <c r="L636" s="65" t="str">
        <f>IFERROR(INDEX('Docketed Comments'!F:F,MATCH(A636,'Docketed Comments'!H:H,0)),"")</f>
        <v>already very high</v>
      </c>
      <c r="M636" s="137" t="str">
        <f>IFERROR(HYPERLINK(INDEX('Docketed Comments'!G:G,MATCH(A636,'Docketed Comments'!H:H,0)),"📄 View Docket"),"")</f>
        <v>📄 View Docket</v>
      </c>
      <c r="N636" s="135" t="str">
        <f>IFERROR(INDEX('Docketed Comments'!N:N,MATCH(A636,'Docketed Comments'!H:H,0)),"")</f>
        <v>No</v>
      </c>
      <c r="O636" s="135" t="str">
        <f>IFERROR(INDEX('Docketed Comments'!L:L,MATCH(A636,'Docketed Comments'!H:H,0)),"")</f>
        <v>Yes</v>
      </c>
      <c r="P636" s="136">
        <f t="shared" si="18"/>
        <v>0</v>
      </c>
      <c r="Q636" s="140"/>
      <c r="R636" s="144">
        <v>1</v>
      </c>
    </row>
    <row r="637" spans="1:18" ht="21.95" customHeight="1">
      <c r="A637" s="71" t="s">
        <v>5310</v>
      </c>
      <c r="B637" s="69"/>
      <c r="C637" s="70"/>
      <c r="D637" s="69"/>
      <c r="E637" s="69"/>
      <c r="F637" s="65"/>
      <c r="G637" s="65" t="s">
        <v>5811</v>
      </c>
      <c r="H637" s="65" t="str">
        <f>IFERROR(INDEX('Docketed Comments'!C:C,MATCH(A637,'Docketed Comments'!H:H,0))&amp;", "&amp;INDEX('Docketed Comments'!B:B,MATCH(A637,'Docketed Comments'!H:H,0)),"")</f>
        <v>Luca, Traverso</v>
      </c>
      <c r="I637" s="65" t="str">
        <f>IFERROR(INDEX('Docketed Comments'!D:D,MATCH(A637,'Docketed Comments'!H:H,0)),"")</f>
        <v>Phoenix</v>
      </c>
      <c r="J637" s="65" t="str">
        <f>IFERROR(INDEX('Docketed Comments'!I:I,MATCH(A637,'Docketed Comments'!H:H,0)),"")</f>
        <v>RTOUE47</v>
      </c>
      <c r="K637" s="65" t="str">
        <f t="shared" si="19"/>
        <v>✅ On Best Plan</v>
      </c>
      <c r="L637" s="65" t="str">
        <f>IFERROR(INDEX('Docketed Comments'!F:F,MATCH(A637,'Docketed Comments'!H:H,0)),"")</f>
        <v>Opposed</v>
      </c>
      <c r="M637" s="137" t="str">
        <f>IFERROR(HYPERLINK(INDEX('Docketed Comments'!G:G,MATCH(A637,'Docketed Comments'!H:H,0)),"📄 View Docket"),"")</f>
        <v>📄 View Docket</v>
      </c>
      <c r="N637" s="135" t="str">
        <f>IFERROR(INDEX('Docketed Comments'!N:N,MATCH(A637,'Docketed Comments'!H:H,0)),"")</f>
        <v>No</v>
      </c>
      <c r="O637" s="135" t="str">
        <f>IFERROR(INDEX('Docketed Comments'!L:L,MATCH(A637,'Docketed Comments'!H:H,0)),"")</f>
        <v>Yes</v>
      </c>
      <c r="P637" s="136">
        <f t="shared" si="18"/>
        <v>0</v>
      </c>
      <c r="Q637" s="140"/>
      <c r="R637" s="144">
        <v>1</v>
      </c>
    </row>
    <row r="638" spans="1:18" ht="21.95" customHeight="1">
      <c r="A638" s="71" t="s">
        <v>5311</v>
      </c>
      <c r="B638" s="69"/>
      <c r="C638" s="70"/>
      <c r="D638" s="69"/>
      <c r="E638" s="69"/>
      <c r="F638" s="65"/>
      <c r="G638" s="65" t="s">
        <v>5811</v>
      </c>
      <c r="H638" s="65" t="str">
        <f>IFERROR(INDEX('Docketed Comments'!C:C,MATCH(A638,'Docketed Comments'!H:H,0))&amp;", "&amp;INDEX('Docketed Comments'!B:B,MATCH(A638,'Docketed Comments'!H:H,0)),"")</f>
        <v>Ralph, Reed</v>
      </c>
      <c r="I638" s="65" t="str">
        <f>IFERROR(INDEX('Docketed Comments'!D:D,MATCH(A638,'Docketed Comments'!H:H,0)),"")</f>
        <v>Unknown</v>
      </c>
      <c r="J638" s="65" t="str">
        <f>IFERROR(INDEX('Docketed Comments'!I:I,MATCH(A638,'Docketed Comments'!H:H,0)),"")</f>
        <v>EPR-6w/ET-2</v>
      </c>
      <c r="K638" s="65" t="str">
        <f t="shared" si="19"/>
        <v>⚠ Frozen Rate</v>
      </c>
      <c r="L638" s="65" t="str">
        <f>IFERROR(INDEX('Docketed Comments'!F:F,MATCH(A638,'Docketed Comments'!H:H,0)),"")</f>
        <v>Retired, fixed income</v>
      </c>
      <c r="M638" s="137" t="str">
        <f>IFERROR(HYPERLINK(INDEX('Docketed Comments'!G:G,MATCH(A638,'Docketed Comments'!H:H,0)),"📄 View Docket"),"")</f>
        <v>📄 View Docket</v>
      </c>
      <c r="N638" s="135" t="str">
        <f>IFERROR(INDEX('Docketed Comments'!N:N,MATCH(A638,'Docketed Comments'!H:H,0)),"")</f>
        <v>No</v>
      </c>
      <c r="O638" s="135" t="str">
        <f>IFERROR(INDEX('Docketed Comments'!L:L,MATCH(A638,'Docketed Comments'!H:H,0)),"")</f>
        <v>Frozen Rate</v>
      </c>
      <c r="P638" s="136">
        <f t="shared" si="18"/>
        <v>0</v>
      </c>
      <c r="Q638" s="140"/>
      <c r="R638" s="144">
        <v>1</v>
      </c>
    </row>
    <row r="639" spans="1:18" ht="21.95" customHeight="1">
      <c r="A639" s="71" t="s">
        <v>2291</v>
      </c>
      <c r="B639" s="69"/>
      <c r="C639" s="70"/>
      <c r="D639" s="69"/>
      <c r="E639" s="69"/>
      <c r="F639" s="65"/>
      <c r="G639" s="65" t="s">
        <v>5811</v>
      </c>
      <c r="H639" s="65" t="str">
        <f>IFERROR(INDEX('Docketed Comments'!C:C,MATCH(A639,'Docketed Comments'!H:H,0))&amp;", "&amp;INDEX('Docketed Comments'!B:B,MATCH(A639,'Docketed Comments'!H:H,0)),"")</f>
        <v>Yvette, Stumpf</v>
      </c>
      <c r="I639" s="65" t="str">
        <f>IFERROR(INDEX('Docketed Comments'!D:D,MATCH(A639,'Docketed Comments'!H:H,0)),"")</f>
        <v>Phoenix</v>
      </c>
      <c r="J639" s="65" t="str">
        <f>IFERROR(INDEX('Docketed Comments'!I:I,MATCH(A639,'Docketed Comments'!H:H,0)),"")</f>
        <v>RCPw/R3-47</v>
      </c>
      <c r="K639" s="65" t="str">
        <f t="shared" si="19"/>
        <v>✅ On Best Plan</v>
      </c>
      <c r="L639" s="65" t="str">
        <f>IFERROR(INDEX('Docketed Comments'!F:F,MATCH(A639,'Docketed Comments'!H:H,0)),"")</f>
        <v>Opposed</v>
      </c>
      <c r="M639" s="137" t="str">
        <f>IFERROR(HYPERLINK(INDEX('Docketed Comments'!G:G,MATCH(A639,'Docketed Comments'!H:H,0)),"📄 View Docket"),"")</f>
        <v>📄 View Docket</v>
      </c>
      <c r="N639" s="135" t="str">
        <f>IFERROR(INDEX('Docketed Comments'!N:N,MATCH(A639,'Docketed Comments'!H:H,0)),"")</f>
        <v>No</v>
      </c>
      <c r="O639" s="135" t="str">
        <f>IFERROR(INDEX('Docketed Comments'!L:L,MATCH(A639,'Docketed Comments'!H:H,0)),"")</f>
        <v>Y</v>
      </c>
      <c r="P639" s="136">
        <f t="shared" si="18"/>
        <v>0</v>
      </c>
      <c r="Q639" s="140"/>
      <c r="R639" s="144">
        <v>1</v>
      </c>
    </row>
    <row r="640" spans="1:18" ht="21.95" customHeight="1">
      <c r="A640" s="71" t="s">
        <v>2298</v>
      </c>
      <c r="B640" s="69"/>
      <c r="C640" s="70"/>
      <c r="D640" s="69"/>
      <c r="E640" s="69"/>
      <c r="F640" s="65"/>
      <c r="G640" s="65" t="s">
        <v>5811</v>
      </c>
      <c r="H640" s="65" t="str">
        <f>IFERROR(INDEX('Docketed Comments'!C:C,MATCH(A640,'Docketed Comments'!H:H,0))&amp;", "&amp;INDEX('Docketed Comments'!B:B,MATCH(A640,'Docketed Comments'!H:H,0)),"")</f>
        <v>Carrie, Funke</v>
      </c>
      <c r="I640" s="65" t="str">
        <f>IFERROR(INDEX('Docketed Comments'!D:D,MATCH(A640,'Docketed Comments'!H:H,0)),"")</f>
        <v>Phoenix</v>
      </c>
      <c r="J640" s="65" t="str">
        <f>IFERROR(INDEX('Docketed Comments'!I:I,MATCH(A640,'Docketed Comments'!H:H,0)),"")</f>
        <v>R3-47</v>
      </c>
      <c r="K640" s="65" t="str">
        <f t="shared" si="19"/>
        <v>✅ On Best Plan</v>
      </c>
      <c r="L640" s="65" t="str">
        <f>IFERROR(INDEX('Docketed Comments'!F:F,MATCH(A640,'Docketed Comments'!H:H,0)),"")</f>
        <v>Opposed</v>
      </c>
      <c r="M640" s="137" t="str">
        <f>IFERROR(HYPERLINK(INDEX('Docketed Comments'!G:G,MATCH(A640,'Docketed Comments'!H:H,0)),"📄 View Docket"),"")</f>
        <v>📄 View Docket</v>
      </c>
      <c r="N640" s="135" t="str">
        <f>IFERROR(INDEX('Docketed Comments'!N:N,MATCH(A640,'Docketed Comments'!H:H,0)),"")</f>
        <v>No</v>
      </c>
      <c r="O640" s="135" t="str">
        <f>IFERROR(INDEX('Docketed Comments'!L:L,MATCH(A640,'Docketed Comments'!H:H,0)),"")</f>
        <v>Y</v>
      </c>
      <c r="P640" s="136">
        <f t="shared" si="18"/>
        <v>0</v>
      </c>
      <c r="Q640" s="140"/>
      <c r="R640" s="144">
        <v>1</v>
      </c>
    </row>
    <row r="641" spans="1:18" ht="21.95" customHeight="1">
      <c r="A641" s="71" t="s">
        <v>2301</v>
      </c>
      <c r="B641" s="69"/>
      <c r="C641" s="70"/>
      <c r="D641" s="69"/>
      <c r="E641" s="69"/>
      <c r="F641" s="65"/>
      <c r="G641" s="65" t="s">
        <v>5811</v>
      </c>
      <c r="H641" s="65" t="str">
        <f>IFERROR(INDEX('Docketed Comments'!C:C,MATCH(A641,'Docketed Comments'!H:H,0))&amp;", "&amp;INDEX('Docketed Comments'!B:B,MATCH(A641,'Docketed Comments'!H:H,0)),"")</f>
        <v>Sherry, Kriechbaum</v>
      </c>
      <c r="I641" s="65" t="str">
        <f>IFERROR(INDEX('Docketed Comments'!D:D,MATCH(A641,'Docketed Comments'!H:H,0)),"")</f>
        <v>Scottsdale</v>
      </c>
      <c r="J641" s="65" t="str">
        <f>IFERROR(INDEX('Docketed Comments'!I:I,MATCH(A641,'Docketed Comments'!H:H,0)),"")</f>
        <v>R3-47</v>
      </c>
      <c r="K641" s="65" t="str">
        <f t="shared" si="19"/>
        <v>✅ On Best Plan</v>
      </c>
      <c r="L641" s="65" t="str">
        <f>IFERROR(INDEX('Docketed Comments'!F:F,MATCH(A641,'Docketed Comments'!H:H,0)),"")</f>
        <v>Opposed</v>
      </c>
      <c r="M641" s="137" t="str">
        <f>IFERROR(HYPERLINK(INDEX('Docketed Comments'!G:G,MATCH(A641,'Docketed Comments'!H:H,0)),"📄 View Docket"),"")</f>
        <v>📄 View Docket</v>
      </c>
      <c r="N641" s="135" t="str">
        <f>IFERROR(INDEX('Docketed Comments'!N:N,MATCH(A641,'Docketed Comments'!H:H,0)),"")</f>
        <v>No</v>
      </c>
      <c r="O641" s="135" t="str">
        <f>IFERROR(INDEX('Docketed Comments'!L:L,MATCH(A641,'Docketed Comments'!H:H,0)),"")</f>
        <v>Y</v>
      </c>
      <c r="P641" s="136">
        <f t="shared" si="18"/>
        <v>0</v>
      </c>
      <c r="Q641" s="140"/>
      <c r="R641" s="144">
        <v>1</v>
      </c>
    </row>
    <row r="642" spans="1:18" ht="21.95" customHeight="1">
      <c r="A642" s="71" t="s">
        <v>2315</v>
      </c>
      <c r="B642" s="69"/>
      <c r="C642" s="70"/>
      <c r="D642" s="69"/>
      <c r="E642" s="69"/>
      <c r="F642" s="65"/>
      <c r="G642" s="65" t="s">
        <v>5811</v>
      </c>
      <c r="H642" s="65" t="str">
        <f>IFERROR(INDEX('Docketed Comments'!C:C,MATCH(A642,'Docketed Comments'!H:H,0))&amp;", "&amp;INDEX('Docketed Comments'!B:B,MATCH(A642,'Docketed Comments'!H:H,0)),"")</f>
        <v>Julia, Boardman</v>
      </c>
      <c r="I642" s="65" t="str">
        <f>IFERROR(INDEX('Docketed Comments'!D:D,MATCH(A642,'Docketed Comments'!H:H,0)),"")</f>
        <v>Phoenix</v>
      </c>
      <c r="J642" s="65" t="str">
        <f>IFERROR(INDEX('Docketed Comments'!I:I,MATCH(A642,'Docketed Comments'!H:H,0)),"")</f>
        <v>R-BASIC</v>
      </c>
      <c r="K642" s="65" t="str">
        <f t="shared" si="19"/>
        <v>✅ On Best Plan</v>
      </c>
      <c r="L642" s="65" t="str">
        <f>IFERROR(INDEX('Docketed Comments'!F:F,MATCH(A642,'Docketed Comments'!H:H,0)),"")</f>
        <v>Form letter</v>
      </c>
      <c r="M642" s="137" t="str">
        <f>IFERROR(HYPERLINK(INDEX('Docketed Comments'!G:G,MATCH(A642,'Docketed Comments'!H:H,0)),"📄 View Docket"),"")</f>
        <v>📄 View Docket</v>
      </c>
      <c r="N642" s="135" t="str">
        <f>IFERROR(INDEX('Docketed Comments'!N:N,MATCH(A642,'Docketed Comments'!H:H,0)),"")</f>
        <v>No</v>
      </c>
      <c r="O642" s="135" t="str">
        <f>IFERROR(INDEX('Docketed Comments'!L:L,MATCH(A642,'Docketed Comments'!H:H,0)),"")</f>
        <v>Y</v>
      </c>
      <c r="P642" s="136">
        <f t="shared" ref="P642:P705" si="20">IFERROR(IF(ISNUMBER(SEARCH("$",O642)),VALUE(SUBSTITUTE(SUBSTITUTE(MID(O642,FIND("$",O642)+1,FIND(")",O642)-FIND("$",O642)-1),",","")," ","")),VALUE(SUBSTITUTE(SUBSTITUTE(MID(O642,FIND("(",O642)+1,FIND(")",O642)-FIND("(",O642)-1),",","")," ",""))),0)</f>
        <v>0</v>
      </c>
      <c r="Q642" s="140"/>
      <c r="R642" s="144">
        <v>1</v>
      </c>
    </row>
    <row r="643" spans="1:18" ht="21.95" customHeight="1">
      <c r="A643" s="71" t="s">
        <v>2319</v>
      </c>
      <c r="B643" s="69"/>
      <c r="C643" s="70"/>
      <c r="D643" s="69"/>
      <c r="E643" s="69"/>
      <c r="F643" s="65"/>
      <c r="G643" s="65" t="s">
        <v>5811</v>
      </c>
      <c r="H643" s="65" t="str">
        <f>IFERROR(INDEX('Docketed Comments'!C:C,MATCH(A643,'Docketed Comments'!H:H,0))&amp;", "&amp;INDEX('Docketed Comments'!B:B,MATCH(A643,'Docketed Comments'!H:H,0)),"")</f>
        <v>Krishna, Dara</v>
      </c>
      <c r="I643" s="65" t="str">
        <f>IFERROR(INDEX('Docketed Comments'!D:D,MATCH(A643,'Docketed Comments'!H:H,0)),"")</f>
        <v>Peoria</v>
      </c>
      <c r="J643" s="65" t="str">
        <f>IFERROR(INDEX('Docketed Comments'!I:I,MATCH(A643,'Docketed Comments'!H:H,0)),"")</f>
        <v>RCPw/R-2</v>
      </c>
      <c r="K643" s="65" t="str">
        <f t="shared" ref="K643:K706" si="21">IFERROR(IF(OR(LEFT(O643,2)="No",LEFT(O643,3)="Not"),"❌ Not on Best Plan",IF(OR(O643="Yes",O643="Y",O643="Yes "),"✅ On Best Plan","⚠ "&amp;O643)),"")</f>
        <v>⚠ Frozen Rate</v>
      </c>
      <c r="L643" s="65" t="str">
        <f>IFERROR(INDEX('Docketed Comments'!F:F,MATCH(A643,'Docketed Comments'!H:H,0)),"")</f>
        <v>Already getting difficult to pay the bill</v>
      </c>
      <c r="M643" s="137" t="str">
        <f>IFERROR(HYPERLINK(INDEX('Docketed Comments'!G:G,MATCH(A643,'Docketed Comments'!H:H,0)),"📄 View Docket"),"")</f>
        <v>📄 View Docket</v>
      </c>
      <c r="N643" s="135" t="str">
        <f>IFERROR(INDEX('Docketed Comments'!N:N,MATCH(A643,'Docketed Comments'!H:H,0)),"")</f>
        <v>No</v>
      </c>
      <c r="O643" s="135" t="str">
        <f>IFERROR(INDEX('Docketed Comments'!L:L,MATCH(A643,'Docketed Comments'!H:H,0)),"")</f>
        <v>Frozen Rate</v>
      </c>
      <c r="P643" s="136">
        <f t="shared" si="20"/>
        <v>0</v>
      </c>
      <c r="Q643" s="140"/>
      <c r="R643" s="144">
        <v>1</v>
      </c>
    </row>
    <row r="644" spans="1:18" ht="21.95" customHeight="1">
      <c r="A644" s="71" t="s">
        <v>2320</v>
      </c>
      <c r="B644" s="69"/>
      <c r="C644" s="70"/>
      <c r="D644" s="69"/>
      <c r="E644" s="69"/>
      <c r="F644" s="65"/>
      <c r="G644" s="65" t="s">
        <v>5811</v>
      </c>
      <c r="H644" s="65" t="str">
        <f>IFERROR(INDEX('Docketed Comments'!C:C,MATCH(A644,'Docketed Comments'!H:H,0))&amp;", "&amp;INDEX('Docketed Comments'!B:B,MATCH(A644,'Docketed Comments'!H:H,0)),"")</f>
        <v>Gregory, Johnson</v>
      </c>
      <c r="I644" s="65" t="str">
        <f>IFERROR(INDEX('Docketed Comments'!D:D,MATCH(A644,'Docketed Comments'!H:H,0)),"")</f>
        <v>Surprise</v>
      </c>
      <c r="J644" s="65" t="str">
        <f>IFERROR(INDEX('Docketed Comments'!I:I,MATCH(A644,'Docketed Comments'!H:H,0)),"")</f>
        <v>R3-47</v>
      </c>
      <c r="K644" s="65" t="str">
        <f t="shared" si="21"/>
        <v>✅ On Best Plan</v>
      </c>
      <c r="L644" s="65" t="str">
        <f>IFERROR(INDEX('Docketed Comments'!F:F,MATCH(A644,'Docketed Comments'!H:H,0)),"")</f>
        <v>Form letter</v>
      </c>
      <c r="M644" s="137" t="str">
        <f>IFERROR(HYPERLINK(INDEX('Docketed Comments'!G:G,MATCH(A644,'Docketed Comments'!H:H,0)),"📄 View Docket"),"")</f>
        <v>📄 View Docket</v>
      </c>
      <c r="N644" s="135" t="str">
        <f>IFERROR(INDEX('Docketed Comments'!N:N,MATCH(A644,'Docketed Comments'!H:H,0)),"")</f>
        <v>No</v>
      </c>
      <c r="O644" s="135" t="str">
        <f>IFERROR(INDEX('Docketed Comments'!L:L,MATCH(A644,'Docketed Comments'!H:H,0)),"")</f>
        <v>Y</v>
      </c>
      <c r="P644" s="136">
        <f t="shared" si="20"/>
        <v>0</v>
      </c>
      <c r="Q644" s="140"/>
      <c r="R644" s="144">
        <v>1</v>
      </c>
    </row>
    <row r="645" spans="1:18" ht="21.95" customHeight="1">
      <c r="A645" s="71" t="s">
        <v>2323</v>
      </c>
      <c r="B645" s="69" t="s">
        <v>4887</v>
      </c>
      <c r="C645" s="70">
        <v>46081</v>
      </c>
      <c r="D645" s="69" t="s">
        <v>4865</v>
      </c>
      <c r="E645" s="69" t="s">
        <v>4898</v>
      </c>
      <c r="F645" s="65" t="s">
        <v>5708</v>
      </c>
      <c r="G645" s="65"/>
      <c r="H645" s="65" t="str">
        <f>IFERROR(INDEX('Docketed Comments'!C:C,MATCH(A645,'Docketed Comments'!H:H,0))&amp;", "&amp;INDEX('Docketed Comments'!B:B,MATCH(A645,'Docketed Comments'!H:H,0)),"")</f>
        <v>Kaelyn, Sanders</v>
      </c>
      <c r="I645" s="65" t="str">
        <f>IFERROR(INDEX('Docketed Comments'!D:D,MATCH(A645,'Docketed Comments'!H:H,0)),"")</f>
        <v>Phoenix</v>
      </c>
      <c r="J645" s="65" t="str">
        <f>IFERROR(INDEX('Docketed Comments'!I:I,MATCH(A645,'Docketed Comments'!H:H,0)),"")</f>
        <v>R-XS</v>
      </c>
      <c r="K645" s="65" t="str">
        <f t="shared" si="21"/>
        <v>✅ On Best Plan</v>
      </c>
      <c r="L645" s="65" t="str">
        <f>IFERROR(INDEX('Docketed Comments'!F:F,MATCH(A645,'Docketed Comments'!H:H,0)),"")</f>
        <v>Form letter</v>
      </c>
      <c r="M645" s="137" t="str">
        <f>IFERROR(HYPERLINK(INDEX('Docketed Comments'!G:G,MATCH(A645,'Docketed Comments'!H:H,0)),"📄 View Docket"),"")</f>
        <v>📄 View Docket</v>
      </c>
      <c r="N645" s="135" t="str">
        <f>IFERROR(INDEX('Docketed Comments'!N:N,MATCH(A645,'Docketed Comments'!H:H,0)),"")</f>
        <v>No</v>
      </c>
      <c r="O645" s="135" t="str">
        <f>IFERROR(INDEX('Docketed Comments'!L:L,MATCH(A645,'Docketed Comments'!H:H,0)),"")</f>
        <v>Y</v>
      </c>
      <c r="P645" s="136">
        <f t="shared" si="20"/>
        <v>0</v>
      </c>
      <c r="Q645" s="140" t="s">
        <v>5809</v>
      </c>
      <c r="R645" s="144">
        <v>0</v>
      </c>
    </row>
    <row r="646" spans="1:18" ht="21.95" customHeight="1">
      <c r="A646" s="71" t="s">
        <v>2329</v>
      </c>
      <c r="B646" s="69" t="s">
        <v>4887</v>
      </c>
      <c r="C646" s="70">
        <v>46081</v>
      </c>
      <c r="D646" s="69" t="s">
        <v>4865</v>
      </c>
      <c r="E646" s="69" t="s">
        <v>4898</v>
      </c>
      <c r="F646" s="65" t="s">
        <v>5708</v>
      </c>
      <c r="G646" s="65"/>
      <c r="H646" s="65" t="str">
        <f>IFERROR(INDEX('Docketed Comments'!C:C,MATCH(A646,'Docketed Comments'!H:H,0))&amp;", "&amp;INDEX('Docketed Comments'!B:B,MATCH(A646,'Docketed Comments'!H:H,0)),"")</f>
        <v>Vinayak, Kalikar</v>
      </c>
      <c r="I646" s="65" t="str">
        <f>IFERROR(INDEX('Docketed Comments'!D:D,MATCH(A646,'Docketed Comments'!H:H,0)),"")</f>
        <v>Peoria</v>
      </c>
      <c r="J646" s="65" t="str">
        <f>IFERROR(INDEX('Docketed Comments'!I:I,MATCH(A646,'Docketed Comments'!H:H,0)),"")</f>
        <v>R3-47</v>
      </c>
      <c r="K646" s="65" t="str">
        <f t="shared" si="21"/>
        <v>✅ On Best Plan</v>
      </c>
      <c r="L646" s="65" t="str">
        <f>IFERROR(INDEX('Docketed Comments'!F:F,MATCH(A646,'Docketed Comments'!H:H,0)),"")</f>
        <v>Form letter</v>
      </c>
      <c r="M646" s="137" t="str">
        <f>IFERROR(HYPERLINK(INDEX('Docketed Comments'!G:G,MATCH(A646,'Docketed Comments'!H:H,0)),"📄 View Docket"),"")</f>
        <v>📄 View Docket</v>
      </c>
      <c r="N646" s="135" t="str">
        <f>IFERROR(INDEX('Docketed Comments'!N:N,MATCH(A646,'Docketed Comments'!H:H,0)),"")</f>
        <v>No</v>
      </c>
      <c r="O646" s="135" t="str">
        <f>IFERROR(INDEX('Docketed Comments'!L:L,MATCH(A646,'Docketed Comments'!H:H,0)),"")</f>
        <v>Y</v>
      </c>
      <c r="P646" s="136">
        <f t="shared" si="20"/>
        <v>0</v>
      </c>
      <c r="Q646" s="140" t="s">
        <v>5809</v>
      </c>
      <c r="R646" s="144">
        <v>0</v>
      </c>
    </row>
    <row r="647" spans="1:18" ht="21.95" customHeight="1">
      <c r="A647" s="71" t="s">
        <v>2337</v>
      </c>
      <c r="B647" s="69" t="s">
        <v>4887</v>
      </c>
      <c r="C647" s="70">
        <v>46081</v>
      </c>
      <c r="D647" s="69" t="s">
        <v>4888</v>
      </c>
      <c r="E647" s="69"/>
      <c r="F647" s="65" t="s">
        <v>4938</v>
      </c>
      <c r="G647" s="65"/>
      <c r="H647" s="65" t="str">
        <f>IFERROR(INDEX('Docketed Comments'!C:C,MATCH(A647,'Docketed Comments'!H:H,0))&amp;", "&amp;INDEX('Docketed Comments'!B:B,MATCH(A647,'Docketed Comments'!H:H,0)),"")</f>
        <v>Eldeen, Hudgins</v>
      </c>
      <c r="I647" s="65" t="str">
        <f>IFERROR(INDEX('Docketed Comments'!D:D,MATCH(A647,'Docketed Comments'!H:H,0)),"")</f>
        <v>El Mirage</v>
      </c>
      <c r="J647" s="65" t="str">
        <f>IFERROR(INDEX('Docketed Comments'!I:I,MATCH(A647,'Docketed Comments'!H:H,0)),"")</f>
        <v>RCPw/R-2</v>
      </c>
      <c r="K647" s="65" t="str">
        <f t="shared" si="21"/>
        <v>⚠ Frozen Rate</v>
      </c>
      <c r="L647" s="65" t="str">
        <f>IFERROR(INDEX('Docketed Comments'!F:F,MATCH(A647,'Docketed Comments'!H:H,0)),"")</f>
        <v>Opposed / submitted request to intervene</v>
      </c>
      <c r="M647" s="137" t="str">
        <f>IFERROR(HYPERLINK(INDEX('Docketed Comments'!G:G,MATCH(A647,'Docketed Comments'!H:H,0)),"📄 View Docket"),"")</f>
        <v>📄 View Docket</v>
      </c>
      <c r="N647" s="135" t="str">
        <f>IFERROR(INDEX('Docketed Comments'!N:N,MATCH(A647,'Docketed Comments'!H:H,0)),"")</f>
        <v>No</v>
      </c>
      <c r="O647" s="135" t="str">
        <f>IFERROR(INDEX('Docketed Comments'!L:L,MATCH(A647,'Docketed Comments'!H:H,0)),"")</f>
        <v>Frozen Rate</v>
      </c>
      <c r="P647" s="136">
        <f t="shared" si="20"/>
        <v>0</v>
      </c>
      <c r="Q647" s="140" t="s">
        <v>5809</v>
      </c>
      <c r="R647" s="144">
        <v>0</v>
      </c>
    </row>
    <row r="648" spans="1:18" ht="21.95" customHeight="1">
      <c r="A648" s="71" t="s">
        <v>2340</v>
      </c>
      <c r="B648" s="69"/>
      <c r="C648" s="70"/>
      <c r="D648" s="69"/>
      <c r="E648" s="69"/>
      <c r="F648" s="65"/>
      <c r="G648" s="65" t="s">
        <v>5811</v>
      </c>
      <c r="H648" s="65" t="str">
        <f>IFERROR(INDEX('Docketed Comments'!C:C,MATCH(A648,'Docketed Comments'!H:H,0))&amp;", "&amp;INDEX('Docketed Comments'!B:B,MATCH(A648,'Docketed Comments'!H:H,0)),"")</f>
        <v>Justin, Burkes</v>
      </c>
      <c r="I648" s="65" t="str">
        <f>IFERROR(INDEX('Docketed Comments'!D:D,MATCH(A648,'Docketed Comments'!H:H,0)),"")</f>
        <v>Chandler</v>
      </c>
      <c r="J648" s="65" t="str">
        <f>IFERROR(INDEX('Docketed Comments'!I:I,MATCH(A648,'Docketed Comments'!H:H,0)),"")</f>
        <v>RCPw/RTOUE47</v>
      </c>
      <c r="K648" s="65" t="str">
        <f t="shared" si="21"/>
        <v>✅ On Best Plan</v>
      </c>
      <c r="L648" s="65" t="str">
        <f>IFERROR(INDEX('Docketed Comments'!F:F,MATCH(A648,'Docketed Comments'!H:H,0)),"")</f>
        <v>Form letter</v>
      </c>
      <c r="M648" s="137" t="str">
        <f>IFERROR(HYPERLINK(INDEX('Docketed Comments'!G:G,MATCH(A648,'Docketed Comments'!H:H,0)),"📄 View Docket"),"")</f>
        <v>📄 View Docket</v>
      </c>
      <c r="N648" s="135" t="str">
        <f>IFERROR(INDEX('Docketed Comments'!N:N,MATCH(A648,'Docketed Comments'!H:H,0)),"")</f>
        <v>No</v>
      </c>
      <c r="O648" s="135" t="str">
        <f>IFERROR(INDEX('Docketed Comments'!L:L,MATCH(A648,'Docketed Comments'!H:H,0)),"")</f>
        <v>Y</v>
      </c>
      <c r="P648" s="136">
        <f t="shared" si="20"/>
        <v>0</v>
      </c>
      <c r="Q648" s="140"/>
      <c r="R648" s="144">
        <v>1</v>
      </c>
    </row>
    <row r="649" spans="1:18" ht="21.95" customHeight="1">
      <c r="A649" s="71" t="s">
        <v>2345</v>
      </c>
      <c r="B649" s="69"/>
      <c r="C649" s="70"/>
      <c r="D649" s="69"/>
      <c r="E649" s="69"/>
      <c r="F649" s="65"/>
      <c r="G649" s="65" t="s">
        <v>5811</v>
      </c>
      <c r="H649" s="65" t="str">
        <f>IFERROR(INDEX('Docketed Comments'!C:C,MATCH(A649,'Docketed Comments'!H:H,0))&amp;", "&amp;INDEX('Docketed Comments'!B:B,MATCH(A649,'Docketed Comments'!H:H,0)),"")</f>
        <v>Hollie, Nelson</v>
      </c>
      <c r="I649" s="65" t="str">
        <f>IFERROR(INDEX('Docketed Comments'!D:D,MATCH(A649,'Docketed Comments'!H:H,0)),"")</f>
        <v>Phoenix</v>
      </c>
      <c r="J649" s="65" t="str">
        <f>IFERROR(INDEX('Docketed Comments'!I:I,MATCH(A649,'Docketed Comments'!H:H,0)),"")</f>
        <v>R3-47</v>
      </c>
      <c r="K649" s="65" t="str">
        <f t="shared" si="21"/>
        <v>✅ On Best Plan</v>
      </c>
      <c r="L649" s="65" t="str">
        <f>IFERROR(INDEX('Docketed Comments'!F:F,MATCH(A649,'Docketed Comments'!H:H,0)),"")</f>
        <v>Form letter</v>
      </c>
      <c r="M649" s="137" t="str">
        <f>IFERROR(HYPERLINK(INDEX('Docketed Comments'!G:G,MATCH(A649,'Docketed Comments'!H:H,0)),"📄 View Docket"),"")</f>
        <v>📄 View Docket</v>
      </c>
      <c r="N649" s="135" t="str">
        <f>IFERROR(INDEX('Docketed Comments'!N:N,MATCH(A649,'Docketed Comments'!H:H,0)),"")</f>
        <v>No</v>
      </c>
      <c r="O649" s="135" t="str">
        <f>IFERROR(INDEX('Docketed Comments'!L:L,MATCH(A649,'Docketed Comments'!H:H,0)),"")</f>
        <v>Y</v>
      </c>
      <c r="P649" s="136">
        <f t="shared" si="20"/>
        <v>0</v>
      </c>
      <c r="Q649" s="140"/>
      <c r="R649" s="144">
        <v>1</v>
      </c>
    </row>
    <row r="650" spans="1:18" ht="21.95" customHeight="1">
      <c r="A650" s="71" t="s">
        <v>2346</v>
      </c>
      <c r="B650" s="69" t="s">
        <v>4887</v>
      </c>
      <c r="C650" s="70">
        <v>46081</v>
      </c>
      <c r="D650" s="69" t="s">
        <v>4888</v>
      </c>
      <c r="E650" s="69"/>
      <c r="F650" s="65" t="s">
        <v>4938</v>
      </c>
      <c r="G650" s="65"/>
      <c r="H650" s="65" t="str">
        <f>IFERROR(INDEX('Docketed Comments'!C:C,MATCH(A650,'Docketed Comments'!H:H,0))&amp;", "&amp;INDEX('Docketed Comments'!B:B,MATCH(A650,'Docketed Comments'!H:H,0)),"")</f>
        <v>Ashley, Hill</v>
      </c>
      <c r="I650" s="65" t="str">
        <f>IFERROR(INDEX('Docketed Comments'!D:D,MATCH(A650,'Docketed Comments'!H:H,0)),"")</f>
        <v>Phoenix</v>
      </c>
      <c r="J650" s="65" t="str">
        <f>IFERROR(INDEX('Docketed Comments'!I:I,MATCH(A650,'Docketed Comments'!H:H,0)),"")</f>
        <v>R-2</v>
      </c>
      <c r="K650" s="65" t="str">
        <f t="shared" si="21"/>
        <v>⚠ Frozen Rate</v>
      </c>
      <c r="L650" s="65" t="str">
        <f>IFERROR(INDEX('Docketed Comments'!F:F,MATCH(A650,'Docketed Comments'!H:H,0)),"")</f>
        <v>Form letter</v>
      </c>
      <c r="M650" s="137" t="str">
        <f>IFERROR(HYPERLINK(INDEX('Docketed Comments'!G:G,MATCH(A650,'Docketed Comments'!H:H,0)),"📄 View Docket"),"")</f>
        <v>📄 View Docket</v>
      </c>
      <c r="N650" s="135" t="str">
        <f>IFERROR(INDEX('Docketed Comments'!N:N,MATCH(A650,'Docketed Comments'!H:H,0)),"")</f>
        <v>No</v>
      </c>
      <c r="O650" s="135" t="str">
        <f>IFERROR(INDEX('Docketed Comments'!L:L,MATCH(A650,'Docketed Comments'!H:H,0)),"")</f>
        <v>Frozen Rate</v>
      </c>
      <c r="P650" s="136">
        <f t="shared" si="20"/>
        <v>0</v>
      </c>
      <c r="Q650" s="140" t="s">
        <v>5809</v>
      </c>
      <c r="R650" s="144">
        <v>0</v>
      </c>
    </row>
    <row r="651" spans="1:18" ht="21.95" customHeight="1">
      <c r="A651" s="71" t="s">
        <v>2349</v>
      </c>
      <c r="B651" s="69"/>
      <c r="C651" s="70"/>
      <c r="D651" s="69"/>
      <c r="E651" s="69"/>
      <c r="F651" s="65"/>
      <c r="G651" s="65" t="s">
        <v>5811</v>
      </c>
      <c r="H651" s="65" t="str">
        <f>IFERROR(INDEX('Docketed Comments'!C:C,MATCH(A651,'Docketed Comments'!H:H,0))&amp;", "&amp;INDEX('Docketed Comments'!B:B,MATCH(A651,'Docketed Comments'!H:H,0)),"")</f>
        <v>Larry, Stolarski</v>
      </c>
      <c r="I651" s="65" t="str">
        <f>IFERROR(INDEX('Docketed Comments'!D:D,MATCH(A651,'Docketed Comments'!H:H,0)),"")</f>
        <v>Phoenix</v>
      </c>
      <c r="J651" s="65" t="str">
        <f>IFERROR(INDEX('Docketed Comments'!I:I,MATCH(A651,'Docketed Comments'!H:H,0)),"")</f>
        <v>R-BASIC</v>
      </c>
      <c r="K651" s="65" t="str">
        <f t="shared" si="21"/>
        <v>✅ On Best Plan</v>
      </c>
      <c r="L651" s="65" t="str">
        <f>IFERROR(INDEX('Docketed Comments'!F:F,MATCH(A651,'Docketed Comments'!H:H,0)),"")</f>
        <v>Opposed</v>
      </c>
      <c r="M651" s="137" t="str">
        <f>IFERROR(HYPERLINK(INDEX('Docketed Comments'!G:G,MATCH(A651,'Docketed Comments'!H:H,0)),"📄 View Docket"),"")</f>
        <v>📄 View Docket</v>
      </c>
      <c r="N651" s="135" t="str">
        <f>IFERROR(INDEX('Docketed Comments'!N:N,MATCH(A651,'Docketed Comments'!H:H,0)),"")</f>
        <v>No</v>
      </c>
      <c r="O651" s="135" t="str">
        <f>IFERROR(INDEX('Docketed Comments'!L:L,MATCH(A651,'Docketed Comments'!H:H,0)),"")</f>
        <v>Y</v>
      </c>
      <c r="P651" s="136">
        <f t="shared" si="20"/>
        <v>0</v>
      </c>
      <c r="Q651" s="140"/>
      <c r="R651" s="144">
        <v>1</v>
      </c>
    </row>
    <row r="652" spans="1:18" ht="21.95" customHeight="1">
      <c r="A652" s="71" t="s">
        <v>2351</v>
      </c>
      <c r="B652" s="69" t="s">
        <v>4887</v>
      </c>
      <c r="C652" s="70">
        <v>46081</v>
      </c>
      <c r="D652" s="69" t="s">
        <v>4888</v>
      </c>
      <c r="E652" s="69"/>
      <c r="F652" s="65" t="s">
        <v>4938</v>
      </c>
      <c r="G652" s="65"/>
      <c r="H652" s="65" t="str">
        <f>IFERROR(INDEX('Docketed Comments'!C:C,MATCH(A652,'Docketed Comments'!H:H,0))&amp;", "&amp;INDEX('Docketed Comments'!B:B,MATCH(A652,'Docketed Comments'!H:H,0)),"")</f>
        <v>Catie, Ryan</v>
      </c>
      <c r="I652" s="65" t="str">
        <f>IFERROR(INDEX('Docketed Comments'!D:D,MATCH(A652,'Docketed Comments'!H:H,0)),"")</f>
        <v>Phoenix</v>
      </c>
      <c r="J652" s="65" t="str">
        <f>IFERROR(INDEX('Docketed Comments'!I:I,MATCH(A652,'Docketed Comments'!H:H,0)),"")</f>
        <v>R3-47</v>
      </c>
      <c r="K652" s="65" t="str">
        <f t="shared" si="21"/>
        <v>✅ On Best Plan</v>
      </c>
      <c r="L652" s="65" t="str">
        <f>IFERROR(INDEX('Docketed Comments'!F:F,MATCH(A652,'Docketed Comments'!H:H,0)),"")</f>
        <v>Opposed</v>
      </c>
      <c r="M652" s="137" t="str">
        <f>IFERROR(HYPERLINK(INDEX('Docketed Comments'!G:G,MATCH(A652,'Docketed Comments'!H:H,0)),"📄 View Docket"),"")</f>
        <v>📄 View Docket</v>
      </c>
      <c r="N652" s="135" t="str">
        <f>IFERROR(INDEX('Docketed Comments'!N:N,MATCH(A652,'Docketed Comments'!H:H,0)),"")</f>
        <v>No</v>
      </c>
      <c r="O652" s="135" t="str">
        <f>IFERROR(INDEX('Docketed Comments'!L:L,MATCH(A652,'Docketed Comments'!H:H,0)),"")</f>
        <v>Y</v>
      </c>
      <c r="P652" s="136">
        <f t="shared" si="20"/>
        <v>0</v>
      </c>
      <c r="Q652" s="140" t="s">
        <v>5809</v>
      </c>
      <c r="R652" s="144">
        <v>0</v>
      </c>
    </row>
    <row r="653" spans="1:18" ht="21.95" customHeight="1">
      <c r="A653" s="71" t="s">
        <v>2355</v>
      </c>
      <c r="B653" s="69"/>
      <c r="C653" s="70"/>
      <c r="D653" s="69"/>
      <c r="E653" s="69"/>
      <c r="F653" s="65"/>
      <c r="G653" s="65" t="s">
        <v>5811</v>
      </c>
      <c r="H653" s="65" t="str">
        <f>IFERROR(INDEX('Docketed Comments'!C:C,MATCH(A653,'Docketed Comments'!H:H,0))&amp;", "&amp;INDEX('Docketed Comments'!B:B,MATCH(A653,'Docketed Comments'!H:H,0)),"")</f>
        <v>Debbie, Dunn</v>
      </c>
      <c r="I653" s="65" t="str">
        <f>IFERROR(INDEX('Docketed Comments'!D:D,MATCH(A653,'Docketed Comments'!H:H,0)),"")</f>
        <v>Phoenix</v>
      </c>
      <c r="J653" s="65" t="str">
        <f>IFERROR(INDEX('Docketed Comments'!I:I,MATCH(A653,'Docketed Comments'!H:H,0)),"")</f>
        <v>RCPw/RTOUE47</v>
      </c>
      <c r="K653" s="65" t="str">
        <f t="shared" si="21"/>
        <v>✅ On Best Plan</v>
      </c>
      <c r="L653" s="65" t="str">
        <f>IFERROR(INDEX('Docketed Comments'!F:F,MATCH(A653,'Docketed Comments'!H:H,0)),"")</f>
        <v>Rates were raised last year</v>
      </c>
      <c r="M653" s="137" t="str">
        <f>IFERROR(HYPERLINK(INDEX('Docketed Comments'!G:G,MATCH(A653,'Docketed Comments'!H:H,0)),"📄 View Docket"),"")</f>
        <v>📄 View Docket</v>
      </c>
      <c r="N653" s="135" t="str">
        <f>IFERROR(INDEX('Docketed Comments'!N:N,MATCH(A653,'Docketed Comments'!H:H,0)),"")</f>
        <v>No</v>
      </c>
      <c r="O653" s="135" t="str">
        <f>IFERROR(INDEX('Docketed Comments'!L:L,MATCH(A653,'Docketed Comments'!H:H,0)),"")</f>
        <v>Y</v>
      </c>
      <c r="P653" s="136">
        <f t="shared" si="20"/>
        <v>0</v>
      </c>
      <c r="Q653" s="140"/>
      <c r="R653" s="144">
        <v>1</v>
      </c>
    </row>
    <row r="654" spans="1:18" ht="21.95" customHeight="1">
      <c r="A654" s="71" t="s">
        <v>2291</v>
      </c>
      <c r="B654" s="69"/>
      <c r="C654" s="70"/>
      <c r="D654" s="69"/>
      <c r="E654" s="69"/>
      <c r="F654" s="65"/>
      <c r="G654" s="65" t="s">
        <v>5811</v>
      </c>
      <c r="H654" s="65" t="str">
        <f>IFERROR(INDEX('Docketed Comments'!C:C,MATCH(A654,'Docketed Comments'!H:H,0))&amp;", "&amp;INDEX('Docketed Comments'!B:B,MATCH(A654,'Docketed Comments'!H:H,0)),"")</f>
        <v>Yvette, Stumpf</v>
      </c>
      <c r="I654" s="65" t="str">
        <f>IFERROR(INDEX('Docketed Comments'!D:D,MATCH(A654,'Docketed Comments'!H:H,0)),"")</f>
        <v>Phoenix</v>
      </c>
      <c r="J654" s="65" t="str">
        <f>IFERROR(INDEX('Docketed Comments'!I:I,MATCH(A654,'Docketed Comments'!H:H,0)),"")</f>
        <v>RCPw/R3-47</v>
      </c>
      <c r="K654" s="65" t="str">
        <f t="shared" si="21"/>
        <v>✅ On Best Plan</v>
      </c>
      <c r="L654" s="65" t="str">
        <f>IFERROR(INDEX('Docketed Comments'!F:F,MATCH(A654,'Docketed Comments'!H:H,0)),"")</f>
        <v>Opposed</v>
      </c>
      <c r="M654" s="137" t="str">
        <f>IFERROR(HYPERLINK(INDEX('Docketed Comments'!G:G,MATCH(A654,'Docketed Comments'!H:H,0)),"📄 View Docket"),"")</f>
        <v>📄 View Docket</v>
      </c>
      <c r="N654" s="135" t="str">
        <f>IFERROR(INDEX('Docketed Comments'!N:N,MATCH(A654,'Docketed Comments'!H:H,0)),"")</f>
        <v>No</v>
      </c>
      <c r="O654" s="135" t="str">
        <f>IFERROR(INDEX('Docketed Comments'!L:L,MATCH(A654,'Docketed Comments'!H:H,0)),"")</f>
        <v>Y</v>
      </c>
      <c r="P654" s="136">
        <f t="shared" si="20"/>
        <v>0</v>
      </c>
      <c r="Q654" s="140"/>
      <c r="R654" s="144">
        <v>1</v>
      </c>
    </row>
    <row r="655" spans="1:18" ht="21.95" customHeight="1">
      <c r="A655" s="71" t="s">
        <v>2364</v>
      </c>
      <c r="B655" s="69" t="s">
        <v>4887</v>
      </c>
      <c r="C655" s="70">
        <v>46081</v>
      </c>
      <c r="D655" s="69" t="s">
        <v>4865</v>
      </c>
      <c r="E655" s="69" t="s">
        <v>4898</v>
      </c>
      <c r="F655" s="65" t="s">
        <v>5729</v>
      </c>
      <c r="G655" s="65"/>
      <c r="H655" s="65" t="str">
        <f>IFERROR(INDEX('Docketed Comments'!C:C,MATCH(A655,'Docketed Comments'!H:H,0))&amp;", "&amp;INDEX('Docketed Comments'!B:B,MATCH(A655,'Docketed Comments'!H:H,0)),"")</f>
        <v>Mark, Kobus</v>
      </c>
      <c r="I655" s="65" t="str">
        <f>IFERROR(INDEX('Docketed Comments'!D:D,MATCH(A655,'Docketed Comments'!H:H,0)),"")</f>
        <v>Unknown</v>
      </c>
      <c r="J655" s="65" t="str">
        <f>IFERROR(INDEX('Docketed Comments'!I:I,MATCH(A655,'Docketed Comments'!H:H,0)),"")</f>
        <v>RCPw/R3-47</v>
      </c>
      <c r="K655" s="65" t="str">
        <f t="shared" si="21"/>
        <v>✅ On Best Plan</v>
      </c>
      <c r="L655" s="65" t="str">
        <f>IFERROR(INDEX('Docketed Comments'!F:F,MATCH(A655,'Docketed Comments'!H:H,0)),"")</f>
        <v>Form letter</v>
      </c>
      <c r="M655" s="137" t="str">
        <f>IFERROR(HYPERLINK(INDEX('Docketed Comments'!G:G,MATCH(A655,'Docketed Comments'!H:H,0)),"📄 View Docket"),"")</f>
        <v>📄 View Docket</v>
      </c>
      <c r="N655" s="135" t="str">
        <f>IFERROR(INDEX('Docketed Comments'!N:N,MATCH(A655,'Docketed Comments'!H:H,0)),"")</f>
        <v>No</v>
      </c>
      <c r="O655" s="135" t="str">
        <f>IFERROR(INDEX('Docketed Comments'!L:L,MATCH(A655,'Docketed Comments'!H:H,0)),"")</f>
        <v>Y</v>
      </c>
      <c r="P655" s="136">
        <f t="shared" si="20"/>
        <v>0</v>
      </c>
      <c r="Q655" s="140" t="s">
        <v>5809</v>
      </c>
      <c r="R655" s="144">
        <v>0</v>
      </c>
    </row>
    <row r="656" spans="1:18" ht="21.95" customHeight="1">
      <c r="A656" s="71" t="s">
        <v>2367</v>
      </c>
      <c r="B656" s="69"/>
      <c r="C656" s="70"/>
      <c r="D656" s="69"/>
      <c r="E656" s="69"/>
      <c r="F656" s="65"/>
      <c r="G656" s="65" t="s">
        <v>5811</v>
      </c>
      <c r="H656" s="65" t="str">
        <f>IFERROR(INDEX('Docketed Comments'!C:C,MATCH(A656,'Docketed Comments'!H:H,0))&amp;", "&amp;INDEX('Docketed Comments'!B:B,MATCH(A656,'Docketed Comments'!H:H,0)),"")</f>
        <v>Jennifer, Emery</v>
      </c>
      <c r="I656" s="65" t="str">
        <f>IFERROR(INDEX('Docketed Comments'!D:D,MATCH(A656,'Docketed Comments'!H:H,0)),"")</f>
        <v>Phoenix</v>
      </c>
      <c r="J656" s="65" t="str">
        <f>IFERROR(INDEX('Docketed Comments'!I:I,MATCH(A656,'Docketed Comments'!H:H,0)),"")</f>
        <v>R3-47</v>
      </c>
      <c r="K656" s="65" t="str">
        <f t="shared" si="21"/>
        <v>✅ On Best Plan</v>
      </c>
      <c r="L656" s="65" t="str">
        <f>IFERROR(INDEX('Docketed Comments'!F:F,MATCH(A656,'Docketed Comments'!H:H,0)),"")</f>
        <v>Form letter</v>
      </c>
      <c r="M656" s="137" t="str">
        <f>IFERROR(HYPERLINK(INDEX('Docketed Comments'!G:G,MATCH(A656,'Docketed Comments'!H:H,0)),"📄 View Docket"),"")</f>
        <v>📄 View Docket</v>
      </c>
      <c r="N656" s="135" t="str">
        <f>IFERROR(INDEX('Docketed Comments'!N:N,MATCH(A656,'Docketed Comments'!H:H,0)),"")</f>
        <v>No</v>
      </c>
      <c r="O656" s="135" t="str">
        <f>IFERROR(INDEX('Docketed Comments'!L:L,MATCH(A656,'Docketed Comments'!H:H,0)),"")</f>
        <v>Y</v>
      </c>
      <c r="P656" s="136">
        <f t="shared" si="20"/>
        <v>0</v>
      </c>
      <c r="Q656" s="140"/>
      <c r="R656" s="144">
        <v>1</v>
      </c>
    </row>
    <row r="657" spans="1:18" ht="21.95" customHeight="1">
      <c r="A657" s="71" t="s">
        <v>2370</v>
      </c>
      <c r="B657" s="69" t="s">
        <v>4887</v>
      </c>
      <c r="C657" s="70">
        <v>46081</v>
      </c>
      <c r="D657" s="69" t="s">
        <v>4865</v>
      </c>
      <c r="E657" s="69" t="s">
        <v>4898</v>
      </c>
      <c r="F657" s="65" t="s">
        <v>5718</v>
      </c>
      <c r="G657" s="65"/>
      <c r="H657" s="65" t="str">
        <f>IFERROR(INDEX('Docketed Comments'!C:C,MATCH(A657,'Docketed Comments'!H:H,0))&amp;", "&amp;INDEX('Docketed Comments'!B:B,MATCH(A657,'Docketed Comments'!H:H,0)),"")</f>
        <v>Theodore, Sosnicki</v>
      </c>
      <c r="I657" s="65" t="str">
        <f>IFERROR(INDEX('Docketed Comments'!D:D,MATCH(A657,'Docketed Comments'!H:H,0)),"")</f>
        <v>Anthem</v>
      </c>
      <c r="J657" s="65" t="str">
        <f>IFERROR(INDEX('Docketed Comments'!I:I,MATCH(A657,'Docketed Comments'!H:H,0)),"")</f>
        <v>RCPw/R3-47</v>
      </c>
      <c r="K657" s="65" t="str">
        <f t="shared" si="21"/>
        <v>✅ On Best Plan</v>
      </c>
      <c r="L657" s="65" t="str">
        <f>IFERROR(INDEX('Docketed Comments'!F:F,MATCH(A657,'Docketed Comments'!H:H,0)),"")</f>
        <v>Got 8% last year, now they want 14%</v>
      </c>
      <c r="M657" s="137" t="str">
        <f>IFERROR(HYPERLINK(INDEX('Docketed Comments'!G:G,MATCH(A657,'Docketed Comments'!H:H,0)),"📄 View Docket"),"")</f>
        <v>📄 View Docket</v>
      </c>
      <c r="N657" s="135" t="str">
        <f>IFERROR(INDEX('Docketed Comments'!N:N,MATCH(A657,'Docketed Comments'!H:H,0)),"")</f>
        <v>No</v>
      </c>
      <c r="O657" s="135" t="str">
        <f>IFERROR(INDEX('Docketed Comments'!L:L,MATCH(A657,'Docketed Comments'!H:H,0)),"")</f>
        <v>Y</v>
      </c>
      <c r="P657" s="136">
        <f t="shared" si="20"/>
        <v>0</v>
      </c>
      <c r="Q657" s="140" t="s">
        <v>5809</v>
      </c>
      <c r="R657" s="144">
        <v>0</v>
      </c>
    </row>
    <row r="658" spans="1:18" ht="21.95" customHeight="1">
      <c r="A658" s="71" t="s">
        <v>2373</v>
      </c>
      <c r="B658" s="69" t="s">
        <v>4887</v>
      </c>
      <c r="C658" s="70">
        <v>45997</v>
      </c>
      <c r="D658" s="69" t="s">
        <v>4888</v>
      </c>
      <c r="E658" s="69"/>
      <c r="F658" s="65" t="s">
        <v>5750</v>
      </c>
      <c r="G658" s="65"/>
      <c r="H658" s="65" t="str">
        <f>IFERROR(INDEX('Docketed Comments'!C:C,MATCH(A658,'Docketed Comments'!H:H,0))&amp;", "&amp;INDEX('Docketed Comments'!B:B,MATCH(A658,'Docketed Comments'!H:H,0)),"")</f>
        <v>Kristin, Wyatt</v>
      </c>
      <c r="I658" s="65" t="str">
        <f>IFERROR(INDEX('Docketed Comments'!D:D,MATCH(A658,'Docketed Comments'!H:H,0)),"")</f>
        <v>Phoenix</v>
      </c>
      <c r="J658" s="65" t="str">
        <f>IFERROR(INDEX('Docketed Comments'!I:I,MATCH(A658,'Docketed Comments'!H:H,0)),"")</f>
        <v>RCPw/R3-47</v>
      </c>
      <c r="K658" s="65" t="str">
        <f t="shared" si="21"/>
        <v>✅ On Best Plan</v>
      </c>
      <c r="L658" s="65" t="str">
        <f>IFERROR(INDEX('Docketed Comments'!F:F,MATCH(A658,'Docketed Comments'!H:H,0)),"")</f>
        <v>becoming unaffordable</v>
      </c>
      <c r="M658" s="137" t="str">
        <f>IFERROR(HYPERLINK(INDEX('Docketed Comments'!G:G,MATCH(A658,'Docketed Comments'!H:H,0)),"📄 View Docket"),"")</f>
        <v>📄 View Docket</v>
      </c>
      <c r="N658" s="135" t="str">
        <f>IFERROR(INDEX('Docketed Comments'!N:N,MATCH(A658,'Docketed Comments'!H:H,0)),"")</f>
        <v>No</v>
      </c>
      <c r="O658" s="135" t="str">
        <f>IFERROR(INDEX('Docketed Comments'!L:L,MATCH(A658,'Docketed Comments'!H:H,0)),"")</f>
        <v>Y</v>
      </c>
      <c r="P658" s="136">
        <f t="shared" si="20"/>
        <v>0</v>
      </c>
      <c r="Q658" s="140" t="s">
        <v>5809</v>
      </c>
      <c r="R658" s="144">
        <v>0</v>
      </c>
    </row>
    <row r="659" spans="1:18" ht="21.95" customHeight="1">
      <c r="A659" s="71" t="s">
        <v>2379</v>
      </c>
      <c r="B659" s="69"/>
      <c r="C659" s="70"/>
      <c r="D659" s="69"/>
      <c r="E659" s="69"/>
      <c r="F659" s="65"/>
      <c r="G659" s="65" t="s">
        <v>5811</v>
      </c>
      <c r="H659" s="65" t="str">
        <f>IFERROR(INDEX('Docketed Comments'!C:C,MATCH(A659,'Docketed Comments'!H:H,0))&amp;", "&amp;INDEX('Docketed Comments'!B:B,MATCH(A659,'Docketed Comments'!H:H,0)),"")</f>
        <v>Courtland, Decker</v>
      </c>
      <c r="I659" s="65" t="str">
        <f>IFERROR(INDEX('Docketed Comments'!D:D,MATCH(A659,'Docketed Comments'!H:H,0)),"")</f>
        <v>Phoenix</v>
      </c>
      <c r="J659" s="65" t="str">
        <f>IFERROR(INDEX('Docketed Comments'!I:I,MATCH(A659,'Docketed Comments'!H:H,0)),"")</f>
        <v>RTOUE47</v>
      </c>
      <c r="K659" s="65" t="str">
        <f t="shared" si="21"/>
        <v>✅ On Best Plan</v>
      </c>
      <c r="L659" s="65" t="str">
        <f>IFERROR(INDEX('Docketed Comments'!F:F,MATCH(A659,'Docketed Comments'!H:H,0)),"")</f>
        <v>not fair nor financially respectful to ask for 22% increase in two years</v>
      </c>
      <c r="M659" s="137" t="str">
        <f>IFERROR(HYPERLINK(INDEX('Docketed Comments'!G:G,MATCH(A659,'Docketed Comments'!H:H,0)),"📄 View Docket"),"")</f>
        <v>📄 View Docket</v>
      </c>
      <c r="N659" s="135" t="str">
        <f>IFERROR(INDEX('Docketed Comments'!N:N,MATCH(A659,'Docketed Comments'!H:H,0)),"")</f>
        <v>No</v>
      </c>
      <c r="O659" s="135" t="str">
        <f>IFERROR(INDEX('Docketed Comments'!L:L,MATCH(A659,'Docketed Comments'!H:H,0)),"")</f>
        <v>Y</v>
      </c>
      <c r="P659" s="136">
        <f t="shared" si="20"/>
        <v>0</v>
      </c>
      <c r="Q659" s="140"/>
      <c r="R659" s="144">
        <v>1</v>
      </c>
    </row>
    <row r="660" spans="1:18" ht="21.95" customHeight="1">
      <c r="A660" s="71" t="s">
        <v>2381</v>
      </c>
      <c r="B660" s="69" t="s">
        <v>4887</v>
      </c>
      <c r="C660" s="70">
        <v>46081</v>
      </c>
      <c r="D660" s="69" t="s">
        <v>4865</v>
      </c>
      <c r="E660" s="69" t="s">
        <v>4898</v>
      </c>
      <c r="F660" s="65" t="s">
        <v>5745</v>
      </c>
      <c r="G660" s="65"/>
      <c r="H660" s="65" t="str">
        <f>IFERROR(INDEX('Docketed Comments'!C:C,MATCH(A660,'Docketed Comments'!H:H,0))&amp;", "&amp;INDEX('Docketed Comments'!B:B,MATCH(A660,'Docketed Comments'!H:H,0)),"")</f>
        <v>Devin, Boisvert</v>
      </c>
      <c r="I660" s="65" t="str">
        <f>IFERROR(INDEX('Docketed Comments'!D:D,MATCH(A660,'Docketed Comments'!H:H,0)),"")</f>
        <v>New River</v>
      </c>
      <c r="J660" s="65" t="str">
        <f>IFERROR(INDEX('Docketed Comments'!I:I,MATCH(A660,'Docketed Comments'!H:H,0)),"")</f>
        <v>EPR-6w/ET-1</v>
      </c>
      <c r="K660" s="65" t="str">
        <f t="shared" si="21"/>
        <v>⚠ Frozen Rate</v>
      </c>
      <c r="L660" s="65" t="str">
        <f>IFERROR(INDEX('Docketed Comments'!F:F,MATCH(A660,'Docketed Comments'!H:H,0)),"")</f>
        <v>Form letter</v>
      </c>
      <c r="M660" s="137" t="str">
        <f>IFERROR(HYPERLINK(INDEX('Docketed Comments'!G:G,MATCH(A660,'Docketed Comments'!H:H,0)),"📄 View Docket"),"")</f>
        <v>📄 View Docket</v>
      </c>
      <c r="N660" s="135" t="str">
        <f>IFERROR(INDEX('Docketed Comments'!N:N,MATCH(A660,'Docketed Comments'!H:H,0)),"")</f>
        <v>No</v>
      </c>
      <c r="O660" s="135" t="str">
        <f>IFERROR(INDEX('Docketed Comments'!L:L,MATCH(A660,'Docketed Comments'!H:H,0)),"")</f>
        <v>Frozen Rate</v>
      </c>
      <c r="P660" s="136">
        <f t="shared" si="20"/>
        <v>0</v>
      </c>
      <c r="Q660" s="140" t="s">
        <v>5809</v>
      </c>
      <c r="R660" s="144">
        <v>0</v>
      </c>
    </row>
    <row r="661" spans="1:18" ht="21.95" customHeight="1">
      <c r="A661" s="71" t="s">
        <v>2386</v>
      </c>
      <c r="B661" s="69"/>
      <c r="C661" s="70"/>
      <c r="D661" s="69"/>
      <c r="E661" s="69"/>
      <c r="F661" s="65"/>
      <c r="G661" s="65" t="s">
        <v>5811</v>
      </c>
      <c r="H661" s="65" t="str">
        <f>IFERROR(INDEX('Docketed Comments'!C:C,MATCH(A661,'Docketed Comments'!H:H,0))&amp;", "&amp;INDEX('Docketed Comments'!B:B,MATCH(A661,'Docketed Comments'!H:H,0)),"")</f>
        <v>Sarah &amp; Micah, Grondin</v>
      </c>
      <c r="I661" s="65" t="str">
        <f>IFERROR(INDEX('Docketed Comments'!D:D,MATCH(A661,'Docketed Comments'!H:H,0)),"")</f>
        <v>Unknown</v>
      </c>
      <c r="J661" s="65" t="str">
        <f>IFERROR(INDEX('Docketed Comments'!I:I,MATCH(A661,'Docketed Comments'!H:H,0)),"")</f>
        <v>R3-47</v>
      </c>
      <c r="K661" s="65" t="str">
        <f t="shared" si="21"/>
        <v>✅ On Best Plan</v>
      </c>
      <c r="L661" s="65" t="str">
        <f>IFERROR(INDEX('Docketed Comments'!F:F,MATCH(A661,'Docketed Comments'!H:H,0)),"")</f>
        <v>Form letter</v>
      </c>
      <c r="M661" s="137" t="str">
        <f>IFERROR(HYPERLINK(INDEX('Docketed Comments'!G:G,MATCH(A661,'Docketed Comments'!H:H,0)),"📄 View Docket"),"")</f>
        <v>📄 View Docket</v>
      </c>
      <c r="N661" s="135" t="str">
        <f>IFERROR(INDEX('Docketed Comments'!N:N,MATCH(A661,'Docketed Comments'!H:H,0)),"")</f>
        <v>No</v>
      </c>
      <c r="O661" s="135" t="str">
        <f>IFERROR(INDEX('Docketed Comments'!L:L,MATCH(A661,'Docketed Comments'!H:H,0)),"")</f>
        <v>Y</v>
      </c>
      <c r="P661" s="136">
        <f t="shared" si="20"/>
        <v>0</v>
      </c>
      <c r="Q661" s="140"/>
      <c r="R661" s="144">
        <v>1</v>
      </c>
    </row>
    <row r="662" spans="1:18" ht="21.95" customHeight="1">
      <c r="A662" s="71" t="s">
        <v>2393</v>
      </c>
      <c r="B662" s="69"/>
      <c r="C662" s="70"/>
      <c r="D662" s="69"/>
      <c r="E662" s="69"/>
      <c r="F662" s="65"/>
      <c r="G662" s="65" t="s">
        <v>5811</v>
      </c>
      <c r="H662" s="65" t="str">
        <f>IFERROR(INDEX('Docketed Comments'!C:C,MATCH(A662,'Docketed Comments'!H:H,0))&amp;", "&amp;INDEX('Docketed Comments'!B:B,MATCH(A662,'Docketed Comments'!H:H,0)),"")</f>
        <v>Terri, Lander</v>
      </c>
      <c r="I662" s="65" t="str">
        <f>IFERROR(INDEX('Docketed Comments'!D:D,MATCH(A662,'Docketed Comments'!H:H,0)),"")</f>
        <v>Phoenix</v>
      </c>
      <c r="J662" s="65" t="str">
        <f>IFERROR(INDEX('Docketed Comments'!I:I,MATCH(A662,'Docketed Comments'!H:H,0)),"")</f>
        <v>RCPw/R3-47</v>
      </c>
      <c r="K662" s="65" t="str">
        <f t="shared" si="21"/>
        <v>✅ On Best Plan</v>
      </c>
      <c r="L662" s="65" t="str">
        <f>IFERROR(INDEX('Docketed Comments'!F:F,MATCH(A662,'Docketed Comments'!H:H,0)),"")</f>
        <v>Opposed, monopoly</v>
      </c>
      <c r="M662" s="137" t="str">
        <f>IFERROR(HYPERLINK(INDEX('Docketed Comments'!G:G,MATCH(A662,'Docketed Comments'!H:H,0)),"📄 View Docket"),"")</f>
        <v>📄 View Docket</v>
      </c>
      <c r="N662" s="135" t="str">
        <f>IFERROR(INDEX('Docketed Comments'!N:N,MATCH(A662,'Docketed Comments'!H:H,0)),"")</f>
        <v>No</v>
      </c>
      <c r="O662" s="135" t="str">
        <f>IFERROR(INDEX('Docketed Comments'!L:L,MATCH(A662,'Docketed Comments'!H:H,0)),"")</f>
        <v>Y</v>
      </c>
      <c r="P662" s="136">
        <f t="shared" si="20"/>
        <v>0</v>
      </c>
      <c r="Q662" s="140"/>
      <c r="R662" s="144">
        <v>1</v>
      </c>
    </row>
    <row r="663" spans="1:18" ht="21.95" customHeight="1">
      <c r="A663" s="71" t="s">
        <v>2397</v>
      </c>
      <c r="B663" s="69" t="s">
        <v>4887</v>
      </c>
      <c r="C663" s="70">
        <v>46081</v>
      </c>
      <c r="D663" s="69" t="s">
        <v>4888</v>
      </c>
      <c r="E663" s="69"/>
      <c r="F663" s="65" t="s">
        <v>5745</v>
      </c>
      <c r="G663" s="65"/>
      <c r="H663" s="65" t="str">
        <f>IFERROR(INDEX('Docketed Comments'!C:C,MATCH(A663,'Docketed Comments'!H:H,0))&amp;", "&amp;INDEX('Docketed Comments'!B:B,MATCH(A663,'Docketed Comments'!H:H,0)),"")</f>
        <v>Lisa, Bezanson</v>
      </c>
      <c r="I663" s="65" t="str">
        <f>IFERROR(INDEX('Docketed Comments'!D:D,MATCH(A663,'Docketed Comments'!H:H,0)),"")</f>
        <v>Unknown</v>
      </c>
      <c r="J663" s="65" t="str">
        <f>IFERROR(INDEX('Docketed Comments'!I:I,MATCH(A663,'Docketed Comments'!H:H,0)),"")</f>
        <v>R-XS</v>
      </c>
      <c r="K663" s="65" t="str">
        <f t="shared" si="21"/>
        <v>✅ On Best Plan</v>
      </c>
      <c r="L663" s="65" t="str">
        <f>IFERROR(INDEX('Docketed Comments'!F:F,MATCH(A663,'Docketed Comments'!H:H,0)),"")</f>
        <v>Opposed</v>
      </c>
      <c r="M663" s="137" t="str">
        <f>IFERROR(HYPERLINK(INDEX('Docketed Comments'!G:G,MATCH(A663,'Docketed Comments'!H:H,0)),"📄 View Docket"),"")</f>
        <v>📄 View Docket</v>
      </c>
      <c r="N663" s="135" t="str">
        <f>IFERROR(INDEX('Docketed Comments'!N:N,MATCH(A663,'Docketed Comments'!H:H,0)),"")</f>
        <v>No</v>
      </c>
      <c r="O663" s="135" t="str">
        <f>IFERROR(INDEX('Docketed Comments'!L:L,MATCH(A663,'Docketed Comments'!H:H,0)),"")</f>
        <v>Y</v>
      </c>
      <c r="P663" s="136">
        <f t="shared" si="20"/>
        <v>0</v>
      </c>
      <c r="Q663" s="140" t="s">
        <v>5809</v>
      </c>
      <c r="R663" s="144">
        <v>0</v>
      </c>
    </row>
    <row r="664" spans="1:18" ht="21.95" customHeight="1">
      <c r="A664" s="71" t="s">
        <v>2399</v>
      </c>
      <c r="B664" s="69"/>
      <c r="C664" s="70"/>
      <c r="D664" s="69"/>
      <c r="E664" s="69"/>
      <c r="F664" s="65"/>
      <c r="G664" s="65" t="s">
        <v>5811</v>
      </c>
      <c r="H664" s="65" t="str">
        <f>IFERROR(INDEX('Docketed Comments'!C:C,MATCH(A664,'Docketed Comments'!H:H,0))&amp;", "&amp;INDEX('Docketed Comments'!B:B,MATCH(A664,'Docketed Comments'!H:H,0)),"")</f>
        <v>Katsura, Luke</v>
      </c>
      <c r="I664" s="65" t="str">
        <f>IFERROR(INDEX('Docketed Comments'!D:D,MATCH(A664,'Docketed Comments'!H:H,0)),"")</f>
        <v>Phoenix</v>
      </c>
      <c r="J664" s="65" t="str">
        <f>IFERROR(INDEX('Docketed Comments'!I:I,MATCH(A664,'Docketed Comments'!H:H,0)),"")</f>
        <v>R3-47</v>
      </c>
      <c r="K664" s="65" t="str">
        <f t="shared" si="21"/>
        <v>✅ On Best Plan</v>
      </c>
      <c r="L664" s="65" t="str">
        <f>IFERROR(INDEX('Docketed Comments'!F:F,MATCH(A664,'Docketed Comments'!H:H,0)),"")</f>
        <v>Form letter</v>
      </c>
      <c r="M664" s="137" t="str">
        <f>IFERROR(HYPERLINK(INDEX('Docketed Comments'!G:G,MATCH(A664,'Docketed Comments'!H:H,0)),"📄 View Docket"),"")</f>
        <v>📄 View Docket</v>
      </c>
      <c r="N664" s="135" t="str">
        <f>IFERROR(INDEX('Docketed Comments'!N:N,MATCH(A664,'Docketed Comments'!H:H,0)),"")</f>
        <v>No</v>
      </c>
      <c r="O664" s="135" t="str">
        <f>IFERROR(INDEX('Docketed Comments'!L:L,MATCH(A664,'Docketed Comments'!H:H,0)),"")</f>
        <v>Y</v>
      </c>
      <c r="P664" s="136">
        <f t="shared" si="20"/>
        <v>0</v>
      </c>
      <c r="Q664" s="140"/>
      <c r="R664" s="144">
        <v>1</v>
      </c>
    </row>
    <row r="665" spans="1:18" ht="21.95" customHeight="1">
      <c r="A665" s="71" t="s">
        <v>2404</v>
      </c>
      <c r="B665" s="69" t="s">
        <v>4887</v>
      </c>
      <c r="C665" s="70">
        <v>46081</v>
      </c>
      <c r="D665" s="69" t="s">
        <v>4888</v>
      </c>
      <c r="E665" s="69"/>
      <c r="F665" s="65" t="s">
        <v>4938</v>
      </c>
      <c r="G665" s="65"/>
      <c r="H665" s="65" t="str">
        <f>IFERROR(INDEX('Docketed Comments'!C:C,MATCH(A665,'Docketed Comments'!H:H,0))&amp;", "&amp;INDEX('Docketed Comments'!B:B,MATCH(A665,'Docketed Comments'!H:H,0)),"")</f>
        <v>Al, Boos</v>
      </c>
      <c r="I665" s="65" t="str">
        <f>IFERROR(INDEX('Docketed Comments'!D:D,MATCH(A665,'Docketed Comments'!H:H,0)),"")</f>
        <v>Phoenix</v>
      </c>
      <c r="J665" s="65" t="str">
        <f>IFERROR(INDEX('Docketed Comments'!I:I,MATCH(A665,'Docketed Comments'!H:H,0)),"")</f>
        <v>R3-47</v>
      </c>
      <c r="K665" s="65" t="str">
        <f t="shared" si="21"/>
        <v>✅ On Best Plan</v>
      </c>
      <c r="L665" s="65" t="str">
        <f>IFERROR(INDEX('Docketed Comments'!F:F,MATCH(A665,'Docketed Comments'!H:H,0)),"")</f>
        <v>egregious and possibly unaffordable by many customers</v>
      </c>
      <c r="M665" s="137" t="str">
        <f>IFERROR(HYPERLINK(INDEX('Docketed Comments'!G:G,MATCH(A665,'Docketed Comments'!H:H,0)),"📄 View Docket"),"")</f>
        <v>📄 View Docket</v>
      </c>
      <c r="N665" s="135" t="str">
        <f>IFERROR(INDEX('Docketed Comments'!N:N,MATCH(A665,'Docketed Comments'!H:H,0)),"")</f>
        <v>No</v>
      </c>
      <c r="O665" s="135" t="str">
        <f>IFERROR(INDEX('Docketed Comments'!L:L,MATCH(A665,'Docketed Comments'!H:H,0)),"")</f>
        <v>Y</v>
      </c>
      <c r="P665" s="136">
        <f t="shared" si="20"/>
        <v>0</v>
      </c>
      <c r="Q665" s="140" t="s">
        <v>5809</v>
      </c>
      <c r="R665" s="144">
        <v>0</v>
      </c>
    </row>
    <row r="666" spans="1:18" ht="21.95" customHeight="1">
      <c r="A666" s="71" t="s">
        <v>2406</v>
      </c>
      <c r="B666" s="69"/>
      <c r="C666" s="70"/>
      <c r="D666" s="69"/>
      <c r="E666" s="69"/>
      <c r="F666" s="65"/>
      <c r="G666" s="65" t="s">
        <v>5811</v>
      </c>
      <c r="H666" s="65" t="str">
        <f>IFERROR(INDEX('Docketed Comments'!C:C,MATCH(A666,'Docketed Comments'!H:H,0))&amp;", "&amp;INDEX('Docketed Comments'!B:B,MATCH(A666,'Docketed Comments'!H:H,0)),"")</f>
        <v>Cynthia, Farnsworth</v>
      </c>
      <c r="I666" s="65" t="str">
        <f>IFERROR(INDEX('Docketed Comments'!D:D,MATCH(A666,'Docketed Comments'!H:H,0)),"")</f>
        <v>Buckeye</v>
      </c>
      <c r="J666" s="65" t="str">
        <f>IFERROR(INDEX('Docketed Comments'!I:I,MATCH(A666,'Docketed Comments'!H:H,0)),"")</f>
        <v>RCPw/R3-47</v>
      </c>
      <c r="K666" s="65" t="str">
        <f t="shared" si="21"/>
        <v>✅ On Best Plan</v>
      </c>
      <c r="L666" s="65" t="str">
        <f>IFERROR(INDEX('Docketed Comments'!F:F,MATCH(A666,'Docketed Comments'!H:H,0)),"")</f>
        <v>Form letter</v>
      </c>
      <c r="M666" s="137" t="str">
        <f>IFERROR(HYPERLINK(INDEX('Docketed Comments'!G:G,MATCH(A666,'Docketed Comments'!H:H,0)),"📄 View Docket"),"")</f>
        <v>📄 View Docket</v>
      </c>
      <c r="N666" s="135" t="str">
        <f>IFERROR(INDEX('Docketed Comments'!N:N,MATCH(A666,'Docketed Comments'!H:H,0)),"")</f>
        <v>No</v>
      </c>
      <c r="O666" s="135" t="str">
        <f>IFERROR(INDEX('Docketed Comments'!L:L,MATCH(A666,'Docketed Comments'!H:H,0)),"")</f>
        <v>Y</v>
      </c>
      <c r="P666" s="136">
        <f t="shared" si="20"/>
        <v>0</v>
      </c>
      <c r="Q666" s="140"/>
      <c r="R666" s="144">
        <v>1</v>
      </c>
    </row>
    <row r="667" spans="1:18" ht="21.95" customHeight="1">
      <c r="A667" s="71" t="s">
        <v>2417</v>
      </c>
      <c r="B667" s="69"/>
      <c r="C667" s="70"/>
      <c r="D667" s="69"/>
      <c r="E667" s="69"/>
      <c r="F667" s="65"/>
      <c r="G667" s="65" t="s">
        <v>5811</v>
      </c>
      <c r="H667" s="65" t="str">
        <f>IFERROR(INDEX('Docketed Comments'!C:C,MATCH(A667,'Docketed Comments'!H:H,0))&amp;", "&amp;INDEX('Docketed Comments'!B:B,MATCH(A667,'Docketed Comments'!H:H,0)),"")</f>
        <v>Carol, Thomas</v>
      </c>
      <c r="I667" s="65" t="str">
        <f>IFERROR(INDEX('Docketed Comments'!D:D,MATCH(A667,'Docketed Comments'!H:H,0)),"")</f>
        <v>Sedona</v>
      </c>
      <c r="J667" s="65" t="str">
        <f>IFERROR(INDEX('Docketed Comments'!I:I,MATCH(A667,'Docketed Comments'!H:H,0)),"")</f>
        <v>RCPw/RTOUE47</v>
      </c>
      <c r="K667" s="65" t="str">
        <f t="shared" si="21"/>
        <v>✅ On Best Plan</v>
      </c>
      <c r="L667" s="65" t="str">
        <f>IFERROR(INDEX('Docketed Comments'!F:F,MATCH(A667,'Docketed Comments'!H:H,0)),"")</f>
        <v>Egregious, I pay approx $126 just in service charges</v>
      </c>
      <c r="M667" s="137" t="str">
        <f>IFERROR(HYPERLINK(INDEX('Docketed Comments'!G:G,MATCH(A667,'Docketed Comments'!H:H,0)),"📄 View Docket"),"")</f>
        <v>📄 View Docket</v>
      </c>
      <c r="N667" s="135" t="str">
        <f>IFERROR(INDEX('Docketed Comments'!N:N,MATCH(A667,'Docketed Comments'!H:H,0)),"")</f>
        <v>No</v>
      </c>
      <c r="O667" s="135" t="str">
        <f>IFERROR(INDEX('Docketed Comments'!L:L,MATCH(A667,'Docketed Comments'!H:H,0)),"")</f>
        <v>Y</v>
      </c>
      <c r="P667" s="136">
        <f t="shared" si="20"/>
        <v>0</v>
      </c>
      <c r="Q667" s="140"/>
      <c r="R667" s="144">
        <v>1</v>
      </c>
    </row>
    <row r="668" spans="1:18" ht="21.95" customHeight="1">
      <c r="A668" s="71" t="s">
        <v>2420</v>
      </c>
      <c r="B668" s="69" t="s">
        <v>4887</v>
      </c>
      <c r="C668" s="70">
        <v>45997</v>
      </c>
      <c r="D668" s="69" t="s">
        <v>4888</v>
      </c>
      <c r="E668" s="69"/>
      <c r="F668" s="65" t="s">
        <v>5751</v>
      </c>
      <c r="G668" s="65"/>
      <c r="H668" s="65" t="str">
        <f>IFERROR(INDEX('Docketed Comments'!C:C,MATCH(A668,'Docketed Comments'!H:H,0))&amp;", "&amp;INDEX('Docketed Comments'!B:B,MATCH(A668,'Docketed Comments'!H:H,0)),"")</f>
        <v>Andrew, Shaver</v>
      </c>
      <c r="I668" s="65" t="str">
        <f>IFERROR(INDEX('Docketed Comments'!D:D,MATCH(A668,'Docketed Comments'!H:H,0)),"")</f>
        <v>Phoenix</v>
      </c>
      <c r="J668" s="65" t="str">
        <f>IFERROR(INDEX('Docketed Comments'!I:I,MATCH(A668,'Docketed Comments'!H:H,0)),"")</f>
        <v>R3-47</v>
      </c>
      <c r="K668" s="65" t="str">
        <f t="shared" si="21"/>
        <v>✅ On Best Plan</v>
      </c>
      <c r="L668" s="65" t="str">
        <f>IFERROR(INDEX('Docketed Comments'!F:F,MATCH(A668,'Docketed Comments'!H:H,0)),"")</f>
        <v>Form letter</v>
      </c>
      <c r="M668" s="137" t="str">
        <f>IFERROR(HYPERLINK(INDEX('Docketed Comments'!G:G,MATCH(A668,'Docketed Comments'!H:H,0)),"📄 View Docket"),"")</f>
        <v>📄 View Docket</v>
      </c>
      <c r="N668" s="135" t="str">
        <f>IFERROR(INDEX('Docketed Comments'!N:N,MATCH(A668,'Docketed Comments'!H:H,0)),"")</f>
        <v>No</v>
      </c>
      <c r="O668" s="135" t="str">
        <f>IFERROR(INDEX('Docketed Comments'!L:L,MATCH(A668,'Docketed Comments'!H:H,0)),"")</f>
        <v>Y</v>
      </c>
      <c r="P668" s="136">
        <f t="shared" si="20"/>
        <v>0</v>
      </c>
      <c r="Q668" s="140" t="s">
        <v>5809</v>
      </c>
      <c r="R668" s="144">
        <v>0</v>
      </c>
    </row>
    <row r="669" spans="1:18" ht="21.95" customHeight="1">
      <c r="A669" s="71" t="s">
        <v>2422</v>
      </c>
      <c r="B669" s="69"/>
      <c r="C669" s="70"/>
      <c r="D669" s="69"/>
      <c r="E669" s="69"/>
      <c r="F669" s="65"/>
      <c r="G669" s="65" t="s">
        <v>5811</v>
      </c>
      <c r="H669" s="65" t="str">
        <f>IFERROR(INDEX('Docketed Comments'!C:C,MATCH(A669,'Docketed Comments'!H:H,0))&amp;", "&amp;INDEX('Docketed Comments'!B:B,MATCH(A669,'Docketed Comments'!H:H,0)),"")</f>
        <v>Justin, Colon</v>
      </c>
      <c r="I669" s="65" t="str">
        <f>IFERROR(INDEX('Docketed Comments'!D:D,MATCH(A669,'Docketed Comments'!H:H,0)),"")</f>
        <v>Phoenix</v>
      </c>
      <c r="J669" s="65" t="str">
        <f>IFERROR(INDEX('Docketed Comments'!I:I,MATCH(A669,'Docketed Comments'!H:H,0)),"")</f>
        <v>R-BASIC</v>
      </c>
      <c r="K669" s="65" t="str">
        <f t="shared" si="21"/>
        <v>✅ On Best Plan</v>
      </c>
      <c r="L669" s="65" t="str">
        <f>IFERROR(INDEX('Docketed Comments'!F:F,MATCH(A669,'Docketed Comments'!H:H,0)),"")</f>
        <v>Form letter</v>
      </c>
      <c r="M669" s="137" t="str">
        <f>IFERROR(HYPERLINK(INDEX('Docketed Comments'!G:G,MATCH(A669,'Docketed Comments'!H:H,0)),"📄 View Docket"),"")</f>
        <v>📄 View Docket</v>
      </c>
      <c r="N669" s="135" t="str">
        <f>IFERROR(INDEX('Docketed Comments'!N:N,MATCH(A669,'Docketed Comments'!H:H,0)),"")</f>
        <v>No</v>
      </c>
      <c r="O669" s="135" t="str">
        <f>IFERROR(INDEX('Docketed Comments'!L:L,MATCH(A669,'Docketed Comments'!H:H,0)),"")</f>
        <v>Y</v>
      </c>
      <c r="P669" s="136">
        <f t="shared" si="20"/>
        <v>0</v>
      </c>
      <c r="Q669" s="140"/>
      <c r="R669" s="144">
        <v>1</v>
      </c>
    </row>
    <row r="670" spans="1:18" ht="21.95" customHeight="1">
      <c r="A670" s="71" t="s">
        <v>2432</v>
      </c>
      <c r="B670" s="69" t="s">
        <v>4887</v>
      </c>
      <c r="C670" s="70">
        <v>46081</v>
      </c>
      <c r="D670" s="69" t="s">
        <v>4888</v>
      </c>
      <c r="E670" s="69"/>
      <c r="F670" s="65" t="s">
        <v>4938</v>
      </c>
      <c r="G670" s="65"/>
      <c r="H670" s="65" t="str">
        <f>IFERROR(INDEX('Docketed Comments'!C:C,MATCH(A670,'Docketed Comments'!H:H,0))&amp;", "&amp;INDEX('Docketed Comments'!B:B,MATCH(A670,'Docketed Comments'!H:H,0)),"")</f>
        <v>Randy, Brumund</v>
      </c>
      <c r="I670" s="65" t="str">
        <f>IFERROR(INDEX('Docketed Comments'!D:D,MATCH(A670,'Docketed Comments'!H:H,0)),"")</f>
        <v>Chino Valley</v>
      </c>
      <c r="J670" s="65" t="str">
        <f>IFERROR(INDEX('Docketed Comments'!I:I,MATCH(A670,'Docketed Comments'!H:H,0)),"")</f>
        <v>EPR-6w/E-12</v>
      </c>
      <c r="K670" s="65" t="str">
        <f t="shared" si="21"/>
        <v>⚠ Frozen Rate</v>
      </c>
      <c r="L670" s="65" t="str">
        <f>IFERROR(INDEX('Docketed Comments'!F:F,MATCH(A670,'Docketed Comments'!H:H,0)),"")</f>
        <v>Barely have enough to cover the increase of food</v>
      </c>
      <c r="M670" s="137" t="str">
        <f>IFERROR(HYPERLINK(INDEX('Docketed Comments'!G:G,MATCH(A670,'Docketed Comments'!H:H,0)),"📄 View Docket"),"")</f>
        <v>📄 View Docket</v>
      </c>
      <c r="N670" s="135" t="str">
        <f>IFERROR(INDEX('Docketed Comments'!N:N,MATCH(A670,'Docketed Comments'!H:H,0)),"")</f>
        <v>No</v>
      </c>
      <c r="O670" s="135" t="str">
        <f>IFERROR(INDEX('Docketed Comments'!L:L,MATCH(A670,'Docketed Comments'!H:H,0)),"")</f>
        <v>Frozen Rate</v>
      </c>
      <c r="P670" s="136">
        <f t="shared" si="20"/>
        <v>0</v>
      </c>
      <c r="Q670" s="140" t="s">
        <v>5809</v>
      </c>
      <c r="R670" s="144">
        <v>0</v>
      </c>
    </row>
    <row r="671" spans="1:18" ht="21.95" customHeight="1">
      <c r="A671" s="71" t="s">
        <v>2439</v>
      </c>
      <c r="B671" s="69" t="s">
        <v>4887</v>
      </c>
      <c r="C671" s="70">
        <v>46081</v>
      </c>
      <c r="D671" s="69" t="s">
        <v>4865</v>
      </c>
      <c r="E671" s="69" t="s">
        <v>4898</v>
      </c>
      <c r="F671" s="65" t="s">
        <v>5735</v>
      </c>
      <c r="G671" s="65"/>
      <c r="H671" s="65" t="str">
        <f>IFERROR(INDEX('Docketed Comments'!C:C,MATCH(A671,'Docketed Comments'!H:H,0))&amp;", "&amp;INDEX('Docketed Comments'!B:B,MATCH(A671,'Docketed Comments'!H:H,0)),"")</f>
        <v>Raju, Shah</v>
      </c>
      <c r="I671" s="65" t="str">
        <f>IFERROR(INDEX('Docketed Comments'!D:D,MATCH(A671,'Docketed Comments'!H:H,0)),"")</f>
        <v>Phoenix</v>
      </c>
      <c r="J671" s="65" t="str">
        <f>IFERROR(INDEX('Docketed Comments'!I:I,MATCH(A671,'Docketed Comments'!H:H,0)),"")</f>
        <v>EPR-6w/E-12</v>
      </c>
      <c r="K671" s="65" t="str">
        <f t="shared" si="21"/>
        <v>⚠ Frozen Rate</v>
      </c>
      <c r="L671" s="65" t="str">
        <f>IFERROR(INDEX('Docketed Comments'!F:F,MATCH(A671,'Docketed Comments'!H:H,0)),"")</f>
        <v>Opposed</v>
      </c>
      <c r="M671" s="137" t="str">
        <f>IFERROR(HYPERLINK(INDEX('Docketed Comments'!G:G,MATCH(A671,'Docketed Comments'!H:H,0)),"📄 View Docket"),"")</f>
        <v>📄 View Docket</v>
      </c>
      <c r="N671" s="135" t="str">
        <f>IFERROR(INDEX('Docketed Comments'!N:N,MATCH(A671,'Docketed Comments'!H:H,0)),"")</f>
        <v>No</v>
      </c>
      <c r="O671" s="135" t="str">
        <f>IFERROR(INDEX('Docketed Comments'!L:L,MATCH(A671,'Docketed Comments'!H:H,0)),"")</f>
        <v>Frozen Rate</v>
      </c>
      <c r="P671" s="136">
        <f t="shared" si="20"/>
        <v>0</v>
      </c>
      <c r="Q671" s="140" t="s">
        <v>5809</v>
      </c>
      <c r="R671" s="144">
        <v>0</v>
      </c>
    </row>
    <row r="672" spans="1:18" ht="21.95" customHeight="1">
      <c r="A672" s="71" t="s">
        <v>2442</v>
      </c>
      <c r="B672" s="69"/>
      <c r="C672" s="70"/>
      <c r="D672" s="69"/>
      <c r="E672" s="69"/>
      <c r="F672" s="65"/>
      <c r="G672" s="65" t="s">
        <v>5811</v>
      </c>
      <c r="H672" s="65" t="str">
        <f>IFERROR(INDEX('Docketed Comments'!C:C,MATCH(A672,'Docketed Comments'!H:H,0))&amp;", "&amp;INDEX('Docketed Comments'!B:B,MATCH(A672,'Docketed Comments'!H:H,0)),"")</f>
        <v>Mark, Pircaro</v>
      </c>
      <c r="I672" s="65" t="str">
        <f>IFERROR(INDEX('Docketed Comments'!D:D,MATCH(A672,'Docketed Comments'!H:H,0)),"")</f>
        <v>Yuma</v>
      </c>
      <c r="J672" s="65" t="str">
        <f>IFERROR(INDEX('Docketed Comments'!I:I,MATCH(A672,'Docketed Comments'!H:H,0)),"")</f>
        <v>R3-47</v>
      </c>
      <c r="K672" s="65" t="str">
        <f t="shared" si="21"/>
        <v>✅ On Best Plan</v>
      </c>
      <c r="L672" s="65" t="str">
        <f>IFERROR(INDEX('Docketed Comments'!F:F,MATCH(A672,'Docketed Comments'!H:H,0)),"")</f>
        <v>Opposed</v>
      </c>
      <c r="M672" s="137" t="str">
        <f>IFERROR(HYPERLINK(INDEX('Docketed Comments'!G:G,MATCH(A672,'Docketed Comments'!H:H,0)),"📄 View Docket"),"")</f>
        <v>📄 View Docket</v>
      </c>
      <c r="N672" s="135" t="str">
        <f>IFERROR(INDEX('Docketed Comments'!N:N,MATCH(A672,'Docketed Comments'!H:H,0)),"")</f>
        <v>No</v>
      </c>
      <c r="O672" s="135" t="str">
        <f>IFERROR(INDEX('Docketed Comments'!L:L,MATCH(A672,'Docketed Comments'!H:H,0)),"")</f>
        <v>Y</v>
      </c>
      <c r="P672" s="136">
        <f t="shared" si="20"/>
        <v>0</v>
      </c>
      <c r="Q672" s="140"/>
      <c r="R672" s="144">
        <v>1</v>
      </c>
    </row>
    <row r="673" spans="1:18" ht="21.95" customHeight="1">
      <c r="A673" s="71" t="s">
        <v>2453</v>
      </c>
      <c r="B673" s="69" t="s">
        <v>4887</v>
      </c>
      <c r="C673" s="70">
        <v>46081</v>
      </c>
      <c r="D673" s="69" t="s">
        <v>4888</v>
      </c>
      <c r="E673" s="69"/>
      <c r="F673" s="65" t="s">
        <v>4938</v>
      </c>
      <c r="G673" s="65"/>
      <c r="H673" s="65" t="str">
        <f>IFERROR(INDEX('Docketed Comments'!C:C,MATCH(A673,'Docketed Comments'!H:H,0))&amp;", "&amp;INDEX('Docketed Comments'!B:B,MATCH(A673,'Docketed Comments'!H:H,0)),"")</f>
        <v>Ingeborg, Ray</v>
      </c>
      <c r="I673" s="65" t="str">
        <f>IFERROR(INDEX('Docketed Comments'!D:D,MATCH(A673,'Docketed Comments'!H:H,0)),"")</f>
        <v>Phoenix</v>
      </c>
      <c r="J673" s="65" t="str">
        <f>IFERROR(INDEX('Docketed Comments'!I:I,MATCH(A673,'Docketed Comments'!H:H,0)),"")</f>
        <v>R3-47</v>
      </c>
      <c r="K673" s="65" t="str">
        <f t="shared" si="21"/>
        <v>✅ On Best Plan</v>
      </c>
      <c r="L673" s="65" t="str">
        <f>IFERROR(INDEX('Docketed Comments'!F:F,MATCH(A673,'Docketed Comments'!H:H,0)),"")</f>
        <v>Opposed</v>
      </c>
      <c r="M673" s="137" t="str">
        <f>IFERROR(HYPERLINK(INDEX('Docketed Comments'!G:G,MATCH(A673,'Docketed Comments'!H:H,0)),"📄 View Docket"),"")</f>
        <v>📄 View Docket</v>
      </c>
      <c r="N673" s="135" t="str">
        <f>IFERROR(INDEX('Docketed Comments'!N:N,MATCH(A673,'Docketed Comments'!H:H,0)),"")</f>
        <v>No</v>
      </c>
      <c r="O673" s="135" t="str">
        <f>IFERROR(INDEX('Docketed Comments'!L:L,MATCH(A673,'Docketed Comments'!H:H,0)),"")</f>
        <v>Y</v>
      </c>
      <c r="P673" s="136">
        <f t="shared" si="20"/>
        <v>0</v>
      </c>
      <c r="Q673" s="140" t="s">
        <v>5809</v>
      </c>
      <c r="R673" s="144">
        <v>0</v>
      </c>
    </row>
    <row r="674" spans="1:18" ht="21.95" customHeight="1">
      <c r="A674" s="71" t="s">
        <v>2464</v>
      </c>
      <c r="B674" s="69" t="s">
        <v>4887</v>
      </c>
      <c r="C674" s="70">
        <v>46081</v>
      </c>
      <c r="D674" s="69" t="s">
        <v>4865</v>
      </c>
      <c r="E674" s="69" t="s">
        <v>4898</v>
      </c>
      <c r="F674" s="65"/>
      <c r="G674" s="65"/>
      <c r="H674" s="65" t="str">
        <f>IFERROR(INDEX('Docketed Comments'!C:C,MATCH(A674,'Docketed Comments'!H:H,0))&amp;", "&amp;INDEX('Docketed Comments'!B:B,MATCH(A674,'Docketed Comments'!H:H,0)),"")</f>
        <v>Kyle, Frederick</v>
      </c>
      <c r="I674" s="65" t="str">
        <f>IFERROR(INDEX('Docketed Comments'!D:D,MATCH(A674,'Docketed Comments'!H:H,0)),"")</f>
        <v>Buckeye</v>
      </c>
      <c r="J674" s="65" t="str">
        <f>IFERROR(INDEX('Docketed Comments'!I:I,MATCH(A674,'Docketed Comments'!H:H,0)),"")</f>
        <v>RCPw/RTOUE47</v>
      </c>
      <c r="K674" s="65" t="str">
        <f t="shared" si="21"/>
        <v>✅ On Best Plan</v>
      </c>
      <c r="L674" s="65" t="str">
        <f>IFERROR(INDEX('Docketed Comments'!F:F,MATCH(A674,'Docketed Comments'!H:H,0)),"")</f>
        <v>Opposed</v>
      </c>
      <c r="M674" s="137" t="str">
        <f>IFERROR(HYPERLINK(INDEX('Docketed Comments'!G:G,MATCH(A674,'Docketed Comments'!H:H,0)),"📄 View Docket"),"")</f>
        <v>📄 View Docket</v>
      </c>
      <c r="N674" s="135" t="str">
        <f>IFERROR(INDEX('Docketed Comments'!N:N,MATCH(A674,'Docketed Comments'!H:H,0)),"")</f>
        <v>No</v>
      </c>
      <c r="O674" s="135" t="str">
        <f>IFERROR(INDEX('Docketed Comments'!L:L,MATCH(A674,'Docketed Comments'!H:H,0)),"")</f>
        <v>Y</v>
      </c>
      <c r="P674" s="136">
        <f t="shared" si="20"/>
        <v>0</v>
      </c>
      <c r="Q674" s="140" t="s">
        <v>5809</v>
      </c>
      <c r="R674" s="144">
        <v>0</v>
      </c>
    </row>
    <row r="675" spans="1:18" ht="21.95" customHeight="1">
      <c r="A675" s="71" t="s">
        <v>2466</v>
      </c>
      <c r="B675" s="69"/>
      <c r="C675" s="70"/>
      <c r="D675" s="69"/>
      <c r="E675" s="69"/>
      <c r="F675" s="65"/>
      <c r="G675" s="65" t="s">
        <v>5811</v>
      </c>
      <c r="H675" s="65" t="str">
        <f>IFERROR(INDEX('Docketed Comments'!C:C,MATCH(A675,'Docketed Comments'!H:H,0))&amp;", "&amp;INDEX('Docketed Comments'!B:B,MATCH(A675,'Docketed Comments'!H:H,0)),"")</f>
        <v>Paul, Craycroft</v>
      </c>
      <c r="I675" s="65" t="str">
        <f>IFERROR(INDEX('Docketed Comments'!D:D,MATCH(A675,'Docketed Comments'!H:H,0)),"")</f>
        <v>Goodyear</v>
      </c>
      <c r="J675" s="65" t="str">
        <f>IFERROR(INDEX('Docketed Comments'!I:I,MATCH(A675,'Docketed Comments'!H:H,0)),"")</f>
        <v>RCPw/R-2</v>
      </c>
      <c r="K675" s="65" t="str">
        <f t="shared" si="21"/>
        <v>⚠ Frozen Rate</v>
      </c>
      <c r="L675" s="65" t="str">
        <f>IFERROR(INDEX('Docketed Comments'!F:F,MATCH(A675,'Docketed Comments'!H:H,0)),"")</f>
        <v>Opposed</v>
      </c>
      <c r="M675" s="137" t="str">
        <f>IFERROR(HYPERLINK(INDEX('Docketed Comments'!G:G,MATCH(A675,'Docketed Comments'!H:H,0)),"📄 View Docket"),"")</f>
        <v>📄 View Docket</v>
      </c>
      <c r="N675" s="135" t="str">
        <f>IFERROR(INDEX('Docketed Comments'!N:N,MATCH(A675,'Docketed Comments'!H:H,0)),"")</f>
        <v>No</v>
      </c>
      <c r="O675" s="135" t="str">
        <f>IFERROR(INDEX('Docketed Comments'!L:L,MATCH(A675,'Docketed Comments'!H:H,0)),"")</f>
        <v>Frozen Rate</v>
      </c>
      <c r="P675" s="136">
        <f t="shared" si="20"/>
        <v>0</v>
      </c>
      <c r="Q675" s="140"/>
      <c r="R675" s="144">
        <v>1</v>
      </c>
    </row>
    <row r="676" spans="1:18" ht="21.95" customHeight="1">
      <c r="A676" s="71" t="s">
        <v>2474</v>
      </c>
      <c r="B676" s="69" t="s">
        <v>4887</v>
      </c>
      <c r="C676" s="70">
        <v>46081</v>
      </c>
      <c r="D676" s="69" t="s">
        <v>4888</v>
      </c>
      <c r="E676" s="69"/>
      <c r="F676" s="65" t="s">
        <v>4938</v>
      </c>
      <c r="G676" s="65"/>
      <c r="H676" s="65" t="str">
        <f>IFERROR(INDEX('Docketed Comments'!C:C,MATCH(A676,'Docketed Comments'!H:H,0))&amp;", "&amp;INDEX('Docketed Comments'!B:B,MATCH(A676,'Docketed Comments'!H:H,0)),"")</f>
        <v>Chris , Starr</v>
      </c>
      <c r="I676" s="65" t="str">
        <f>IFERROR(INDEX('Docketed Comments'!D:D,MATCH(A676,'Docketed Comments'!H:H,0)),"")</f>
        <v>Peoria</v>
      </c>
      <c r="J676" s="65" t="str">
        <f>IFERROR(INDEX('Docketed Comments'!I:I,MATCH(A676,'Docketed Comments'!H:H,0)),"")</f>
        <v>RTOUE47</v>
      </c>
      <c r="K676" s="65" t="str">
        <f t="shared" si="21"/>
        <v>✅ On Best Plan</v>
      </c>
      <c r="L676" s="65" t="str">
        <f>IFERROR(INDEX('Docketed Comments'!F:F,MATCH(A676,'Docketed Comments'!H:H,0)),"")</f>
        <v>Opposed</v>
      </c>
      <c r="M676" s="137" t="str">
        <f>IFERROR(HYPERLINK(INDEX('Docketed Comments'!G:G,MATCH(A676,'Docketed Comments'!H:H,0)),"📄 View Docket"),"")</f>
        <v>📄 View Docket</v>
      </c>
      <c r="N676" s="135" t="str">
        <f>IFERROR(INDEX('Docketed Comments'!N:N,MATCH(A676,'Docketed Comments'!H:H,0)),"")</f>
        <v>No</v>
      </c>
      <c r="O676" s="135" t="str">
        <f>IFERROR(INDEX('Docketed Comments'!L:L,MATCH(A676,'Docketed Comments'!H:H,0)),"")</f>
        <v>Y</v>
      </c>
      <c r="P676" s="136">
        <f t="shared" si="20"/>
        <v>0</v>
      </c>
      <c r="Q676" s="140" t="s">
        <v>5809</v>
      </c>
      <c r="R676" s="144">
        <v>0</v>
      </c>
    </row>
    <row r="677" spans="1:18" ht="21.95" customHeight="1">
      <c r="A677" s="71" t="s">
        <v>2477</v>
      </c>
      <c r="B677" s="69"/>
      <c r="C677" s="70"/>
      <c r="D677" s="69"/>
      <c r="E677" s="69"/>
      <c r="F677" s="65"/>
      <c r="G677" s="65" t="s">
        <v>5811</v>
      </c>
      <c r="H677" s="65" t="str">
        <f>IFERROR(INDEX('Docketed Comments'!C:C,MATCH(A677,'Docketed Comments'!H:H,0))&amp;", "&amp;INDEX('Docketed Comments'!B:B,MATCH(A677,'Docketed Comments'!H:H,0)),"")</f>
        <v>Aaron, Lassner</v>
      </c>
      <c r="I677" s="65" t="str">
        <f>IFERROR(INDEX('Docketed Comments'!D:D,MATCH(A677,'Docketed Comments'!H:H,0)),"")</f>
        <v>Surprise</v>
      </c>
      <c r="J677" s="65" t="str">
        <f>IFERROR(INDEX('Docketed Comments'!I:I,MATCH(A677,'Docketed Comments'!H:H,0)),"")</f>
        <v>RCPw/RTOUE47</v>
      </c>
      <c r="K677" s="65" t="str">
        <f t="shared" si="21"/>
        <v>✅ On Best Plan</v>
      </c>
      <c r="L677" s="65" t="str">
        <f>IFERROR(INDEX('Docketed Comments'!F:F,MATCH(A677,'Docketed Comments'!H:H,0)),"")</f>
        <v>Form letter</v>
      </c>
      <c r="M677" s="137" t="str">
        <f>IFERROR(HYPERLINK(INDEX('Docketed Comments'!G:G,MATCH(A677,'Docketed Comments'!H:H,0)),"📄 View Docket"),"")</f>
        <v>📄 View Docket</v>
      </c>
      <c r="N677" s="135" t="str">
        <f>IFERROR(INDEX('Docketed Comments'!N:N,MATCH(A677,'Docketed Comments'!H:H,0)),"")</f>
        <v>No</v>
      </c>
      <c r="O677" s="135" t="str">
        <f>IFERROR(INDEX('Docketed Comments'!L:L,MATCH(A677,'Docketed Comments'!H:H,0)),"")</f>
        <v>Y</v>
      </c>
      <c r="P677" s="136">
        <f t="shared" si="20"/>
        <v>0</v>
      </c>
      <c r="Q677" s="140"/>
      <c r="R677" s="144">
        <v>1</v>
      </c>
    </row>
    <row r="678" spans="1:18" ht="21.95" customHeight="1">
      <c r="A678" s="71" t="s">
        <v>2481</v>
      </c>
      <c r="B678" s="69" t="s">
        <v>4887</v>
      </c>
      <c r="C678" s="70">
        <v>46081</v>
      </c>
      <c r="D678" s="69" t="s">
        <v>4865</v>
      </c>
      <c r="E678" s="69" t="s">
        <v>4898</v>
      </c>
      <c r="F678" s="65"/>
      <c r="G678" s="65"/>
      <c r="H678" s="65" t="str">
        <f>IFERROR(INDEX('Docketed Comments'!C:C,MATCH(A678,'Docketed Comments'!H:H,0))&amp;", "&amp;INDEX('Docketed Comments'!B:B,MATCH(A678,'Docketed Comments'!H:H,0)),"")</f>
        <v>Saeed, Mohajerin</v>
      </c>
      <c r="I678" s="65" t="str">
        <f>IFERROR(INDEX('Docketed Comments'!D:D,MATCH(A678,'Docketed Comments'!H:H,0)),"")</f>
        <v>Scottsdale</v>
      </c>
      <c r="J678" s="65" t="str">
        <f>IFERROR(INDEX('Docketed Comments'!I:I,MATCH(A678,'Docketed Comments'!H:H,0)),"")</f>
        <v>R3-47</v>
      </c>
      <c r="K678" s="65" t="str">
        <f t="shared" si="21"/>
        <v>✅ On Best Plan</v>
      </c>
      <c r="L678" s="65" t="str">
        <f>IFERROR(INDEX('Docketed Comments'!F:F,MATCH(A678,'Docketed Comments'!H:H,0)),"")</f>
        <v>How much is enough</v>
      </c>
      <c r="M678" s="137" t="str">
        <f>IFERROR(HYPERLINK(INDEX('Docketed Comments'!G:G,MATCH(A678,'Docketed Comments'!H:H,0)),"📄 View Docket"),"")</f>
        <v>📄 View Docket</v>
      </c>
      <c r="N678" s="135" t="str">
        <f>IFERROR(INDEX('Docketed Comments'!N:N,MATCH(A678,'Docketed Comments'!H:H,0)),"")</f>
        <v>No</v>
      </c>
      <c r="O678" s="135" t="str">
        <f>IFERROR(INDEX('Docketed Comments'!L:L,MATCH(A678,'Docketed Comments'!H:H,0)),"")</f>
        <v>Y</v>
      </c>
      <c r="P678" s="136">
        <f t="shared" si="20"/>
        <v>0</v>
      </c>
      <c r="Q678" s="140" t="s">
        <v>5809</v>
      </c>
      <c r="R678" s="144">
        <v>0</v>
      </c>
    </row>
    <row r="679" spans="1:18" ht="21.95" customHeight="1">
      <c r="A679" s="71" t="s">
        <v>2492</v>
      </c>
      <c r="B679" s="69"/>
      <c r="C679" s="70"/>
      <c r="D679" s="69"/>
      <c r="E679" s="69"/>
      <c r="F679" s="65"/>
      <c r="G679" s="65" t="s">
        <v>5811</v>
      </c>
      <c r="H679" s="65" t="str">
        <f>IFERROR(INDEX('Docketed Comments'!C:C,MATCH(A679,'Docketed Comments'!H:H,0))&amp;", "&amp;INDEX('Docketed Comments'!B:B,MATCH(A679,'Docketed Comments'!H:H,0)),"")</f>
        <v>Shirley, Thompson</v>
      </c>
      <c r="I679" s="65" t="str">
        <f>IFERROR(INDEX('Docketed Comments'!D:D,MATCH(A679,'Docketed Comments'!H:H,0)),"")</f>
        <v>Goodyear</v>
      </c>
      <c r="J679" s="65" t="str">
        <f>IFERROR(INDEX('Docketed Comments'!I:I,MATCH(A679,'Docketed Comments'!H:H,0)),"")</f>
        <v>R3-47</v>
      </c>
      <c r="K679" s="65" t="str">
        <f t="shared" si="21"/>
        <v>✅ On Best Plan</v>
      </c>
      <c r="L679" s="65" t="str">
        <f>IFERROR(INDEX('Docketed Comments'!F:F,MATCH(A679,'Docketed Comments'!H:H,0)),"")</f>
        <v>Opposed</v>
      </c>
      <c r="M679" s="137" t="str">
        <f>IFERROR(HYPERLINK(INDEX('Docketed Comments'!G:G,MATCH(A679,'Docketed Comments'!H:H,0)),"📄 View Docket"),"")</f>
        <v>📄 View Docket</v>
      </c>
      <c r="N679" s="135" t="str">
        <f>IFERROR(INDEX('Docketed Comments'!N:N,MATCH(A679,'Docketed Comments'!H:H,0)),"")</f>
        <v>No</v>
      </c>
      <c r="O679" s="135" t="str">
        <f>IFERROR(INDEX('Docketed Comments'!L:L,MATCH(A679,'Docketed Comments'!H:H,0)),"")</f>
        <v>Y</v>
      </c>
      <c r="P679" s="136">
        <f t="shared" si="20"/>
        <v>0</v>
      </c>
      <c r="Q679" s="140"/>
      <c r="R679" s="144">
        <v>1</v>
      </c>
    </row>
    <row r="680" spans="1:18" ht="21.95" customHeight="1">
      <c r="A680" s="71" t="s">
        <v>2506</v>
      </c>
      <c r="B680" s="69"/>
      <c r="C680" s="70"/>
      <c r="D680" s="69"/>
      <c r="E680" s="69"/>
      <c r="F680" s="65"/>
      <c r="G680" s="65" t="s">
        <v>5811</v>
      </c>
      <c r="H680" s="65" t="str">
        <f>IFERROR(INDEX('Docketed Comments'!C:C,MATCH(A680,'Docketed Comments'!H:H,0))&amp;", "&amp;INDEX('Docketed Comments'!B:B,MATCH(A680,'Docketed Comments'!H:H,0)),"")</f>
        <v>Melissa, Redman</v>
      </c>
      <c r="I680" s="65" t="str">
        <f>IFERROR(INDEX('Docketed Comments'!D:D,MATCH(A680,'Docketed Comments'!H:H,0)),"")</f>
        <v>Glendale</v>
      </c>
      <c r="J680" s="65" t="str">
        <f>IFERROR(INDEX('Docketed Comments'!I:I,MATCH(A680,'Docketed Comments'!H:H,0)),"")</f>
        <v>EPR-6w/E-12</v>
      </c>
      <c r="K680" s="65" t="str">
        <f t="shared" si="21"/>
        <v>⚠ Frozen Rate</v>
      </c>
      <c r="L680" s="65" t="str">
        <f>IFERROR(INDEX('Docketed Comments'!F:F,MATCH(A680,'Docketed Comments'!H:H,0)),"")</f>
        <v>Form letter</v>
      </c>
      <c r="M680" s="137" t="str">
        <f>IFERROR(HYPERLINK(INDEX('Docketed Comments'!G:G,MATCH(A680,'Docketed Comments'!H:H,0)),"📄 View Docket"),"")</f>
        <v>📄 View Docket</v>
      </c>
      <c r="N680" s="135" t="str">
        <f>IFERROR(INDEX('Docketed Comments'!N:N,MATCH(A680,'Docketed Comments'!H:H,0)),"")</f>
        <v>No</v>
      </c>
      <c r="O680" s="135" t="str">
        <f>IFERROR(INDEX('Docketed Comments'!L:L,MATCH(A680,'Docketed Comments'!H:H,0)),"")</f>
        <v>Frozen Rate</v>
      </c>
      <c r="P680" s="136">
        <f t="shared" si="20"/>
        <v>0</v>
      </c>
      <c r="Q680" s="140"/>
      <c r="R680" s="144">
        <v>1</v>
      </c>
    </row>
    <row r="681" spans="1:18" ht="21.95" customHeight="1">
      <c r="A681" s="71" t="s">
        <v>2508</v>
      </c>
      <c r="B681" s="69" t="s">
        <v>4887</v>
      </c>
      <c r="C681" s="70">
        <v>45997</v>
      </c>
      <c r="D681" s="69" t="s">
        <v>4888</v>
      </c>
      <c r="E681" s="69"/>
      <c r="F681" s="65" t="s">
        <v>5730</v>
      </c>
      <c r="G681" s="65"/>
      <c r="H681" s="65" t="str">
        <f>IFERROR(INDEX('Docketed Comments'!C:C,MATCH(A681,'Docketed Comments'!H:H,0))&amp;", "&amp;INDEX('Docketed Comments'!B:B,MATCH(A681,'Docketed Comments'!H:H,0)),"")</f>
        <v xml:space="preserve">Kevin, Salt </v>
      </c>
      <c r="I681" s="65" t="str">
        <f>IFERROR(INDEX('Docketed Comments'!D:D,MATCH(A681,'Docketed Comments'!H:H,0)),"")</f>
        <v>Scottsdale</v>
      </c>
      <c r="J681" s="65" t="str">
        <f>IFERROR(INDEX('Docketed Comments'!I:I,MATCH(A681,'Docketed Comments'!H:H,0)),"")</f>
        <v>R-2</v>
      </c>
      <c r="K681" s="65" t="str">
        <f t="shared" si="21"/>
        <v>⚠ Frozen Rate</v>
      </c>
      <c r="L681" s="65" t="str">
        <f>IFERROR(INDEX('Docketed Comments'!F:F,MATCH(A681,'Docketed Comments'!H:H,0)),"")</f>
        <v>Opposed</v>
      </c>
      <c r="M681" s="137" t="str">
        <f>IFERROR(HYPERLINK(INDEX('Docketed Comments'!G:G,MATCH(A681,'Docketed Comments'!H:H,0)),"📄 View Docket"),"")</f>
        <v>📄 View Docket</v>
      </c>
      <c r="N681" s="135" t="str">
        <f>IFERROR(INDEX('Docketed Comments'!N:N,MATCH(A681,'Docketed Comments'!H:H,0)),"")</f>
        <v>No</v>
      </c>
      <c r="O681" s="135" t="str">
        <f>IFERROR(INDEX('Docketed Comments'!L:L,MATCH(A681,'Docketed Comments'!H:H,0)),"")</f>
        <v>Frozen Rate</v>
      </c>
      <c r="P681" s="136">
        <f t="shared" si="20"/>
        <v>0</v>
      </c>
      <c r="Q681" s="140" t="s">
        <v>5809</v>
      </c>
      <c r="R681" s="144">
        <v>0</v>
      </c>
    </row>
    <row r="682" spans="1:18" ht="21.95" customHeight="1">
      <c r="A682" s="71" t="s">
        <v>2514</v>
      </c>
      <c r="B682" s="69"/>
      <c r="C682" s="70"/>
      <c r="D682" s="69"/>
      <c r="E682" s="69"/>
      <c r="F682" s="65"/>
      <c r="G682" s="65" t="s">
        <v>5811</v>
      </c>
      <c r="H682" s="65" t="str">
        <f>IFERROR(INDEX('Docketed Comments'!C:C,MATCH(A682,'Docketed Comments'!H:H,0))&amp;", "&amp;INDEX('Docketed Comments'!B:B,MATCH(A682,'Docketed Comments'!H:H,0)),"")</f>
        <v>Steven, Harms</v>
      </c>
      <c r="I682" s="65" t="str">
        <f>IFERROR(INDEX('Docketed Comments'!D:D,MATCH(A682,'Docketed Comments'!H:H,0)),"")</f>
        <v>Prescott</v>
      </c>
      <c r="J682" s="65" t="str">
        <f>IFERROR(INDEX('Docketed Comments'!I:I,MATCH(A682,'Docketed Comments'!H:H,0)),"")</f>
        <v>R-XS</v>
      </c>
      <c r="K682" s="65" t="str">
        <f t="shared" si="21"/>
        <v>✅ On Best Plan</v>
      </c>
      <c r="L682" s="65" t="str">
        <f>IFERROR(INDEX('Docketed Comments'!F:F,MATCH(A682,'Docketed Comments'!H:H,0)),"")</f>
        <v>Reduced exorbitant salaries</v>
      </c>
      <c r="M682" s="137" t="str">
        <f>IFERROR(HYPERLINK(INDEX('Docketed Comments'!G:G,MATCH(A682,'Docketed Comments'!H:H,0)),"📄 View Docket"),"")</f>
        <v>📄 View Docket</v>
      </c>
      <c r="N682" s="135" t="str">
        <f>IFERROR(INDEX('Docketed Comments'!N:N,MATCH(A682,'Docketed Comments'!H:H,0)),"")</f>
        <v>No</v>
      </c>
      <c r="O682" s="135" t="str">
        <f>IFERROR(INDEX('Docketed Comments'!L:L,MATCH(A682,'Docketed Comments'!H:H,0)),"")</f>
        <v>Y</v>
      </c>
      <c r="P682" s="136">
        <f t="shared" si="20"/>
        <v>0</v>
      </c>
      <c r="Q682" s="140"/>
      <c r="R682" s="144">
        <v>1</v>
      </c>
    </row>
    <row r="683" spans="1:18" ht="21.95" customHeight="1">
      <c r="A683" s="71" t="s">
        <v>2523</v>
      </c>
      <c r="B683" s="69" t="s">
        <v>4887</v>
      </c>
      <c r="C683" s="70">
        <v>45997</v>
      </c>
      <c r="D683" s="69" t="s">
        <v>4888</v>
      </c>
      <c r="E683" s="69"/>
      <c r="F683" s="65" t="s">
        <v>5736</v>
      </c>
      <c r="G683" s="65"/>
      <c r="H683" s="65" t="str">
        <f>IFERROR(INDEX('Docketed Comments'!C:C,MATCH(A683,'Docketed Comments'!H:H,0))&amp;", "&amp;INDEX('Docketed Comments'!B:B,MATCH(A683,'Docketed Comments'!H:H,0)),"")</f>
        <v>David, Dukart</v>
      </c>
      <c r="I683" s="65" t="str">
        <f>IFERROR(INDEX('Docketed Comments'!D:D,MATCH(A683,'Docketed Comments'!H:H,0)),"")</f>
        <v>Glendale</v>
      </c>
      <c r="J683" s="65" t="str">
        <f>IFERROR(INDEX('Docketed Comments'!I:I,MATCH(A683,'Docketed Comments'!H:H,0)),"")</f>
        <v>R-2</v>
      </c>
      <c r="K683" s="65" t="str">
        <f t="shared" si="21"/>
        <v>⚠ Frozen Rate</v>
      </c>
      <c r="L683" s="65" t="str">
        <f>IFERROR(INDEX('Docketed Comments'!F:F,MATCH(A683,'Docketed Comments'!H:H,0)),"")</f>
        <v>Corporate Greed</v>
      </c>
      <c r="M683" s="137" t="str">
        <f>IFERROR(HYPERLINK(INDEX('Docketed Comments'!G:G,MATCH(A683,'Docketed Comments'!H:H,0)),"📄 View Docket"),"")</f>
        <v>📄 View Docket</v>
      </c>
      <c r="N683" s="135" t="str">
        <f>IFERROR(INDEX('Docketed Comments'!N:N,MATCH(A683,'Docketed Comments'!H:H,0)),"")</f>
        <v>No</v>
      </c>
      <c r="O683" s="135" t="str">
        <f>IFERROR(INDEX('Docketed Comments'!L:L,MATCH(A683,'Docketed Comments'!H:H,0)),"")</f>
        <v>Frozen Rate</v>
      </c>
      <c r="P683" s="136">
        <f t="shared" si="20"/>
        <v>0</v>
      </c>
      <c r="Q683" s="140" t="s">
        <v>5809</v>
      </c>
      <c r="R683" s="144">
        <v>0</v>
      </c>
    </row>
    <row r="684" spans="1:18" ht="21.95" customHeight="1">
      <c r="A684" s="71" t="s">
        <v>2537</v>
      </c>
      <c r="B684" s="69"/>
      <c r="C684" s="70"/>
      <c r="D684" s="69"/>
      <c r="E684" s="69"/>
      <c r="F684" s="65"/>
      <c r="G684" s="65" t="s">
        <v>5811</v>
      </c>
      <c r="H684" s="65" t="str">
        <f>IFERROR(INDEX('Docketed Comments'!C:C,MATCH(A684,'Docketed Comments'!H:H,0))&amp;", "&amp;INDEX('Docketed Comments'!B:B,MATCH(A684,'Docketed Comments'!H:H,0)),"")</f>
        <v>David, Andrews</v>
      </c>
      <c r="I684" s="65" t="str">
        <f>IFERROR(INDEX('Docketed Comments'!D:D,MATCH(A684,'Docketed Comments'!H:H,0)),"")</f>
        <v>Yuma</v>
      </c>
      <c r="J684" s="65" t="str">
        <f>IFERROR(INDEX('Docketed Comments'!I:I,MATCH(A684,'Docketed Comments'!H:H,0)),"")</f>
        <v>R-XS</v>
      </c>
      <c r="K684" s="65" t="str">
        <f t="shared" si="21"/>
        <v>✅ On Best Plan</v>
      </c>
      <c r="L684" s="65" t="str">
        <f>IFERROR(INDEX('Docketed Comments'!F:F,MATCH(A684,'Docketed Comments'!H:H,0)),"")</f>
        <v>Firmly against</v>
      </c>
      <c r="M684" s="137" t="str">
        <f>IFERROR(HYPERLINK(INDEX('Docketed Comments'!G:G,MATCH(A684,'Docketed Comments'!H:H,0)),"📄 View Docket"),"")</f>
        <v>📄 View Docket</v>
      </c>
      <c r="N684" s="135" t="str">
        <f>IFERROR(INDEX('Docketed Comments'!N:N,MATCH(A684,'Docketed Comments'!H:H,0)),"")</f>
        <v>No</v>
      </c>
      <c r="O684" s="135" t="str">
        <f>IFERROR(INDEX('Docketed Comments'!L:L,MATCH(A684,'Docketed Comments'!H:H,0)),"")</f>
        <v>Y</v>
      </c>
      <c r="P684" s="136">
        <f t="shared" si="20"/>
        <v>0</v>
      </c>
      <c r="Q684" s="140"/>
      <c r="R684" s="144">
        <v>1</v>
      </c>
    </row>
    <row r="685" spans="1:18" ht="21.95" customHeight="1">
      <c r="A685" s="71" t="s">
        <v>2539</v>
      </c>
      <c r="B685" s="69" t="s">
        <v>4887</v>
      </c>
      <c r="C685" s="70">
        <v>46081</v>
      </c>
      <c r="D685" s="69" t="s">
        <v>4865</v>
      </c>
      <c r="E685" s="69" t="s">
        <v>4899</v>
      </c>
      <c r="F685" s="65" t="s">
        <v>5754</v>
      </c>
      <c r="G685" s="65"/>
      <c r="H685" s="65" t="str">
        <f>IFERROR(INDEX('Docketed Comments'!C:C,MATCH(A685,'Docketed Comments'!H:H,0))&amp;", "&amp;INDEX('Docketed Comments'!B:B,MATCH(A685,'Docketed Comments'!H:H,0)),"")</f>
        <v>Anthony, Harris</v>
      </c>
      <c r="I685" s="65" t="str">
        <f>IFERROR(INDEX('Docketed Comments'!D:D,MATCH(A685,'Docketed Comments'!H:H,0)),"")</f>
        <v>Glendale</v>
      </c>
      <c r="J685" s="65" t="str">
        <f>IFERROR(INDEX('Docketed Comments'!I:I,MATCH(A685,'Docketed Comments'!H:H,0)),"")</f>
        <v>R3-47</v>
      </c>
      <c r="K685" s="65" t="str">
        <f t="shared" si="21"/>
        <v>✅ On Best Plan</v>
      </c>
      <c r="L685" s="65" t="str">
        <f>IFERROR(INDEX('Docketed Comments'!F:F,MATCH(A685,'Docketed Comments'!H:H,0)),"")</f>
        <v>Form letter</v>
      </c>
      <c r="M685" s="137" t="str">
        <f>IFERROR(HYPERLINK(INDEX('Docketed Comments'!G:G,MATCH(A685,'Docketed Comments'!H:H,0)),"📄 View Docket"),"")</f>
        <v>📄 View Docket</v>
      </c>
      <c r="N685" s="135" t="str">
        <f>IFERROR(INDEX('Docketed Comments'!N:N,MATCH(A685,'Docketed Comments'!H:H,0)),"")</f>
        <v>No</v>
      </c>
      <c r="O685" s="135" t="str">
        <f>IFERROR(INDEX('Docketed Comments'!L:L,MATCH(A685,'Docketed Comments'!H:H,0)),"")</f>
        <v>Y</v>
      </c>
      <c r="P685" s="136">
        <f t="shared" si="20"/>
        <v>0</v>
      </c>
      <c r="Q685" s="140" t="s">
        <v>5809</v>
      </c>
      <c r="R685" s="144">
        <v>0</v>
      </c>
    </row>
    <row r="686" spans="1:18" ht="21.95" customHeight="1">
      <c r="A686" s="71" t="s">
        <v>2550</v>
      </c>
      <c r="B686" s="69" t="s">
        <v>4887</v>
      </c>
      <c r="C686" s="70">
        <v>46081</v>
      </c>
      <c r="D686" s="69" t="s">
        <v>4888</v>
      </c>
      <c r="E686" s="69"/>
      <c r="F686" s="65" t="s">
        <v>4938</v>
      </c>
      <c r="G686" s="65"/>
      <c r="H686" s="65" t="str">
        <f>IFERROR(INDEX('Docketed Comments'!C:C,MATCH(A686,'Docketed Comments'!H:H,0))&amp;", "&amp;INDEX('Docketed Comments'!B:B,MATCH(A686,'Docketed Comments'!H:H,0)),"")</f>
        <v>Brenda, Mercado-Tarango</v>
      </c>
      <c r="I686" s="65" t="str">
        <f>IFERROR(INDEX('Docketed Comments'!D:D,MATCH(A686,'Docketed Comments'!H:H,0)),"")</f>
        <v>Avondale</v>
      </c>
      <c r="J686" s="65" t="str">
        <f>IFERROR(INDEX('Docketed Comments'!I:I,MATCH(A686,'Docketed Comments'!H:H,0)),"")</f>
        <v>RCPw/R3-47</v>
      </c>
      <c r="K686" s="65" t="str">
        <f t="shared" si="21"/>
        <v>✅ On Best Plan</v>
      </c>
      <c r="L686" s="65" t="str">
        <f>IFERROR(INDEX('Docketed Comments'!F:F,MATCH(A686,'Docketed Comments'!H:H,0)),"")</f>
        <v>Opposed</v>
      </c>
      <c r="M686" s="137" t="str">
        <f>IFERROR(HYPERLINK(INDEX('Docketed Comments'!G:G,MATCH(A686,'Docketed Comments'!H:H,0)),"📄 View Docket"),"")</f>
        <v>📄 View Docket</v>
      </c>
      <c r="N686" s="135" t="str">
        <f>IFERROR(INDEX('Docketed Comments'!N:N,MATCH(A686,'Docketed Comments'!H:H,0)),"")</f>
        <v>No</v>
      </c>
      <c r="O686" s="135" t="str">
        <f>IFERROR(INDEX('Docketed Comments'!L:L,MATCH(A686,'Docketed Comments'!H:H,0)),"")</f>
        <v>Y</v>
      </c>
      <c r="P686" s="136">
        <f t="shared" si="20"/>
        <v>0</v>
      </c>
      <c r="Q686" s="140" t="s">
        <v>5809</v>
      </c>
      <c r="R686" s="144">
        <v>0</v>
      </c>
    </row>
    <row r="687" spans="1:18" ht="21.95" customHeight="1">
      <c r="A687" s="71" t="s">
        <v>2557</v>
      </c>
      <c r="B687" s="69"/>
      <c r="C687" s="70"/>
      <c r="D687" s="69"/>
      <c r="E687" s="69"/>
      <c r="F687" s="65"/>
      <c r="G687" s="65" t="s">
        <v>5811</v>
      </c>
      <c r="H687" s="65" t="str">
        <f>IFERROR(INDEX('Docketed Comments'!C:C,MATCH(A687,'Docketed Comments'!H:H,0))&amp;", "&amp;INDEX('Docketed Comments'!B:B,MATCH(A687,'Docketed Comments'!H:H,0)),"")</f>
        <v>Zachery, Sylvester</v>
      </c>
      <c r="I687" s="65" t="str">
        <f>IFERROR(INDEX('Docketed Comments'!D:D,MATCH(A687,'Docketed Comments'!H:H,0)),"")</f>
        <v>Phoenix</v>
      </c>
      <c r="J687" s="65" t="str">
        <f>IFERROR(INDEX('Docketed Comments'!I:I,MATCH(A687,'Docketed Comments'!H:H,0)),"")</f>
        <v>R-XS</v>
      </c>
      <c r="K687" s="65" t="str">
        <f t="shared" si="21"/>
        <v>✅ On Best Plan</v>
      </c>
      <c r="L687" s="65" t="str">
        <f>IFERROR(INDEX('Docketed Comments'!F:F,MATCH(A687,'Docketed Comments'!H:H,0)),"")</f>
        <v>Opposed</v>
      </c>
      <c r="M687" s="137" t="str">
        <f>IFERROR(HYPERLINK(INDEX('Docketed Comments'!G:G,MATCH(A687,'Docketed Comments'!H:H,0)),"📄 View Docket"),"")</f>
        <v>📄 View Docket</v>
      </c>
      <c r="N687" s="135" t="str">
        <f>IFERROR(INDEX('Docketed Comments'!N:N,MATCH(A687,'Docketed Comments'!H:H,0)),"")</f>
        <v>No</v>
      </c>
      <c r="O687" s="135" t="str">
        <f>IFERROR(INDEX('Docketed Comments'!L:L,MATCH(A687,'Docketed Comments'!H:H,0)),"")</f>
        <v>Y</v>
      </c>
      <c r="P687" s="136">
        <f t="shared" si="20"/>
        <v>0</v>
      </c>
      <c r="Q687" s="140"/>
      <c r="R687" s="144">
        <v>1</v>
      </c>
    </row>
    <row r="688" spans="1:18" ht="21.95" customHeight="1">
      <c r="A688" s="71" t="s">
        <v>2564</v>
      </c>
      <c r="B688" s="69" t="s">
        <v>4887</v>
      </c>
      <c r="C688" s="70">
        <v>46081</v>
      </c>
      <c r="D688" s="69" t="s">
        <v>4888</v>
      </c>
      <c r="E688" s="69"/>
      <c r="F688" s="65" t="s">
        <v>4938</v>
      </c>
      <c r="G688" s="65"/>
      <c r="H688" s="65" t="str">
        <f>IFERROR(INDEX('Docketed Comments'!C:C,MATCH(A688,'Docketed Comments'!H:H,0))&amp;", "&amp;INDEX('Docketed Comments'!B:B,MATCH(A688,'Docketed Comments'!H:H,0)),"")</f>
        <v>Richard, Callingham</v>
      </c>
      <c r="I688" s="65" t="str">
        <f>IFERROR(INDEX('Docketed Comments'!D:D,MATCH(A688,'Docketed Comments'!H:H,0)),"")</f>
        <v>Phoenix</v>
      </c>
      <c r="J688" s="65" t="str">
        <f>IFERROR(INDEX('Docketed Comments'!I:I,MATCH(A688,'Docketed Comments'!H:H,0)),"")</f>
        <v>EPR-6w/ET-2</v>
      </c>
      <c r="K688" s="65" t="str">
        <f t="shared" si="21"/>
        <v>⚠ Frozen Rate</v>
      </c>
      <c r="L688" s="65" t="str">
        <f>IFERROR(INDEX('Docketed Comments'!F:F,MATCH(A688,'Docketed Comments'!H:H,0)),"")</f>
        <v>Opposed</v>
      </c>
      <c r="M688" s="137" t="str">
        <f>IFERROR(HYPERLINK(INDEX('Docketed Comments'!G:G,MATCH(A688,'Docketed Comments'!H:H,0)),"📄 View Docket"),"")</f>
        <v>📄 View Docket</v>
      </c>
      <c r="N688" s="135" t="str">
        <f>IFERROR(INDEX('Docketed Comments'!N:N,MATCH(A688,'Docketed Comments'!H:H,0)),"")</f>
        <v>No</v>
      </c>
      <c r="O688" s="135" t="str">
        <f>IFERROR(INDEX('Docketed Comments'!L:L,MATCH(A688,'Docketed Comments'!H:H,0)),"")</f>
        <v>Frozen Rate</v>
      </c>
      <c r="P688" s="136">
        <f t="shared" si="20"/>
        <v>0</v>
      </c>
      <c r="Q688" s="140" t="s">
        <v>5809</v>
      </c>
      <c r="R688" s="144">
        <v>0</v>
      </c>
    </row>
    <row r="689" spans="1:18" ht="21.95" customHeight="1">
      <c r="A689" s="71" t="s">
        <v>2573</v>
      </c>
      <c r="B689" s="69" t="s">
        <v>4887</v>
      </c>
      <c r="C689" s="70">
        <v>46081</v>
      </c>
      <c r="D689" s="69" t="s">
        <v>4865</v>
      </c>
      <c r="E689" s="69" t="s">
        <v>4898</v>
      </c>
      <c r="F689" s="65" t="s">
        <v>5729</v>
      </c>
      <c r="G689" s="65"/>
      <c r="H689" s="65" t="str">
        <f>IFERROR(INDEX('Docketed Comments'!C:C,MATCH(A689,'Docketed Comments'!H:H,0))&amp;", "&amp;INDEX('Docketed Comments'!B:B,MATCH(A689,'Docketed Comments'!H:H,0)),"")</f>
        <v>Alexander, Quinet</v>
      </c>
      <c r="I689" s="65" t="str">
        <f>IFERROR(INDEX('Docketed Comments'!D:D,MATCH(A689,'Docketed Comments'!H:H,0)),"")</f>
        <v>Phoenix</v>
      </c>
      <c r="J689" s="65" t="str">
        <f>IFERROR(INDEX('Docketed Comments'!I:I,MATCH(A689,'Docketed Comments'!H:H,0)),"")</f>
        <v>R-XS</v>
      </c>
      <c r="K689" s="65" t="str">
        <f t="shared" si="21"/>
        <v>✅ On Best Plan</v>
      </c>
      <c r="L689" s="65" t="str">
        <f>IFERROR(INDEX('Docketed Comments'!F:F,MATCH(A689,'Docketed Comments'!H:H,0)),"")</f>
        <v>Form letter</v>
      </c>
      <c r="M689" s="137" t="str">
        <f>IFERROR(HYPERLINK(INDEX('Docketed Comments'!G:G,MATCH(A689,'Docketed Comments'!H:H,0)),"📄 View Docket"),"")</f>
        <v>📄 View Docket</v>
      </c>
      <c r="N689" s="135" t="str">
        <f>IFERROR(INDEX('Docketed Comments'!N:N,MATCH(A689,'Docketed Comments'!H:H,0)),"")</f>
        <v>No</v>
      </c>
      <c r="O689" s="135" t="str">
        <f>IFERROR(INDEX('Docketed Comments'!L:L,MATCH(A689,'Docketed Comments'!H:H,0)),"")</f>
        <v>Yes</v>
      </c>
      <c r="P689" s="136">
        <f t="shared" si="20"/>
        <v>0</v>
      </c>
      <c r="Q689" s="140" t="s">
        <v>5809</v>
      </c>
      <c r="R689" s="144">
        <v>0</v>
      </c>
    </row>
    <row r="690" spans="1:18" ht="21.95" customHeight="1">
      <c r="A690" s="71" t="s">
        <v>5312</v>
      </c>
      <c r="B690" s="69"/>
      <c r="C690" s="70"/>
      <c r="D690" s="69"/>
      <c r="E690" s="69"/>
      <c r="F690" s="65"/>
      <c r="G690" s="65" t="s">
        <v>5811</v>
      </c>
      <c r="H690" s="65" t="str">
        <f>IFERROR(INDEX('Docketed Comments'!C:C,MATCH(A690,'Docketed Comments'!H:H,0))&amp;", "&amp;INDEX('Docketed Comments'!B:B,MATCH(A690,'Docketed Comments'!H:H,0)),"")</f>
        <v>James, Bramble</v>
      </c>
      <c r="I690" s="65" t="str">
        <f>IFERROR(INDEX('Docketed Comments'!D:D,MATCH(A690,'Docketed Comments'!H:H,0)),"")</f>
        <v>Cottonwood</v>
      </c>
      <c r="J690" s="65" t="str">
        <f>IFERROR(INDEX('Docketed Comments'!I:I,MATCH(A690,'Docketed Comments'!H:H,0)),"")</f>
        <v>R3-47</v>
      </c>
      <c r="K690" s="65" t="str">
        <f t="shared" si="21"/>
        <v>✅ On Best Plan</v>
      </c>
      <c r="L690" s="65" t="str">
        <f>IFERROR(INDEX('Docketed Comments'!F:F,MATCH(A690,'Docketed Comments'!H:H,0)),"")</f>
        <v>The proposed rate increase is excessive</v>
      </c>
      <c r="M690" s="137" t="str">
        <f>IFERROR(HYPERLINK(INDEX('Docketed Comments'!G:G,MATCH(A690,'Docketed Comments'!H:H,0)),"📄 View Docket"),"")</f>
        <v>📄 View Docket</v>
      </c>
      <c r="N690" s="135" t="str">
        <f>IFERROR(INDEX('Docketed Comments'!N:N,MATCH(A690,'Docketed Comments'!H:H,0)),"")</f>
        <v>No</v>
      </c>
      <c r="O690" s="135" t="str">
        <f>IFERROR(INDEX('Docketed Comments'!L:L,MATCH(A690,'Docketed Comments'!H:H,0)),"")</f>
        <v>Yes</v>
      </c>
      <c r="P690" s="136">
        <f t="shared" si="20"/>
        <v>0</v>
      </c>
      <c r="Q690" s="140"/>
      <c r="R690" s="144">
        <v>1</v>
      </c>
    </row>
    <row r="691" spans="1:18" ht="21.95" customHeight="1">
      <c r="A691" s="71" t="s">
        <v>4587</v>
      </c>
      <c r="B691" s="69" t="s">
        <v>4887</v>
      </c>
      <c r="C691" s="70">
        <v>46081</v>
      </c>
      <c r="D691" s="69" t="s">
        <v>4865</v>
      </c>
      <c r="E691" s="69" t="s">
        <v>4898</v>
      </c>
      <c r="F691" s="65" t="s">
        <v>5729</v>
      </c>
      <c r="G691" s="65"/>
      <c r="H691" s="65" t="str">
        <f>IFERROR(INDEX('Docketed Comments'!C:C,MATCH(A691,'Docketed Comments'!H:H,0))&amp;", "&amp;INDEX('Docketed Comments'!B:B,MATCH(A691,'Docketed Comments'!H:H,0)),"")</f>
        <v>Frank, Craig</v>
      </c>
      <c r="I691" s="65" t="str">
        <f>IFERROR(INDEX('Docketed Comments'!D:D,MATCH(A691,'Docketed Comments'!H:H,0)),"")</f>
        <v>Cottonwood</v>
      </c>
      <c r="J691" s="65" t="str">
        <f>IFERROR(INDEX('Docketed Comments'!I:I,MATCH(A691,'Docketed Comments'!H:H,0)),"")</f>
        <v>RCPw/RTOUE47</v>
      </c>
      <c r="K691" s="65" t="str">
        <f t="shared" si="21"/>
        <v>✅ On Best Plan</v>
      </c>
      <c r="L691" s="65" t="str">
        <f>IFERROR(INDEX('Docketed Comments'!F:F,MATCH(A691,'Docketed Comments'!H:H,0)),"")</f>
        <v>Opposed</v>
      </c>
      <c r="M691" s="137" t="str">
        <f>IFERROR(HYPERLINK(INDEX('Docketed Comments'!G:G,MATCH(A691,'Docketed Comments'!H:H,0)),"📄 View Docket"),"")</f>
        <v>📄 View Docket</v>
      </c>
      <c r="N691" s="135" t="str">
        <f>IFERROR(INDEX('Docketed Comments'!N:N,MATCH(A691,'Docketed Comments'!H:H,0)),"")</f>
        <v>No</v>
      </c>
      <c r="O691" s="135" t="str">
        <f>IFERROR(INDEX('Docketed Comments'!L:L,MATCH(A691,'Docketed Comments'!H:H,0)),"")</f>
        <v>Yes</v>
      </c>
      <c r="P691" s="136">
        <f t="shared" si="20"/>
        <v>0</v>
      </c>
      <c r="Q691" s="140" t="s">
        <v>5809</v>
      </c>
      <c r="R691" s="144">
        <v>0</v>
      </c>
    </row>
    <row r="692" spans="1:18" ht="21.95" customHeight="1">
      <c r="A692" s="71" t="s">
        <v>5313</v>
      </c>
      <c r="B692" s="69" t="s">
        <v>4887</v>
      </c>
      <c r="C692" s="70">
        <v>45997</v>
      </c>
      <c r="D692" s="69"/>
      <c r="E692" s="69"/>
      <c r="F692" s="65" t="s">
        <v>5758</v>
      </c>
      <c r="G692" s="65"/>
      <c r="H692" s="65" t="str">
        <f>IFERROR(INDEX('Docketed Comments'!C:C,MATCH(A692,'Docketed Comments'!H:H,0))&amp;", "&amp;INDEX('Docketed Comments'!B:B,MATCH(A692,'Docketed Comments'!H:H,0)),"")</f>
        <v>Karen, Fein</v>
      </c>
      <c r="I692" s="65" t="str">
        <f>IFERROR(INDEX('Docketed Comments'!D:D,MATCH(A692,'Docketed Comments'!H:H,0)),"")</f>
        <v>Phoenix</v>
      </c>
      <c r="J692" s="65" t="str">
        <f>IFERROR(INDEX('Docketed Comments'!I:I,MATCH(A692,'Docketed Comments'!H:H,0)),"")</f>
        <v>R3-47</v>
      </c>
      <c r="K692" s="65" t="str">
        <f t="shared" si="21"/>
        <v>✅ On Best Plan</v>
      </c>
      <c r="L692" s="65" t="str">
        <f>IFERROR(INDEX('Docketed Comments'!F:F,MATCH(A692,'Docketed Comments'!H:H,0)),"")</f>
        <v>Opposed-I wont survive another summer in AZ</v>
      </c>
      <c r="M692" s="137" t="str">
        <f>IFERROR(HYPERLINK(INDEX('Docketed Comments'!G:G,MATCH(A692,'Docketed Comments'!H:H,0)),"📄 View Docket"),"")</f>
        <v>📄 View Docket</v>
      </c>
      <c r="N692" s="135" t="str">
        <f>IFERROR(INDEX('Docketed Comments'!N:N,MATCH(A692,'Docketed Comments'!H:H,0)),"")</f>
        <v>No</v>
      </c>
      <c r="O692" s="135" t="str">
        <f>IFERROR(INDEX('Docketed Comments'!L:L,MATCH(A692,'Docketed Comments'!H:H,0)),"")</f>
        <v>Yes</v>
      </c>
      <c r="P692" s="136">
        <f t="shared" si="20"/>
        <v>0</v>
      </c>
      <c r="Q692" s="140" t="s">
        <v>5809</v>
      </c>
      <c r="R692" s="144">
        <v>0</v>
      </c>
    </row>
    <row r="693" spans="1:18" ht="21.95" customHeight="1">
      <c r="A693" s="71" t="s">
        <v>5314</v>
      </c>
      <c r="B693" s="69" t="s">
        <v>4887</v>
      </c>
      <c r="C693" s="70">
        <v>46081</v>
      </c>
      <c r="D693" s="69" t="s">
        <v>4865</v>
      </c>
      <c r="E693" s="69" t="s">
        <v>4898</v>
      </c>
      <c r="F693" s="65" t="s">
        <v>5735</v>
      </c>
      <c r="G693" s="65"/>
      <c r="H693" s="65" t="str">
        <f>IFERROR(INDEX('Docketed Comments'!C:C,MATCH(A693,'Docketed Comments'!H:H,0))&amp;", "&amp;INDEX('Docketed Comments'!B:B,MATCH(A693,'Docketed Comments'!H:H,0)),"")</f>
        <v>David, Hernandez</v>
      </c>
      <c r="I693" s="65" t="str">
        <f>IFERROR(INDEX('Docketed Comments'!D:D,MATCH(A693,'Docketed Comments'!H:H,0)),"")</f>
        <v>Phoenix</v>
      </c>
      <c r="J693" s="65" t="str">
        <f>IFERROR(INDEX('Docketed Comments'!I:I,MATCH(A693,'Docketed Comments'!H:H,0)),"")</f>
        <v>RCPw/R3-47</v>
      </c>
      <c r="K693" s="65" t="str">
        <f t="shared" si="21"/>
        <v>✅ On Best Plan</v>
      </c>
      <c r="L693" s="65" t="str">
        <f>IFERROR(INDEX('Docketed Comments'!F:F,MATCH(A693,'Docketed Comments'!H:H,0)),"")</f>
        <v>Form letter</v>
      </c>
      <c r="M693" s="137" t="str">
        <f>IFERROR(HYPERLINK(INDEX('Docketed Comments'!G:G,MATCH(A693,'Docketed Comments'!H:H,0)),"📄 View Docket"),"")</f>
        <v>📄 View Docket</v>
      </c>
      <c r="N693" s="135" t="str">
        <f>IFERROR(INDEX('Docketed Comments'!N:N,MATCH(A693,'Docketed Comments'!H:H,0)),"")</f>
        <v>No</v>
      </c>
      <c r="O693" s="135" t="str">
        <f>IFERROR(INDEX('Docketed Comments'!L:L,MATCH(A693,'Docketed Comments'!H:H,0)),"")</f>
        <v>Yes</v>
      </c>
      <c r="P693" s="136">
        <f t="shared" si="20"/>
        <v>0</v>
      </c>
      <c r="Q693" s="140" t="s">
        <v>5809</v>
      </c>
      <c r="R693" s="144">
        <v>0</v>
      </c>
    </row>
    <row r="694" spans="1:18" ht="21.95" customHeight="1">
      <c r="A694" s="71" t="s">
        <v>2597</v>
      </c>
      <c r="B694" s="69" t="s">
        <v>4887</v>
      </c>
      <c r="C694" s="70">
        <v>45997</v>
      </c>
      <c r="D694" s="69"/>
      <c r="E694" s="69"/>
      <c r="F694" s="65" t="s">
        <v>4907</v>
      </c>
      <c r="G694" s="65"/>
      <c r="H694" s="65" t="str">
        <f>IFERROR(INDEX('Docketed Comments'!C:C,MATCH(A694,'Docketed Comments'!H:H,0))&amp;", "&amp;INDEX('Docketed Comments'!B:B,MATCH(A694,'Docketed Comments'!H:H,0)),"")</f>
        <v>Daniel, Gregg</v>
      </c>
      <c r="I694" s="65" t="str">
        <f>IFERROR(INDEX('Docketed Comments'!D:D,MATCH(A694,'Docketed Comments'!H:H,0)),"")</f>
        <v>Scottsdale</v>
      </c>
      <c r="J694" s="65" t="str">
        <f>IFERROR(INDEX('Docketed Comments'!I:I,MATCH(A694,'Docketed Comments'!H:H,0)),"")</f>
        <v>R3-47</v>
      </c>
      <c r="K694" s="65" t="str">
        <f t="shared" si="21"/>
        <v>✅ On Best Plan</v>
      </c>
      <c r="L694" s="65" t="str">
        <f>IFERROR(INDEX('Docketed Comments'!F:F,MATCH(A694,'Docketed Comments'!H:H,0)),"")</f>
        <v>Opposed-APS sees a profit margin already of 9.55%</v>
      </c>
      <c r="M694" s="137" t="str">
        <f>IFERROR(HYPERLINK(INDEX('Docketed Comments'!G:G,MATCH(A694,'Docketed Comments'!H:H,0)),"📄 View Docket"),"")</f>
        <v>📄 View Docket</v>
      </c>
      <c r="N694" s="135" t="str">
        <f>IFERROR(INDEX('Docketed Comments'!N:N,MATCH(A694,'Docketed Comments'!H:H,0)),"")</f>
        <v>No</v>
      </c>
      <c r="O694" s="135" t="str">
        <f>IFERROR(INDEX('Docketed Comments'!L:L,MATCH(A694,'Docketed Comments'!H:H,0)),"")</f>
        <v>Yes</v>
      </c>
      <c r="P694" s="136">
        <f t="shared" si="20"/>
        <v>0</v>
      </c>
      <c r="Q694" s="140" t="s">
        <v>5809</v>
      </c>
      <c r="R694" s="144">
        <v>0</v>
      </c>
    </row>
    <row r="695" spans="1:18" ht="21.95" customHeight="1">
      <c r="A695" s="71" t="s">
        <v>5315</v>
      </c>
      <c r="B695" s="69"/>
      <c r="C695" s="70"/>
      <c r="D695" s="69"/>
      <c r="E695" s="69"/>
      <c r="F695" s="65"/>
      <c r="G695" s="65" t="s">
        <v>5811</v>
      </c>
      <c r="H695" s="65" t="str">
        <f>IFERROR(INDEX('Docketed Comments'!C:C,MATCH(A695,'Docketed Comments'!H:H,0))&amp;", "&amp;INDEX('Docketed Comments'!B:B,MATCH(A695,'Docketed Comments'!H:H,0)),"")</f>
        <v>Matt, Mensinger</v>
      </c>
      <c r="I695" s="65" t="str">
        <f>IFERROR(INDEX('Docketed Comments'!D:D,MATCH(A695,'Docketed Comments'!H:H,0)),"")</f>
        <v>Glendale</v>
      </c>
      <c r="J695" s="65" t="str">
        <f>IFERROR(INDEX('Docketed Comments'!I:I,MATCH(A695,'Docketed Comments'!H:H,0)),"")</f>
        <v>R3-47</v>
      </c>
      <c r="K695" s="65" t="str">
        <f t="shared" si="21"/>
        <v>✅ On Best Plan</v>
      </c>
      <c r="L695" s="65" t="str">
        <f>IFERROR(INDEX('Docketed Comments'!F:F,MATCH(A695,'Docketed Comments'!H:H,0)),"")</f>
        <v>Opposed-Lets take a closer look at company spending habits</v>
      </c>
      <c r="M695" s="137" t="str">
        <f>IFERROR(HYPERLINK(INDEX('Docketed Comments'!G:G,MATCH(A695,'Docketed Comments'!H:H,0)),"📄 View Docket"),"")</f>
        <v>📄 View Docket</v>
      </c>
      <c r="N695" s="135" t="str">
        <f>IFERROR(INDEX('Docketed Comments'!N:N,MATCH(A695,'Docketed Comments'!H:H,0)),"")</f>
        <v>No</v>
      </c>
      <c r="O695" s="135" t="str">
        <f>IFERROR(INDEX('Docketed Comments'!L:L,MATCH(A695,'Docketed Comments'!H:H,0)),"")</f>
        <v>Yes</v>
      </c>
      <c r="P695" s="136">
        <f t="shared" si="20"/>
        <v>0</v>
      </c>
      <c r="Q695" s="140"/>
      <c r="R695" s="144">
        <v>1</v>
      </c>
    </row>
    <row r="696" spans="1:18" ht="21.95" customHeight="1">
      <c r="A696" s="71" t="s">
        <v>5316</v>
      </c>
      <c r="B696" s="69" t="s">
        <v>4887</v>
      </c>
      <c r="C696" s="70">
        <v>46081</v>
      </c>
      <c r="D696" s="69" t="s">
        <v>4865</v>
      </c>
      <c r="E696" s="69" t="s">
        <v>4898</v>
      </c>
      <c r="F696" s="65" t="s">
        <v>5729</v>
      </c>
      <c r="G696" s="65"/>
      <c r="H696" s="65" t="str">
        <f>IFERROR(INDEX('Docketed Comments'!C:C,MATCH(A696,'Docketed Comments'!H:H,0))&amp;", "&amp;INDEX('Docketed Comments'!B:B,MATCH(A696,'Docketed Comments'!H:H,0)),"")</f>
        <v>Christopher, Houck</v>
      </c>
      <c r="I696" s="65" t="str">
        <f>IFERROR(INDEX('Docketed Comments'!D:D,MATCH(A696,'Docketed Comments'!H:H,0)),"")</f>
        <v>Goodyear</v>
      </c>
      <c r="J696" s="65" t="str">
        <f>IFERROR(INDEX('Docketed Comments'!I:I,MATCH(A696,'Docketed Comments'!H:H,0)),"")</f>
        <v>R3-47</v>
      </c>
      <c r="K696" s="65" t="str">
        <f t="shared" si="21"/>
        <v>✅ On Best Plan</v>
      </c>
      <c r="L696" s="65" t="str">
        <f>IFERROR(INDEX('Docketed Comments'!F:F,MATCH(A696,'Docketed Comments'!H:H,0)),"")</f>
        <v>Opposed-APS sis 25% higher than SRP</v>
      </c>
      <c r="M696" s="137" t="str">
        <f>IFERROR(HYPERLINK(INDEX('Docketed Comments'!G:G,MATCH(A696,'Docketed Comments'!H:H,0)),"📄 View Docket"),"")</f>
        <v>📄 View Docket</v>
      </c>
      <c r="N696" s="135" t="str">
        <f>IFERROR(INDEX('Docketed Comments'!N:N,MATCH(A696,'Docketed Comments'!H:H,0)),"")</f>
        <v>No</v>
      </c>
      <c r="O696" s="135" t="str">
        <f>IFERROR(INDEX('Docketed Comments'!L:L,MATCH(A696,'Docketed Comments'!H:H,0)),"")</f>
        <v>Yes</v>
      </c>
      <c r="P696" s="136">
        <f t="shared" si="20"/>
        <v>0</v>
      </c>
      <c r="Q696" s="140" t="s">
        <v>5809</v>
      </c>
      <c r="R696" s="144">
        <v>0</v>
      </c>
    </row>
    <row r="697" spans="1:18" ht="21.95" customHeight="1">
      <c r="A697" s="71" t="s">
        <v>5317</v>
      </c>
      <c r="B697" s="69" t="s">
        <v>4887</v>
      </c>
      <c r="C697" s="70">
        <v>45997</v>
      </c>
      <c r="D697" s="69"/>
      <c r="E697" s="69"/>
      <c r="F697" s="65" t="s">
        <v>5733</v>
      </c>
      <c r="G697" s="65"/>
      <c r="H697" s="65" t="str">
        <f>IFERROR(INDEX('Docketed Comments'!C:C,MATCH(A697,'Docketed Comments'!H:H,0))&amp;", "&amp;INDEX('Docketed Comments'!B:B,MATCH(A697,'Docketed Comments'!H:H,0)),"")</f>
        <v>Steven, Lewis</v>
      </c>
      <c r="I697" s="65" t="str">
        <f>IFERROR(INDEX('Docketed Comments'!D:D,MATCH(A697,'Docketed Comments'!H:H,0)),"")</f>
        <v>Phoenix</v>
      </c>
      <c r="J697" s="65" t="str">
        <f>IFERROR(INDEX('Docketed Comments'!I:I,MATCH(A697,'Docketed Comments'!H:H,0)),"")</f>
        <v>RTOUE47</v>
      </c>
      <c r="K697" s="65" t="str">
        <f t="shared" si="21"/>
        <v>✅ On Best Plan</v>
      </c>
      <c r="L697" s="65" t="str">
        <f>IFERROR(INDEX('Docketed Comments'!F:F,MATCH(A697,'Docketed Comments'!H:H,0)),"")</f>
        <v>Opposed-AC set 83 and still high bills</v>
      </c>
      <c r="M697" s="137" t="str">
        <f>IFERROR(HYPERLINK(INDEX('Docketed Comments'!G:G,MATCH(A697,'Docketed Comments'!H:H,0)),"📄 View Docket"),"")</f>
        <v>📄 View Docket</v>
      </c>
      <c r="N697" s="135" t="str">
        <f>IFERROR(INDEX('Docketed Comments'!N:N,MATCH(A697,'Docketed Comments'!H:H,0)),"")</f>
        <v>No</v>
      </c>
      <c r="O697" s="135" t="str">
        <f>IFERROR(INDEX('Docketed Comments'!L:L,MATCH(A697,'Docketed Comments'!H:H,0)),"")</f>
        <v>Yes</v>
      </c>
      <c r="P697" s="136">
        <f t="shared" si="20"/>
        <v>0</v>
      </c>
      <c r="Q697" s="140" t="s">
        <v>5809</v>
      </c>
      <c r="R697" s="144">
        <v>0</v>
      </c>
    </row>
    <row r="698" spans="1:18" ht="21.95" customHeight="1">
      <c r="A698" s="71" t="s">
        <v>5318</v>
      </c>
      <c r="B698" s="69"/>
      <c r="C698" s="70"/>
      <c r="D698" s="69"/>
      <c r="E698" s="69"/>
      <c r="F698" s="65"/>
      <c r="G698" s="65" t="s">
        <v>5811</v>
      </c>
      <c r="H698" s="65" t="str">
        <f>IFERROR(INDEX('Docketed Comments'!C:C,MATCH(A698,'Docketed Comments'!H:H,0))&amp;", "&amp;INDEX('Docketed Comments'!B:B,MATCH(A698,'Docketed Comments'!H:H,0)),"")</f>
        <v>Joseph, Hulsey</v>
      </c>
      <c r="I698" s="65" t="str">
        <f>IFERROR(INDEX('Docketed Comments'!D:D,MATCH(A698,'Docketed Comments'!H:H,0)),"")</f>
        <v>Tempe</v>
      </c>
      <c r="J698" s="65" t="str">
        <f>IFERROR(INDEX('Docketed Comments'!I:I,MATCH(A698,'Docketed Comments'!H:H,0)),"")</f>
        <v>R3-47</v>
      </c>
      <c r="K698" s="65" t="str">
        <f t="shared" si="21"/>
        <v>✅ On Best Plan</v>
      </c>
      <c r="L698" s="65" t="str">
        <f>IFERROR(INDEX('Docketed Comments'!F:F,MATCH(A698,'Docketed Comments'!H:H,0)),"")</f>
        <v>Strongly Oppose 14% increase</v>
      </c>
      <c r="M698" s="137" t="str">
        <f>IFERROR(HYPERLINK(INDEX('Docketed Comments'!G:G,MATCH(A698,'Docketed Comments'!H:H,0)),"📄 View Docket"),"")</f>
        <v>📄 View Docket</v>
      </c>
      <c r="N698" s="135" t="str">
        <f>IFERROR(INDEX('Docketed Comments'!N:N,MATCH(A698,'Docketed Comments'!H:H,0)),"")</f>
        <v>No</v>
      </c>
      <c r="O698" s="135" t="str">
        <f>IFERROR(INDEX('Docketed Comments'!L:L,MATCH(A698,'Docketed Comments'!H:H,0)),"")</f>
        <v>Yes</v>
      </c>
      <c r="P698" s="136">
        <f t="shared" si="20"/>
        <v>0</v>
      </c>
      <c r="Q698" s="140"/>
      <c r="R698" s="144">
        <v>1</v>
      </c>
    </row>
    <row r="699" spans="1:18" ht="21.95" customHeight="1">
      <c r="A699" s="71" t="s">
        <v>5319</v>
      </c>
      <c r="B699" s="69" t="s">
        <v>4887</v>
      </c>
      <c r="C699" s="70">
        <v>46074</v>
      </c>
      <c r="D699" s="69" t="s">
        <v>4865</v>
      </c>
      <c r="E699" s="69" t="s">
        <v>4898</v>
      </c>
      <c r="F699" s="65" t="s">
        <v>5729</v>
      </c>
      <c r="G699" s="65"/>
      <c r="H699" s="65" t="str">
        <f>IFERROR(INDEX('Docketed Comments'!C:C,MATCH(A699,'Docketed Comments'!H:H,0))&amp;", "&amp;INDEX('Docketed Comments'!B:B,MATCH(A699,'Docketed Comments'!H:H,0)),"")</f>
        <v>Julie, Munson</v>
      </c>
      <c r="I699" s="65" t="str">
        <f>IFERROR(INDEX('Docketed Comments'!D:D,MATCH(A699,'Docketed Comments'!H:H,0)),"")</f>
        <v>Show Low</v>
      </c>
      <c r="J699" s="65" t="str">
        <f>IFERROR(INDEX('Docketed Comments'!I:I,MATCH(A699,'Docketed Comments'!H:H,0)),"")</f>
        <v>R-XS</v>
      </c>
      <c r="K699" s="65" t="str">
        <f t="shared" si="21"/>
        <v>✅ On Best Plan</v>
      </c>
      <c r="L699" s="65" t="str">
        <f>IFERROR(INDEX('Docketed Comments'!F:F,MATCH(A699,'Docketed Comments'!H:H,0)),"")</f>
        <v>Opposed-Corporate greed</v>
      </c>
      <c r="M699" s="137" t="str">
        <f>IFERROR(HYPERLINK(INDEX('Docketed Comments'!G:G,MATCH(A699,'Docketed Comments'!H:H,0)),"📄 View Docket"),"")</f>
        <v>📄 View Docket</v>
      </c>
      <c r="N699" s="135" t="str">
        <f>IFERROR(INDEX('Docketed Comments'!N:N,MATCH(A699,'Docketed Comments'!H:H,0)),"")</f>
        <v>No</v>
      </c>
      <c r="O699" s="135" t="str">
        <f>IFERROR(INDEX('Docketed Comments'!L:L,MATCH(A699,'Docketed Comments'!H:H,0)),"")</f>
        <v>Yes</v>
      </c>
      <c r="P699" s="136">
        <f t="shared" si="20"/>
        <v>0</v>
      </c>
      <c r="Q699" s="140" t="s">
        <v>5809</v>
      </c>
      <c r="R699" s="144">
        <v>0</v>
      </c>
    </row>
    <row r="700" spans="1:18" ht="21.95" customHeight="1">
      <c r="A700" s="71" t="s">
        <v>5320</v>
      </c>
      <c r="B700" s="69"/>
      <c r="C700" s="70"/>
      <c r="D700" s="69"/>
      <c r="E700" s="69"/>
      <c r="F700" s="65"/>
      <c r="G700" s="65" t="s">
        <v>5811</v>
      </c>
      <c r="H700" s="65" t="str">
        <f>IFERROR(INDEX('Docketed Comments'!C:C,MATCH(A700,'Docketed Comments'!H:H,0))&amp;", "&amp;INDEX('Docketed Comments'!B:B,MATCH(A700,'Docketed Comments'!H:H,0)),"")</f>
        <v>Madeline, Craft</v>
      </c>
      <c r="I700" s="65" t="str">
        <f>IFERROR(INDEX('Docketed Comments'!D:D,MATCH(A700,'Docketed Comments'!H:H,0)),"")</f>
        <v>Goodyear</v>
      </c>
      <c r="J700" s="65" t="str">
        <f>IFERROR(INDEX('Docketed Comments'!I:I,MATCH(A700,'Docketed Comments'!H:H,0)),"")</f>
        <v>R-BASIC</v>
      </c>
      <c r="K700" s="65" t="str">
        <f t="shared" si="21"/>
        <v>✅ On Best Plan</v>
      </c>
      <c r="L700" s="65" t="str">
        <f>IFERROR(INDEX('Docketed Comments'!F:F,MATCH(A700,'Docketed Comments'!H:H,0)),"")</f>
        <v xml:space="preserve">Opposed-Ridiculous for such a large company </v>
      </c>
      <c r="M700" s="137" t="str">
        <f>IFERROR(HYPERLINK(INDEX('Docketed Comments'!G:G,MATCH(A700,'Docketed Comments'!H:H,0)),"📄 View Docket"),"")</f>
        <v>📄 View Docket</v>
      </c>
      <c r="N700" s="135" t="str">
        <f>IFERROR(INDEX('Docketed Comments'!N:N,MATCH(A700,'Docketed Comments'!H:H,0)),"")</f>
        <v>No</v>
      </c>
      <c r="O700" s="135" t="str">
        <f>IFERROR(INDEX('Docketed Comments'!L:L,MATCH(A700,'Docketed Comments'!H:H,0)),"")</f>
        <v>Yes</v>
      </c>
      <c r="P700" s="136">
        <f t="shared" si="20"/>
        <v>0</v>
      </c>
      <c r="Q700" s="140"/>
      <c r="R700" s="144">
        <v>1</v>
      </c>
    </row>
    <row r="701" spans="1:18" ht="21.95" customHeight="1">
      <c r="A701" s="71" t="s">
        <v>5321</v>
      </c>
      <c r="B701" s="69"/>
      <c r="C701" s="70"/>
      <c r="D701" s="69"/>
      <c r="E701" s="69"/>
      <c r="F701" s="65"/>
      <c r="G701" s="65" t="s">
        <v>5811</v>
      </c>
      <c r="H701" s="65" t="str">
        <f>IFERROR(INDEX('Docketed Comments'!C:C,MATCH(A701,'Docketed Comments'!H:H,0))&amp;", "&amp;INDEX('Docketed Comments'!B:B,MATCH(A701,'Docketed Comments'!H:H,0)),"")</f>
        <v>Wade, Siers</v>
      </c>
      <c r="I701" s="65" t="str">
        <f>IFERROR(INDEX('Docketed Comments'!D:D,MATCH(A701,'Docketed Comments'!H:H,0)),"")</f>
        <v>Scottsdale</v>
      </c>
      <c r="J701" s="65" t="str">
        <f>IFERROR(INDEX('Docketed Comments'!I:I,MATCH(A701,'Docketed Comments'!H:H,0)),"")</f>
        <v>R-BASIC</v>
      </c>
      <c r="K701" s="65" t="str">
        <f t="shared" si="21"/>
        <v>✅ On Best Plan</v>
      </c>
      <c r="L701" s="65" t="str">
        <f>IFERROR(INDEX('Docketed Comments'!F:F,MATCH(A701,'Docketed Comments'!H:H,0)),"")</f>
        <v>Opposed-14% appears rather excessive</v>
      </c>
      <c r="M701" s="137" t="str">
        <f>IFERROR(HYPERLINK(INDEX('Docketed Comments'!G:G,MATCH(A701,'Docketed Comments'!H:H,0)),"📄 View Docket"),"")</f>
        <v>📄 View Docket</v>
      </c>
      <c r="N701" s="135" t="str">
        <f>IFERROR(INDEX('Docketed Comments'!N:N,MATCH(A701,'Docketed Comments'!H:H,0)),"")</f>
        <v>No</v>
      </c>
      <c r="O701" s="135" t="str">
        <f>IFERROR(INDEX('Docketed Comments'!L:L,MATCH(A701,'Docketed Comments'!H:H,0)),"")</f>
        <v>Yes</v>
      </c>
      <c r="P701" s="136">
        <f t="shared" si="20"/>
        <v>0</v>
      </c>
      <c r="Q701" s="140"/>
      <c r="R701" s="144">
        <v>1</v>
      </c>
    </row>
    <row r="702" spans="1:18" ht="21.95" customHeight="1">
      <c r="A702" s="71" t="s">
        <v>5322</v>
      </c>
      <c r="B702" s="69" t="s">
        <v>4887</v>
      </c>
      <c r="C702" s="70">
        <v>46074</v>
      </c>
      <c r="D702" s="69" t="s">
        <v>4888</v>
      </c>
      <c r="E702" s="69"/>
      <c r="F702" s="65" t="s">
        <v>4938</v>
      </c>
      <c r="G702" s="65"/>
      <c r="H702" s="65" t="str">
        <f>IFERROR(INDEX('Docketed Comments'!C:C,MATCH(A702,'Docketed Comments'!H:H,0))&amp;", "&amp;INDEX('Docketed Comments'!B:B,MATCH(A702,'Docketed Comments'!H:H,0)),"")</f>
        <v>Rhonda, Boerner</v>
      </c>
      <c r="I702" s="65" t="str">
        <f>IFERROR(INDEX('Docketed Comments'!D:D,MATCH(A702,'Docketed Comments'!H:H,0)),"")</f>
        <v>Goodyear</v>
      </c>
      <c r="J702" s="65" t="str">
        <f>IFERROR(INDEX('Docketed Comments'!I:I,MATCH(A702,'Docketed Comments'!H:H,0)),"")</f>
        <v>EPR-6w/E-12</v>
      </c>
      <c r="K702" s="65" t="str">
        <f t="shared" si="21"/>
        <v>⚠ Frozen Rate</v>
      </c>
      <c r="L702" s="65" t="str">
        <f>IFERROR(INDEX('Docketed Comments'!F:F,MATCH(A702,'Docketed Comments'!H:H,0)),"")</f>
        <v>Opposed-Unfair to residential customers</v>
      </c>
      <c r="M702" s="137" t="str">
        <f>IFERROR(HYPERLINK(INDEX('Docketed Comments'!G:G,MATCH(A702,'Docketed Comments'!H:H,0)),"📄 View Docket"),"")</f>
        <v>📄 View Docket</v>
      </c>
      <c r="N702" s="135" t="str">
        <f>IFERROR(INDEX('Docketed Comments'!N:N,MATCH(A702,'Docketed Comments'!H:H,0)),"")</f>
        <v>No</v>
      </c>
      <c r="O702" s="135" t="str">
        <f>IFERROR(INDEX('Docketed Comments'!L:L,MATCH(A702,'Docketed Comments'!H:H,0)),"")</f>
        <v>Frozen Rate</v>
      </c>
      <c r="P702" s="136">
        <f t="shared" si="20"/>
        <v>0</v>
      </c>
      <c r="Q702" s="140" t="s">
        <v>5809</v>
      </c>
      <c r="R702" s="144">
        <v>0</v>
      </c>
    </row>
    <row r="703" spans="1:18" ht="21.95" customHeight="1">
      <c r="A703" s="71" t="s">
        <v>5323</v>
      </c>
      <c r="B703" s="69"/>
      <c r="C703" s="70"/>
      <c r="D703" s="69"/>
      <c r="E703" s="69"/>
      <c r="F703" s="65"/>
      <c r="G703" s="65" t="s">
        <v>5811</v>
      </c>
      <c r="H703" s="65" t="str">
        <f>IFERROR(INDEX('Docketed Comments'!C:C,MATCH(A703,'Docketed Comments'!H:H,0))&amp;", "&amp;INDEX('Docketed Comments'!B:B,MATCH(A703,'Docketed Comments'!H:H,0)),"")</f>
        <v>Alejandro, Zamudio</v>
      </c>
      <c r="I703" s="65" t="str">
        <f>IFERROR(INDEX('Docketed Comments'!D:D,MATCH(A703,'Docketed Comments'!H:H,0)),"")</f>
        <v>Phoenix</v>
      </c>
      <c r="J703" s="65" t="str">
        <f>IFERROR(INDEX('Docketed Comments'!I:I,MATCH(A703,'Docketed Comments'!H:H,0)),"")</f>
        <v>RCPw/RTOUE47</v>
      </c>
      <c r="K703" s="65" t="str">
        <f t="shared" si="21"/>
        <v>✅ On Best Plan</v>
      </c>
      <c r="L703" s="65" t="str">
        <f>IFERROR(INDEX('Docketed Comments'!F:F,MATCH(A703,'Docketed Comments'!H:H,0)),"")</f>
        <v>Opposed- Unacceptable and unreasonable</v>
      </c>
      <c r="M703" s="137" t="str">
        <f>IFERROR(HYPERLINK(INDEX('Docketed Comments'!G:G,MATCH(A703,'Docketed Comments'!H:H,0)),"📄 View Docket"),"")</f>
        <v>📄 View Docket</v>
      </c>
      <c r="N703" s="135" t="str">
        <f>IFERROR(INDEX('Docketed Comments'!N:N,MATCH(A703,'Docketed Comments'!H:H,0)),"")</f>
        <v>No</v>
      </c>
      <c r="O703" s="135" t="str">
        <f>IFERROR(INDEX('Docketed Comments'!L:L,MATCH(A703,'Docketed Comments'!H:H,0)),"")</f>
        <v>Yes</v>
      </c>
      <c r="P703" s="136">
        <f t="shared" si="20"/>
        <v>0</v>
      </c>
      <c r="Q703" s="140"/>
      <c r="R703" s="144">
        <v>1</v>
      </c>
    </row>
    <row r="704" spans="1:18" ht="21.95" customHeight="1">
      <c r="A704" s="71" t="s">
        <v>5324</v>
      </c>
      <c r="B704" s="69" t="s">
        <v>4887</v>
      </c>
      <c r="C704" s="70">
        <v>46074</v>
      </c>
      <c r="D704" s="69" t="s">
        <v>4888</v>
      </c>
      <c r="E704" s="69"/>
      <c r="F704" s="65" t="s">
        <v>4938</v>
      </c>
      <c r="G704" s="65"/>
      <c r="H704" s="65" t="str">
        <f>IFERROR(INDEX('Docketed Comments'!C:C,MATCH(A704,'Docketed Comments'!H:H,0))&amp;", "&amp;INDEX('Docketed Comments'!B:B,MATCH(A704,'Docketed Comments'!H:H,0)),"")</f>
        <v>Christopher, Ducar</v>
      </c>
      <c r="I704" s="65" t="str">
        <f>IFERROR(INDEX('Docketed Comments'!D:D,MATCH(A704,'Docketed Comments'!H:H,0)),"")</f>
        <v>Phoenix</v>
      </c>
      <c r="J704" s="65" t="str">
        <f>IFERROR(INDEX('Docketed Comments'!I:I,MATCH(A704,'Docketed Comments'!H:H,0)),"")</f>
        <v>R3-47</v>
      </c>
      <c r="K704" s="65" t="str">
        <f t="shared" si="21"/>
        <v>✅ On Best Plan</v>
      </c>
      <c r="L704" s="65" t="str">
        <f>IFERROR(INDEX('Docketed Comments'!F:F,MATCH(A704,'Docketed Comments'!H:H,0)),"")</f>
        <v>Outraged the commission would even consider this</v>
      </c>
      <c r="M704" s="137" t="str">
        <f>IFERROR(HYPERLINK(INDEX('Docketed Comments'!G:G,MATCH(A704,'Docketed Comments'!H:H,0)),"📄 View Docket"),"")</f>
        <v>📄 View Docket</v>
      </c>
      <c r="N704" s="135" t="str">
        <f>IFERROR(INDEX('Docketed Comments'!N:N,MATCH(A704,'Docketed Comments'!H:H,0)),"")</f>
        <v>No</v>
      </c>
      <c r="O704" s="135" t="str">
        <f>IFERROR(INDEX('Docketed Comments'!L:L,MATCH(A704,'Docketed Comments'!H:H,0)),"")</f>
        <v>Yes</v>
      </c>
      <c r="P704" s="136">
        <f t="shared" si="20"/>
        <v>0</v>
      </c>
      <c r="Q704" s="140" t="s">
        <v>5809</v>
      </c>
      <c r="R704" s="144">
        <v>0</v>
      </c>
    </row>
    <row r="705" spans="1:18" ht="21.95" customHeight="1">
      <c r="A705" s="71" t="s">
        <v>2659</v>
      </c>
      <c r="B705" s="69"/>
      <c r="C705" s="70"/>
      <c r="D705" s="69"/>
      <c r="E705" s="69"/>
      <c r="F705" s="65"/>
      <c r="G705" s="65" t="s">
        <v>5811</v>
      </c>
      <c r="H705" s="65" t="str">
        <f>IFERROR(INDEX('Docketed Comments'!C:C,MATCH(A705,'Docketed Comments'!H:H,0))&amp;", "&amp;INDEX('Docketed Comments'!B:B,MATCH(A705,'Docketed Comments'!H:H,0)),"")</f>
        <v>Rachel, Sharley</v>
      </c>
      <c r="I705" s="65" t="str">
        <f>IFERROR(INDEX('Docketed Comments'!D:D,MATCH(A705,'Docketed Comments'!H:H,0)),"")</f>
        <v>Litchfield Park</v>
      </c>
      <c r="J705" s="65" t="str">
        <f>IFERROR(INDEX('Docketed Comments'!I:I,MATCH(A705,'Docketed Comments'!H:H,0)),"")</f>
        <v>R-XS</v>
      </c>
      <c r="K705" s="65" t="str">
        <f t="shared" si="21"/>
        <v>✅ On Best Plan</v>
      </c>
      <c r="L705" s="65" t="str">
        <f>IFERROR(INDEX('Docketed Comments'!F:F,MATCH(A705,'Docketed Comments'!H:H,0)),"")</f>
        <v>Opposed- Financial burden if passed</v>
      </c>
      <c r="M705" s="137" t="str">
        <f>IFERROR(HYPERLINK(INDEX('Docketed Comments'!G:G,MATCH(A705,'Docketed Comments'!H:H,0)),"📄 View Docket"),"")</f>
        <v>📄 View Docket</v>
      </c>
      <c r="N705" s="135" t="str">
        <f>IFERROR(INDEX('Docketed Comments'!N:N,MATCH(A705,'Docketed Comments'!H:H,0)),"")</f>
        <v>No</v>
      </c>
      <c r="O705" s="135" t="str">
        <f>IFERROR(INDEX('Docketed Comments'!L:L,MATCH(A705,'Docketed Comments'!H:H,0)),"")</f>
        <v>Y</v>
      </c>
      <c r="P705" s="136">
        <f t="shared" si="20"/>
        <v>0</v>
      </c>
      <c r="Q705" s="140"/>
      <c r="R705" s="144">
        <v>1</v>
      </c>
    </row>
    <row r="706" spans="1:18" ht="21.95" customHeight="1">
      <c r="A706" s="71" t="s">
        <v>2663</v>
      </c>
      <c r="B706" s="69" t="s">
        <v>4887</v>
      </c>
      <c r="C706" s="70">
        <v>46074</v>
      </c>
      <c r="D706" s="69" t="s">
        <v>4865</v>
      </c>
      <c r="E706" s="69" t="s">
        <v>4898</v>
      </c>
      <c r="F706" s="65"/>
      <c r="G706" s="65"/>
      <c r="H706" s="65" t="str">
        <f>IFERROR(INDEX('Docketed Comments'!C:C,MATCH(A706,'Docketed Comments'!H:H,0))&amp;", "&amp;INDEX('Docketed Comments'!B:B,MATCH(A706,'Docketed Comments'!H:H,0)),"")</f>
        <v>Carol, Post</v>
      </c>
      <c r="I706" s="65" t="str">
        <f>IFERROR(INDEX('Docketed Comments'!D:D,MATCH(A706,'Docketed Comments'!H:H,0)),"")</f>
        <v>Scottsdale</v>
      </c>
      <c r="J706" s="65" t="str">
        <f>IFERROR(INDEX('Docketed Comments'!I:I,MATCH(A706,'Docketed Comments'!H:H,0)),"")</f>
        <v>RCPw/R-2</v>
      </c>
      <c r="K706" s="65" t="str">
        <f t="shared" si="21"/>
        <v>⚠ Frozen Rate</v>
      </c>
      <c r="L706" s="65" t="str">
        <f>IFERROR(INDEX('Docketed Comments'!F:F,MATCH(A706,'Docketed Comments'!H:H,0)),"")</f>
        <v>Opposed- New Mexico bill is cheaper</v>
      </c>
      <c r="M706" s="137" t="str">
        <f>IFERROR(HYPERLINK(INDEX('Docketed Comments'!G:G,MATCH(A706,'Docketed Comments'!H:H,0)),"📄 View Docket"),"")</f>
        <v>📄 View Docket</v>
      </c>
      <c r="N706" s="135" t="str">
        <f>IFERROR(INDEX('Docketed Comments'!N:N,MATCH(A706,'Docketed Comments'!H:H,0)),"")</f>
        <v>No</v>
      </c>
      <c r="O706" s="135" t="str">
        <f>IFERROR(INDEX('Docketed Comments'!L:L,MATCH(A706,'Docketed Comments'!H:H,0)),"")</f>
        <v>Frozen Rate</v>
      </c>
      <c r="P706" s="136">
        <f t="shared" ref="P706:P769" si="22">IFERROR(IF(ISNUMBER(SEARCH("$",O706)),VALUE(SUBSTITUTE(SUBSTITUTE(MID(O706,FIND("$",O706)+1,FIND(")",O706)-FIND("$",O706)-1),",","")," ","")),VALUE(SUBSTITUTE(SUBSTITUTE(MID(O706,FIND("(",O706)+1,FIND(")",O706)-FIND("(",O706)-1),",","")," ",""))),0)</f>
        <v>0</v>
      </c>
      <c r="Q706" s="140" t="s">
        <v>5809</v>
      </c>
      <c r="R706" s="144">
        <v>0</v>
      </c>
    </row>
    <row r="707" spans="1:18" ht="21.95" customHeight="1">
      <c r="A707" s="71" t="s">
        <v>2678</v>
      </c>
      <c r="B707" s="69" t="s">
        <v>4887</v>
      </c>
      <c r="C707" s="70">
        <v>46074</v>
      </c>
      <c r="D707" s="69" t="s">
        <v>4888</v>
      </c>
      <c r="E707" s="69"/>
      <c r="F707" s="65" t="s">
        <v>4938</v>
      </c>
      <c r="G707" s="65"/>
      <c r="H707" s="65" t="str">
        <f>IFERROR(INDEX('Docketed Comments'!C:C,MATCH(A707,'Docketed Comments'!H:H,0))&amp;", "&amp;INDEX('Docketed Comments'!B:B,MATCH(A707,'Docketed Comments'!H:H,0)),"")</f>
        <v>Gregg, Sawyer</v>
      </c>
      <c r="I707" s="65" t="str">
        <f>IFERROR(INDEX('Docketed Comments'!D:D,MATCH(A707,'Docketed Comments'!H:H,0)),"")</f>
        <v>El Mirage</v>
      </c>
      <c r="J707" s="65" t="str">
        <f>IFERROR(INDEX('Docketed Comments'!I:I,MATCH(A707,'Docketed Comments'!H:H,0)),"")</f>
        <v>RCPw/RTOUE47</v>
      </c>
      <c r="K707" s="65" t="str">
        <f t="shared" ref="K707:K770" si="23">IFERROR(IF(OR(LEFT(O707,2)="No",LEFT(O707,3)="Not"),"❌ Not on Best Plan",IF(OR(O707="Yes",O707="Y",O707="Yes "),"✅ On Best Plan","⚠ "&amp;O707)),"")</f>
        <v>✅ On Best Plan</v>
      </c>
      <c r="L707" s="65" t="str">
        <f>IFERROR(INDEX('Docketed Comments'!F:F,MATCH(A707,'Docketed Comments'!H:H,0)),"")</f>
        <v>Opposed-SRP model is superior</v>
      </c>
      <c r="M707" s="137" t="str">
        <f>IFERROR(HYPERLINK(INDEX('Docketed Comments'!G:G,MATCH(A707,'Docketed Comments'!H:H,0)),"📄 View Docket"),"")</f>
        <v>📄 View Docket</v>
      </c>
      <c r="N707" s="135" t="str">
        <f>IFERROR(INDEX('Docketed Comments'!N:N,MATCH(A707,'Docketed Comments'!H:H,0)),"")</f>
        <v>No</v>
      </c>
      <c r="O707" s="135" t="str">
        <f>IFERROR(INDEX('Docketed Comments'!L:L,MATCH(A707,'Docketed Comments'!H:H,0)),"")</f>
        <v>Yes</v>
      </c>
      <c r="P707" s="136">
        <f t="shared" si="22"/>
        <v>0</v>
      </c>
      <c r="Q707" s="140" t="s">
        <v>5809</v>
      </c>
      <c r="R707" s="144">
        <v>0</v>
      </c>
    </row>
    <row r="708" spans="1:18" ht="21.95" customHeight="1">
      <c r="A708" s="71" t="s">
        <v>2688</v>
      </c>
      <c r="B708" s="69" t="s">
        <v>4887</v>
      </c>
      <c r="C708" s="70">
        <v>46074</v>
      </c>
      <c r="D708" s="69" t="s">
        <v>4888</v>
      </c>
      <c r="E708" s="69"/>
      <c r="F708" s="65" t="s">
        <v>4938</v>
      </c>
      <c r="G708" s="65"/>
      <c r="H708" s="65" t="str">
        <f>IFERROR(INDEX('Docketed Comments'!C:C,MATCH(A708,'Docketed Comments'!H:H,0))&amp;", "&amp;INDEX('Docketed Comments'!B:B,MATCH(A708,'Docketed Comments'!H:H,0)),"")</f>
        <v>Paige, Swett</v>
      </c>
      <c r="I708" s="65" t="str">
        <f>IFERROR(INDEX('Docketed Comments'!D:D,MATCH(A708,'Docketed Comments'!H:H,0)),"")</f>
        <v xml:space="preserve">Glendale </v>
      </c>
      <c r="J708" s="65" t="str">
        <f>IFERROR(INDEX('Docketed Comments'!I:I,MATCH(A708,'Docketed Comments'!H:H,0)),"")</f>
        <v>RCPw/R3-47</v>
      </c>
      <c r="K708" s="65" t="str">
        <f t="shared" si="23"/>
        <v>✅ On Best Plan</v>
      </c>
      <c r="L708" s="65" t="str">
        <f>IFERROR(INDEX('Docketed Comments'!F:F,MATCH(A708,'Docketed Comments'!H:H,0)),"")</f>
        <v xml:space="preserve">Strongly against rate increase </v>
      </c>
      <c r="M708" s="137" t="str">
        <f>IFERROR(HYPERLINK(INDEX('Docketed Comments'!G:G,MATCH(A708,'Docketed Comments'!H:H,0)),"📄 View Docket"),"")</f>
        <v>📄 View Docket</v>
      </c>
      <c r="N708" s="135" t="str">
        <f>IFERROR(INDEX('Docketed Comments'!N:N,MATCH(A708,'Docketed Comments'!H:H,0)),"")</f>
        <v>No</v>
      </c>
      <c r="O708" s="135" t="str">
        <f>IFERROR(INDEX('Docketed Comments'!L:L,MATCH(A708,'Docketed Comments'!H:H,0)),"")</f>
        <v>Yes</v>
      </c>
      <c r="P708" s="136">
        <f t="shared" si="22"/>
        <v>0</v>
      </c>
      <c r="Q708" s="140" t="s">
        <v>5809</v>
      </c>
      <c r="R708" s="144">
        <v>0</v>
      </c>
    </row>
    <row r="709" spans="1:18" ht="21.95" customHeight="1">
      <c r="A709" s="71" t="s">
        <v>2693</v>
      </c>
      <c r="B709" s="69"/>
      <c r="C709" s="70"/>
      <c r="D709" s="69"/>
      <c r="E709" s="69"/>
      <c r="F709" s="65"/>
      <c r="G709" s="65" t="s">
        <v>5811</v>
      </c>
      <c r="H709" s="65" t="str">
        <f>IFERROR(INDEX('Docketed Comments'!C:C,MATCH(A709,'Docketed Comments'!H:H,0))&amp;", "&amp;INDEX('Docketed Comments'!B:B,MATCH(A709,'Docketed Comments'!H:H,0)),"")</f>
        <v xml:space="preserve">Dajiah, Mathews </v>
      </c>
      <c r="I709" s="65" t="str">
        <f>IFERROR(INDEX('Docketed Comments'!D:D,MATCH(A709,'Docketed Comments'!H:H,0)),"")</f>
        <v>Peoria</v>
      </c>
      <c r="J709" s="65" t="str">
        <f>IFERROR(INDEX('Docketed Comments'!I:I,MATCH(A709,'Docketed Comments'!H:H,0)),"")</f>
        <v>R-BASIC</v>
      </c>
      <c r="K709" s="65" t="str">
        <f t="shared" si="23"/>
        <v>✅ On Best Plan</v>
      </c>
      <c r="L709" s="65" t="str">
        <f>IFERROR(INDEX('Docketed Comments'!F:F,MATCH(A709,'Docketed Comments'!H:H,0)),"")</f>
        <v>Opposed-increase e3 and crises base lines to match</v>
      </c>
      <c r="M709" s="137" t="str">
        <f>IFERROR(HYPERLINK(INDEX('Docketed Comments'!G:G,MATCH(A709,'Docketed Comments'!H:H,0)),"📄 View Docket"),"")</f>
        <v>📄 View Docket</v>
      </c>
      <c r="N709" s="135" t="str">
        <f>IFERROR(INDEX('Docketed Comments'!N:N,MATCH(A709,'Docketed Comments'!H:H,0)),"")</f>
        <v>No</v>
      </c>
      <c r="O709" s="135" t="str">
        <f>IFERROR(INDEX('Docketed Comments'!L:L,MATCH(A709,'Docketed Comments'!H:H,0)),"")</f>
        <v>Yes</v>
      </c>
      <c r="P709" s="136">
        <f t="shared" si="22"/>
        <v>0</v>
      </c>
      <c r="Q709" s="140"/>
      <c r="R709" s="144">
        <v>1</v>
      </c>
    </row>
    <row r="710" spans="1:18" ht="21.95" customHeight="1">
      <c r="A710" s="71" t="s">
        <v>2697</v>
      </c>
      <c r="B710" s="69" t="s">
        <v>4887</v>
      </c>
      <c r="C710" s="70">
        <v>46074</v>
      </c>
      <c r="D710" s="69" t="s">
        <v>4888</v>
      </c>
      <c r="E710" s="69"/>
      <c r="F710" s="65" t="s">
        <v>4938</v>
      </c>
      <c r="G710" s="65"/>
      <c r="H710" s="65" t="str">
        <f>IFERROR(INDEX('Docketed Comments'!C:C,MATCH(A710,'Docketed Comments'!H:H,0))&amp;", "&amp;INDEX('Docketed Comments'!B:B,MATCH(A710,'Docketed Comments'!H:H,0)),"")</f>
        <v>Laura, Norquist</v>
      </c>
      <c r="I710" s="65" t="str">
        <f>IFERROR(INDEX('Docketed Comments'!D:D,MATCH(A710,'Docketed Comments'!H:H,0)),"")</f>
        <v>Paradise Valley</v>
      </c>
      <c r="J710" s="65" t="str">
        <f>IFERROR(INDEX('Docketed Comments'!I:I,MATCH(A710,'Docketed Comments'!H:H,0)),"")</f>
        <v>R3-47</v>
      </c>
      <c r="K710" s="65" t="str">
        <f t="shared" si="23"/>
        <v>✅ On Best Plan</v>
      </c>
      <c r="L710" s="65" t="str">
        <f>IFERROR(INDEX('Docketed Comments'!F:F,MATCH(A710,'Docketed Comments'!H:H,0)),"")</f>
        <v>Chip factories and AI are driving up costs</v>
      </c>
      <c r="M710" s="137" t="str">
        <f>IFERROR(HYPERLINK(INDEX('Docketed Comments'!G:G,MATCH(A710,'Docketed Comments'!H:H,0)),"📄 View Docket"),"")</f>
        <v>📄 View Docket</v>
      </c>
      <c r="N710" s="135" t="str">
        <f>IFERROR(INDEX('Docketed Comments'!N:N,MATCH(A710,'Docketed Comments'!H:H,0)),"")</f>
        <v>No</v>
      </c>
      <c r="O710" s="135" t="str">
        <f>IFERROR(INDEX('Docketed Comments'!L:L,MATCH(A710,'Docketed Comments'!H:H,0)),"")</f>
        <v>Yes</v>
      </c>
      <c r="P710" s="136">
        <f t="shared" si="22"/>
        <v>0</v>
      </c>
      <c r="Q710" s="140" t="s">
        <v>5809</v>
      </c>
      <c r="R710" s="144">
        <v>0</v>
      </c>
    </row>
    <row r="711" spans="1:18" ht="21.95" customHeight="1">
      <c r="A711" s="71" t="s">
        <v>2700</v>
      </c>
      <c r="B711" s="69"/>
      <c r="C711" s="70"/>
      <c r="D711" s="69"/>
      <c r="E711" s="69"/>
      <c r="F711" s="65"/>
      <c r="G711" s="65" t="s">
        <v>5811</v>
      </c>
      <c r="H711" s="65" t="str">
        <f>IFERROR(INDEX('Docketed Comments'!C:C,MATCH(A711,'Docketed Comments'!H:H,0))&amp;", "&amp;INDEX('Docketed Comments'!B:B,MATCH(A711,'Docketed Comments'!H:H,0)),"")</f>
        <v>David, Hamilton</v>
      </c>
      <c r="I711" s="65" t="str">
        <f>IFERROR(INDEX('Docketed Comments'!D:D,MATCH(A711,'Docketed Comments'!H:H,0)),"")</f>
        <v>Wittmann</v>
      </c>
      <c r="J711" s="65" t="str">
        <f>IFERROR(INDEX('Docketed Comments'!I:I,MATCH(A711,'Docketed Comments'!H:H,0)),"")</f>
        <v>R-XS</v>
      </c>
      <c r="K711" s="65" t="str">
        <f t="shared" si="23"/>
        <v>✅ On Best Plan</v>
      </c>
      <c r="L711" s="65" t="str">
        <f>IFERROR(INDEX('Docketed Comments'!F:F,MATCH(A711,'Docketed Comments'!H:H,0)),"")</f>
        <v>Opposed-retired on a fixed income</v>
      </c>
      <c r="M711" s="137" t="str">
        <f>IFERROR(HYPERLINK(INDEX('Docketed Comments'!G:G,MATCH(A711,'Docketed Comments'!H:H,0)),"📄 View Docket"),"")</f>
        <v>📄 View Docket</v>
      </c>
      <c r="N711" s="135" t="str">
        <f>IFERROR(INDEX('Docketed Comments'!N:N,MATCH(A711,'Docketed Comments'!H:H,0)),"")</f>
        <v>No</v>
      </c>
      <c r="O711" s="135" t="str">
        <f>IFERROR(INDEX('Docketed Comments'!L:L,MATCH(A711,'Docketed Comments'!H:H,0)),"")</f>
        <v>Yes</v>
      </c>
      <c r="P711" s="136">
        <f t="shared" si="22"/>
        <v>0</v>
      </c>
      <c r="Q711" s="140"/>
      <c r="R711" s="144">
        <v>1</v>
      </c>
    </row>
    <row r="712" spans="1:18" ht="21.95" customHeight="1">
      <c r="A712" s="71" t="s">
        <v>2705</v>
      </c>
      <c r="B712" s="69" t="s">
        <v>4887</v>
      </c>
      <c r="C712" s="70">
        <v>46074</v>
      </c>
      <c r="D712" s="69" t="s">
        <v>4888</v>
      </c>
      <c r="E712" s="69"/>
      <c r="F712" s="65" t="s">
        <v>4938</v>
      </c>
      <c r="G712" s="65"/>
      <c r="H712" s="65" t="str">
        <f>IFERROR(INDEX('Docketed Comments'!C:C,MATCH(A712,'Docketed Comments'!H:H,0))&amp;", "&amp;INDEX('Docketed Comments'!B:B,MATCH(A712,'Docketed Comments'!H:H,0)),"")</f>
        <v>Ilya, Brown</v>
      </c>
      <c r="I712" s="65" t="str">
        <f>IFERROR(INDEX('Docketed Comments'!D:D,MATCH(A712,'Docketed Comments'!H:H,0)),"")</f>
        <v>Surprise</v>
      </c>
      <c r="J712" s="65" t="str">
        <f>IFERROR(INDEX('Docketed Comments'!I:I,MATCH(A712,'Docketed Comments'!H:H,0)),"")</f>
        <v>EPR-6w/ET-2</v>
      </c>
      <c r="K712" s="65" t="str">
        <f t="shared" si="23"/>
        <v>⚠ Frozen Rate</v>
      </c>
      <c r="L712" s="65" t="str">
        <f>IFERROR(INDEX('Docketed Comments'!F:F,MATCH(A712,'Docketed Comments'!H:H,0)),"")</f>
        <v xml:space="preserve">Opposed- deep concern and frustration </v>
      </c>
      <c r="M712" s="137" t="str">
        <f>IFERROR(HYPERLINK(INDEX('Docketed Comments'!G:G,MATCH(A712,'Docketed Comments'!H:H,0)),"📄 View Docket"),"")</f>
        <v>📄 View Docket</v>
      </c>
      <c r="N712" s="135" t="str">
        <f>IFERROR(INDEX('Docketed Comments'!N:N,MATCH(A712,'Docketed Comments'!H:H,0)),"")</f>
        <v>No</v>
      </c>
      <c r="O712" s="135" t="str">
        <f>IFERROR(INDEX('Docketed Comments'!L:L,MATCH(A712,'Docketed Comments'!H:H,0)),"")</f>
        <v>Frozen Rate</v>
      </c>
      <c r="P712" s="136">
        <f t="shared" si="22"/>
        <v>0</v>
      </c>
      <c r="Q712" s="140" t="s">
        <v>5809</v>
      </c>
      <c r="R712" s="144">
        <v>0</v>
      </c>
    </row>
    <row r="713" spans="1:18" ht="21.95" customHeight="1">
      <c r="A713" s="71" t="s">
        <v>2713</v>
      </c>
      <c r="B713" s="69"/>
      <c r="C713" s="70"/>
      <c r="D713" s="69"/>
      <c r="E713" s="69"/>
      <c r="F713" s="65"/>
      <c r="G713" s="65" t="s">
        <v>5811</v>
      </c>
      <c r="H713" s="65" t="str">
        <f>IFERROR(INDEX('Docketed Comments'!C:C,MATCH(A713,'Docketed Comments'!H:H,0))&amp;", "&amp;INDEX('Docketed Comments'!B:B,MATCH(A713,'Docketed Comments'!H:H,0)),"")</f>
        <v>Krystal, Bourdieu</v>
      </c>
      <c r="I713" s="65" t="str">
        <f>IFERROR(INDEX('Docketed Comments'!D:D,MATCH(A713,'Docketed Comments'!H:H,0)),"")</f>
        <v>Phoenix</v>
      </c>
      <c r="J713" s="65" t="str">
        <f>IFERROR(INDEX('Docketed Comments'!I:I,MATCH(A713,'Docketed Comments'!H:H,0)),"")</f>
        <v>EPR-6w/ET-2</v>
      </c>
      <c r="K713" s="65" t="str">
        <f t="shared" si="23"/>
        <v>⚠ Frozen Rate</v>
      </c>
      <c r="L713" s="65" t="str">
        <f>IFERROR(INDEX('Docketed Comments'!F:F,MATCH(A713,'Docketed Comments'!H:H,0)),"")</f>
        <v xml:space="preserve">Opposed-2024 net income 600 million </v>
      </c>
      <c r="M713" s="137" t="str">
        <f>IFERROR(HYPERLINK(INDEX('Docketed Comments'!G:G,MATCH(A713,'Docketed Comments'!H:H,0)),"📄 View Docket"),"")</f>
        <v>📄 View Docket</v>
      </c>
      <c r="N713" s="135" t="str">
        <f>IFERROR(INDEX('Docketed Comments'!N:N,MATCH(A713,'Docketed Comments'!H:H,0)),"")</f>
        <v>No</v>
      </c>
      <c r="O713" s="135" t="str">
        <f>IFERROR(INDEX('Docketed Comments'!L:L,MATCH(A713,'Docketed Comments'!H:H,0)),"")</f>
        <v>Frozen Rate</v>
      </c>
      <c r="P713" s="136">
        <f t="shared" si="22"/>
        <v>0</v>
      </c>
      <c r="Q713" s="140"/>
      <c r="R713" s="144">
        <v>1</v>
      </c>
    </row>
    <row r="714" spans="1:18" ht="21.95" customHeight="1">
      <c r="A714" s="71" t="s">
        <v>2717</v>
      </c>
      <c r="B714" s="69" t="s">
        <v>4887</v>
      </c>
      <c r="C714" s="70">
        <v>46074</v>
      </c>
      <c r="D714" s="69" t="s">
        <v>4888</v>
      </c>
      <c r="E714" s="69"/>
      <c r="F714" s="65" t="s">
        <v>4938</v>
      </c>
      <c r="G714" s="65"/>
      <c r="H714" s="65" t="str">
        <f>IFERROR(INDEX('Docketed Comments'!C:C,MATCH(A714,'Docketed Comments'!H:H,0))&amp;", "&amp;INDEX('Docketed Comments'!B:B,MATCH(A714,'Docketed Comments'!H:H,0)),"")</f>
        <v>Cayla, Ruddy</v>
      </c>
      <c r="I714" s="65" t="str">
        <f>IFERROR(INDEX('Docketed Comments'!D:D,MATCH(A714,'Docketed Comments'!H:H,0)),"")</f>
        <v>Peoria</v>
      </c>
      <c r="J714" s="65" t="str">
        <f>IFERROR(INDEX('Docketed Comments'!I:I,MATCH(A714,'Docketed Comments'!H:H,0)),"")</f>
        <v>RCPw/R3-47</v>
      </c>
      <c r="K714" s="65" t="str">
        <f t="shared" si="23"/>
        <v>✅ On Best Plan</v>
      </c>
      <c r="L714" s="65" t="str">
        <f>IFERROR(INDEX('Docketed Comments'!F:F,MATCH(A714,'Docketed Comments'!H:H,0)),"")</f>
        <v>Opposed-APS is not interested in providing affordable energy</v>
      </c>
      <c r="M714" s="137" t="str">
        <f>IFERROR(HYPERLINK(INDEX('Docketed Comments'!G:G,MATCH(A714,'Docketed Comments'!H:H,0)),"📄 View Docket"),"")</f>
        <v>📄 View Docket</v>
      </c>
      <c r="N714" s="135" t="str">
        <f>IFERROR(INDEX('Docketed Comments'!N:N,MATCH(A714,'Docketed Comments'!H:H,0)),"")</f>
        <v>No</v>
      </c>
      <c r="O714" s="135" t="str">
        <f>IFERROR(INDEX('Docketed Comments'!L:L,MATCH(A714,'Docketed Comments'!H:H,0)),"")</f>
        <v>Yes</v>
      </c>
      <c r="P714" s="136">
        <f t="shared" si="22"/>
        <v>0</v>
      </c>
      <c r="Q714" s="140" t="s">
        <v>5809</v>
      </c>
      <c r="R714" s="144">
        <v>0</v>
      </c>
    </row>
    <row r="715" spans="1:18" ht="21.95" customHeight="1">
      <c r="A715" s="71" t="s">
        <v>2720</v>
      </c>
      <c r="B715" s="69"/>
      <c r="C715" s="70"/>
      <c r="D715" s="69"/>
      <c r="E715" s="69"/>
      <c r="F715" s="65"/>
      <c r="G715" s="65" t="s">
        <v>5811</v>
      </c>
      <c r="H715" s="65" t="str">
        <f>IFERROR(INDEX('Docketed Comments'!C:C,MATCH(A715,'Docketed Comments'!H:H,0))&amp;", "&amp;INDEX('Docketed Comments'!B:B,MATCH(A715,'Docketed Comments'!H:H,0)),"")</f>
        <v>Vicki, Toback</v>
      </c>
      <c r="I715" s="65" t="str">
        <f>IFERROR(INDEX('Docketed Comments'!D:D,MATCH(A715,'Docketed Comments'!H:H,0)),"")</f>
        <v>Scottsdale</v>
      </c>
      <c r="J715" s="65" t="str">
        <f>IFERROR(INDEX('Docketed Comments'!I:I,MATCH(A715,'Docketed Comments'!H:H,0)),"")</f>
        <v>R3-47</v>
      </c>
      <c r="K715" s="65" t="str">
        <f t="shared" si="23"/>
        <v>✅ On Best Plan</v>
      </c>
      <c r="L715" s="65" t="str">
        <f>IFERROR(INDEX('Docketed Comments'!F:F,MATCH(A715,'Docketed Comments'!H:H,0)),"")</f>
        <v>Opposed-Average family wont be able to keep up</v>
      </c>
      <c r="M715" s="137" t="str">
        <f>IFERROR(HYPERLINK(INDEX('Docketed Comments'!G:G,MATCH(A715,'Docketed Comments'!H:H,0)),"📄 View Docket"),"")</f>
        <v>📄 View Docket</v>
      </c>
      <c r="N715" s="135" t="str">
        <f>IFERROR(INDEX('Docketed Comments'!N:N,MATCH(A715,'Docketed Comments'!H:H,0)),"")</f>
        <v>No</v>
      </c>
      <c r="O715" s="135" t="str">
        <f>IFERROR(INDEX('Docketed Comments'!L:L,MATCH(A715,'Docketed Comments'!H:H,0)),"")</f>
        <v>Yes</v>
      </c>
      <c r="P715" s="136">
        <f t="shared" si="22"/>
        <v>0</v>
      </c>
      <c r="Q715" s="140"/>
      <c r="R715" s="144">
        <v>1</v>
      </c>
    </row>
    <row r="716" spans="1:18" ht="21.95" customHeight="1">
      <c r="A716" s="71" t="s">
        <v>2733</v>
      </c>
      <c r="B716" s="69" t="s">
        <v>4887</v>
      </c>
      <c r="C716" s="70">
        <v>45997</v>
      </c>
      <c r="D716" s="69"/>
      <c r="E716" s="69"/>
      <c r="F716" s="65" t="s">
        <v>5763</v>
      </c>
      <c r="G716" s="65"/>
      <c r="H716" s="65" t="str">
        <f>IFERROR(INDEX('Docketed Comments'!C:C,MATCH(A716,'Docketed Comments'!H:H,0))&amp;", "&amp;INDEX('Docketed Comments'!B:B,MATCH(A716,'Docketed Comments'!H:H,0)),"")</f>
        <v>Jacob, Vollmer</v>
      </c>
      <c r="I716" s="65" t="str">
        <f>IFERROR(INDEX('Docketed Comments'!D:D,MATCH(A716,'Docketed Comments'!H:H,0)),"")</f>
        <v>Unknown</v>
      </c>
      <c r="J716" s="65" t="str">
        <f>IFERROR(INDEX('Docketed Comments'!I:I,MATCH(A716,'Docketed Comments'!H:H,0)),"")</f>
        <v>EPR-6w/ET-2</v>
      </c>
      <c r="K716" s="65" t="str">
        <f t="shared" si="23"/>
        <v>⚠ Frozen Rate</v>
      </c>
      <c r="L716" s="65" t="str">
        <f>IFERROR(INDEX('Docketed Comments'!F:F,MATCH(A716,'Docketed Comments'!H:H,0)),"")</f>
        <v>Opposed-Bogus rate increase, money grab</v>
      </c>
      <c r="M716" s="137" t="str">
        <f>IFERROR(HYPERLINK(INDEX('Docketed Comments'!G:G,MATCH(A716,'Docketed Comments'!H:H,0)),"📄 View Docket"),"")</f>
        <v>📄 View Docket</v>
      </c>
      <c r="N716" s="135" t="str">
        <f>IFERROR(INDEX('Docketed Comments'!N:N,MATCH(A716,'Docketed Comments'!H:H,0)),"")</f>
        <v>No</v>
      </c>
      <c r="O716" s="135" t="str">
        <f>IFERROR(INDEX('Docketed Comments'!L:L,MATCH(A716,'Docketed Comments'!H:H,0)),"")</f>
        <v>Frozen Rate</v>
      </c>
      <c r="P716" s="136">
        <f t="shared" si="22"/>
        <v>0</v>
      </c>
      <c r="Q716" s="140" t="s">
        <v>5809</v>
      </c>
      <c r="R716" s="144">
        <v>0</v>
      </c>
    </row>
    <row r="717" spans="1:18" ht="21.95" customHeight="1">
      <c r="A717" s="71" t="s">
        <v>2735</v>
      </c>
      <c r="B717" s="69"/>
      <c r="C717" s="70"/>
      <c r="D717" s="69"/>
      <c r="E717" s="69"/>
      <c r="F717" s="65"/>
      <c r="G717" s="65" t="s">
        <v>5811</v>
      </c>
      <c r="H717" s="65" t="str">
        <f>IFERROR(INDEX('Docketed Comments'!C:C,MATCH(A717,'Docketed Comments'!H:H,0))&amp;", "&amp;INDEX('Docketed Comments'!B:B,MATCH(A717,'Docketed Comments'!H:H,0)),"")</f>
        <v>Adam, Schiff</v>
      </c>
      <c r="I717" s="65" t="str">
        <f>IFERROR(INDEX('Docketed Comments'!D:D,MATCH(A717,'Docketed Comments'!H:H,0)),"")</f>
        <v>Phoenix</v>
      </c>
      <c r="J717" s="65" t="str">
        <f>IFERROR(INDEX('Docketed Comments'!I:I,MATCH(A717,'Docketed Comments'!H:H,0)),"")</f>
        <v>EPR-6w/ET-2</v>
      </c>
      <c r="K717" s="65" t="str">
        <f t="shared" si="23"/>
        <v>⚠ Frozen Rate</v>
      </c>
      <c r="L717" s="65" t="str">
        <f>IFERROR(INDEX('Docketed Comments'!F:F,MATCH(A717,'Docketed Comments'!H:H,0)),"")</f>
        <v>Opposed</v>
      </c>
      <c r="M717" s="137" t="str">
        <f>IFERROR(HYPERLINK(INDEX('Docketed Comments'!G:G,MATCH(A717,'Docketed Comments'!H:H,0)),"📄 View Docket"),"")</f>
        <v>📄 View Docket</v>
      </c>
      <c r="N717" s="135" t="str">
        <f>IFERROR(INDEX('Docketed Comments'!N:N,MATCH(A717,'Docketed Comments'!H:H,0)),"")</f>
        <v>No</v>
      </c>
      <c r="O717" s="135" t="str">
        <f>IFERROR(INDEX('Docketed Comments'!L:L,MATCH(A717,'Docketed Comments'!H:H,0)),"")</f>
        <v>Frozen Rate</v>
      </c>
      <c r="P717" s="136">
        <f t="shared" si="22"/>
        <v>0</v>
      </c>
      <c r="Q717" s="140"/>
      <c r="R717" s="144">
        <v>1</v>
      </c>
    </row>
    <row r="718" spans="1:18" ht="21.95" customHeight="1">
      <c r="A718" s="71" t="s">
        <v>2738</v>
      </c>
      <c r="B718" s="69" t="s">
        <v>4887</v>
      </c>
      <c r="C718" s="70">
        <v>46074</v>
      </c>
      <c r="D718" s="69" t="s">
        <v>4865</v>
      </c>
      <c r="E718" s="69"/>
      <c r="F718" s="65" t="s">
        <v>5714</v>
      </c>
      <c r="G718" s="65"/>
      <c r="H718" s="65" t="str">
        <f>IFERROR(INDEX('Docketed Comments'!C:C,MATCH(A718,'Docketed Comments'!H:H,0))&amp;", "&amp;INDEX('Docketed Comments'!B:B,MATCH(A718,'Docketed Comments'!H:H,0)),"")</f>
        <v>Richard, Knaeble</v>
      </c>
      <c r="I718" s="65" t="str">
        <f>IFERROR(INDEX('Docketed Comments'!D:D,MATCH(A718,'Docketed Comments'!H:H,0)),"")</f>
        <v>Phoenix</v>
      </c>
      <c r="J718" s="65" t="str">
        <f>IFERROR(INDEX('Docketed Comments'!I:I,MATCH(A718,'Docketed Comments'!H:H,0)),"")</f>
        <v>R3-47</v>
      </c>
      <c r="K718" s="65" t="str">
        <f t="shared" si="23"/>
        <v>✅ On Best Plan</v>
      </c>
      <c r="L718" s="65" t="str">
        <f>IFERROR(INDEX('Docketed Comments'!F:F,MATCH(A718,'Docketed Comments'!H:H,0)),"")</f>
        <v>Opposed-Charge data centers more</v>
      </c>
      <c r="M718" s="137" t="str">
        <f>IFERROR(HYPERLINK(INDEX('Docketed Comments'!G:G,MATCH(A718,'Docketed Comments'!H:H,0)),"📄 View Docket"),"")</f>
        <v>📄 View Docket</v>
      </c>
      <c r="N718" s="135" t="str">
        <f>IFERROR(INDEX('Docketed Comments'!N:N,MATCH(A718,'Docketed Comments'!H:H,0)),"")</f>
        <v>No</v>
      </c>
      <c r="O718" s="135" t="str">
        <f>IFERROR(INDEX('Docketed Comments'!L:L,MATCH(A718,'Docketed Comments'!H:H,0)),"")</f>
        <v>Yes</v>
      </c>
      <c r="P718" s="136">
        <f t="shared" si="22"/>
        <v>0</v>
      </c>
      <c r="Q718" s="140" t="s">
        <v>5809</v>
      </c>
      <c r="R718" s="144">
        <v>0</v>
      </c>
    </row>
    <row r="719" spans="1:18" ht="21.95" customHeight="1">
      <c r="A719" s="71" t="s">
        <v>2742</v>
      </c>
      <c r="B719" s="69" t="s">
        <v>4887</v>
      </c>
      <c r="C719" s="70">
        <v>45997</v>
      </c>
      <c r="D719" s="69"/>
      <c r="E719" s="69"/>
      <c r="F719" s="65" t="s">
        <v>5764</v>
      </c>
      <c r="G719" s="65"/>
      <c r="H719" s="65" t="str">
        <f>IFERROR(INDEX('Docketed Comments'!C:C,MATCH(A719,'Docketed Comments'!H:H,0))&amp;", "&amp;INDEX('Docketed Comments'!B:B,MATCH(A719,'Docketed Comments'!H:H,0)),"")</f>
        <v>Veronica R., Valerio</v>
      </c>
      <c r="I719" s="65" t="str">
        <f>IFERROR(INDEX('Docketed Comments'!D:D,MATCH(A719,'Docketed Comments'!H:H,0)),"")</f>
        <v>Prescott</v>
      </c>
      <c r="J719" s="65" t="str">
        <f>IFERROR(INDEX('Docketed Comments'!I:I,MATCH(A719,'Docketed Comments'!H:H,0)),"")</f>
        <v>R-BASIC</v>
      </c>
      <c r="K719" s="65" t="str">
        <f t="shared" si="23"/>
        <v>✅ On Best Plan</v>
      </c>
      <c r="L719" s="65" t="str">
        <f>IFERROR(INDEX('Docketed Comments'!F:F,MATCH(A719,'Docketed Comments'!H:H,0)),"")</f>
        <v>Opposed-increase is concerning</v>
      </c>
      <c r="M719" s="137" t="str">
        <f>IFERROR(HYPERLINK(INDEX('Docketed Comments'!G:G,MATCH(A719,'Docketed Comments'!H:H,0)),"📄 View Docket"),"")</f>
        <v>📄 View Docket</v>
      </c>
      <c r="N719" s="135" t="str">
        <f>IFERROR(INDEX('Docketed Comments'!N:N,MATCH(A719,'Docketed Comments'!H:H,0)),"")</f>
        <v>No</v>
      </c>
      <c r="O719" s="135" t="str">
        <f>IFERROR(INDEX('Docketed Comments'!L:L,MATCH(A719,'Docketed Comments'!H:H,0)),"")</f>
        <v>Yes</v>
      </c>
      <c r="P719" s="136">
        <f t="shared" si="22"/>
        <v>0</v>
      </c>
      <c r="Q719" s="140" t="s">
        <v>5809</v>
      </c>
      <c r="R719" s="144">
        <v>0</v>
      </c>
    </row>
    <row r="720" spans="1:18" ht="21.95" customHeight="1">
      <c r="A720" s="71" t="s">
        <v>2746</v>
      </c>
      <c r="B720" s="69" t="s">
        <v>4887</v>
      </c>
      <c r="C720" s="70">
        <v>46074</v>
      </c>
      <c r="D720" s="69" t="s">
        <v>4865</v>
      </c>
      <c r="E720" s="69" t="s">
        <v>4898</v>
      </c>
      <c r="F720" s="65"/>
      <c r="G720" s="65"/>
      <c r="H720" s="65" t="str">
        <f>IFERROR(INDEX('Docketed Comments'!C:C,MATCH(A720,'Docketed Comments'!H:H,0))&amp;", "&amp;INDEX('Docketed Comments'!B:B,MATCH(A720,'Docketed Comments'!H:H,0)),"")</f>
        <v>Kimberly, Eggert</v>
      </c>
      <c r="I720" s="65" t="str">
        <f>IFERROR(INDEX('Docketed Comments'!D:D,MATCH(A720,'Docketed Comments'!H:H,0)),"")</f>
        <v>Scottsdale</v>
      </c>
      <c r="J720" s="65" t="str">
        <f>IFERROR(INDEX('Docketed Comments'!I:I,MATCH(A720,'Docketed Comments'!H:H,0)),"")</f>
        <v>R3-47</v>
      </c>
      <c r="K720" s="65" t="str">
        <f t="shared" si="23"/>
        <v>✅ On Best Plan</v>
      </c>
      <c r="L720" s="65" t="str">
        <f>IFERROR(INDEX('Docketed Comments'!F:F,MATCH(A720,'Docketed Comments'!H:H,0)),"")</f>
        <v>Opposed-Is there a reason AZ doesn’t allow competition?</v>
      </c>
      <c r="M720" s="137" t="str">
        <f>IFERROR(HYPERLINK(INDEX('Docketed Comments'!G:G,MATCH(A720,'Docketed Comments'!H:H,0)),"📄 View Docket"),"")</f>
        <v>📄 View Docket</v>
      </c>
      <c r="N720" s="135" t="str">
        <f>IFERROR(INDEX('Docketed Comments'!N:N,MATCH(A720,'Docketed Comments'!H:H,0)),"")</f>
        <v>No</v>
      </c>
      <c r="O720" s="135" t="str">
        <f>IFERROR(INDEX('Docketed Comments'!L:L,MATCH(A720,'Docketed Comments'!H:H,0)),"")</f>
        <v>Y</v>
      </c>
      <c r="P720" s="136">
        <f t="shared" si="22"/>
        <v>0</v>
      </c>
      <c r="Q720" s="140" t="s">
        <v>5809</v>
      </c>
      <c r="R720" s="144">
        <v>0</v>
      </c>
    </row>
    <row r="721" spans="1:18" ht="21.95" customHeight="1">
      <c r="A721" s="71" t="s">
        <v>2750</v>
      </c>
      <c r="B721" s="69" t="s">
        <v>4887</v>
      </c>
      <c r="C721" s="70">
        <v>46074</v>
      </c>
      <c r="D721" s="69" t="s">
        <v>4888</v>
      </c>
      <c r="E721" s="69"/>
      <c r="F721" s="65" t="s">
        <v>4938</v>
      </c>
      <c r="G721" s="65"/>
      <c r="H721" s="65" t="str">
        <f>IFERROR(INDEX('Docketed Comments'!C:C,MATCH(A721,'Docketed Comments'!H:H,0))&amp;", "&amp;INDEX('Docketed Comments'!B:B,MATCH(A721,'Docketed Comments'!H:H,0)),"")</f>
        <v>Janelle, Bottlinger</v>
      </c>
      <c r="I721" s="65" t="str">
        <f>IFERROR(INDEX('Docketed Comments'!D:D,MATCH(A721,'Docketed Comments'!H:H,0)),"")</f>
        <v>Phoenix</v>
      </c>
      <c r="J721" s="65" t="str">
        <f>IFERROR(INDEX('Docketed Comments'!I:I,MATCH(A721,'Docketed Comments'!H:H,0)),"")</f>
        <v>R3-47</v>
      </c>
      <c r="K721" s="65" t="str">
        <f t="shared" si="23"/>
        <v>✅ On Best Plan</v>
      </c>
      <c r="L721" s="65" t="str">
        <f>IFERROR(INDEX('Docketed Comments'!F:F,MATCH(A721,'Docketed Comments'!H:H,0)),"")</f>
        <v>Rates are extremely expensive</v>
      </c>
      <c r="M721" s="137" t="str">
        <f>IFERROR(HYPERLINK(INDEX('Docketed Comments'!G:G,MATCH(A721,'Docketed Comments'!H:H,0)),"📄 View Docket"),"")</f>
        <v>📄 View Docket</v>
      </c>
      <c r="N721" s="135" t="str">
        <f>IFERROR(INDEX('Docketed Comments'!N:N,MATCH(A721,'Docketed Comments'!H:H,0)),"")</f>
        <v>No</v>
      </c>
      <c r="O721" s="135" t="str">
        <f>IFERROR(INDEX('Docketed Comments'!L:L,MATCH(A721,'Docketed Comments'!H:H,0)),"")</f>
        <v>Y</v>
      </c>
      <c r="P721" s="136">
        <f t="shared" si="22"/>
        <v>0</v>
      </c>
      <c r="Q721" s="140" t="s">
        <v>5809</v>
      </c>
      <c r="R721" s="144">
        <v>0</v>
      </c>
    </row>
    <row r="722" spans="1:18" ht="21.95" customHeight="1">
      <c r="A722" s="71" t="s">
        <v>2757</v>
      </c>
      <c r="B722" s="69"/>
      <c r="C722" s="70"/>
      <c r="D722" s="69"/>
      <c r="E722" s="69"/>
      <c r="F722" s="65"/>
      <c r="G722" s="65" t="s">
        <v>5811</v>
      </c>
      <c r="H722" s="65" t="str">
        <f>IFERROR(INDEX('Docketed Comments'!C:C,MATCH(A722,'Docketed Comments'!H:H,0))&amp;", "&amp;INDEX('Docketed Comments'!B:B,MATCH(A722,'Docketed Comments'!H:H,0)),"")</f>
        <v>Pamela, Gibson</v>
      </c>
      <c r="I722" s="65" t="str">
        <f>IFERROR(INDEX('Docketed Comments'!D:D,MATCH(A722,'Docketed Comments'!H:H,0)),"")</f>
        <v>Surprise</v>
      </c>
      <c r="J722" s="65" t="str">
        <f>IFERROR(INDEX('Docketed Comments'!I:I,MATCH(A722,'Docketed Comments'!H:H,0)),"")</f>
        <v>R3-47</v>
      </c>
      <c r="K722" s="65" t="str">
        <f t="shared" si="23"/>
        <v>✅ On Best Plan</v>
      </c>
      <c r="L722" s="65" t="str">
        <f>IFERROR(INDEX('Docketed Comments'!F:F,MATCH(A722,'Docketed Comments'!H:H,0)),"")</f>
        <v>No one can keep up with their bills</v>
      </c>
      <c r="M722" s="137" t="str">
        <f>IFERROR(HYPERLINK(INDEX('Docketed Comments'!G:G,MATCH(A722,'Docketed Comments'!H:H,0)),"📄 View Docket"),"")</f>
        <v>📄 View Docket</v>
      </c>
      <c r="N722" s="135" t="str">
        <f>IFERROR(INDEX('Docketed Comments'!N:N,MATCH(A722,'Docketed Comments'!H:H,0)),"")</f>
        <v>No</v>
      </c>
      <c r="O722" s="135" t="str">
        <f>IFERROR(INDEX('Docketed Comments'!L:L,MATCH(A722,'Docketed Comments'!H:H,0)),"")</f>
        <v>Y</v>
      </c>
      <c r="P722" s="136">
        <f t="shared" si="22"/>
        <v>0</v>
      </c>
      <c r="Q722" s="140"/>
      <c r="R722" s="144">
        <v>1</v>
      </c>
    </row>
    <row r="723" spans="1:18" ht="21.95" customHeight="1">
      <c r="A723" s="71" t="s">
        <v>2778</v>
      </c>
      <c r="B723" s="69"/>
      <c r="C723" s="70"/>
      <c r="D723" s="69"/>
      <c r="E723" s="69"/>
      <c r="F723" s="65"/>
      <c r="G723" s="65" t="s">
        <v>5811</v>
      </c>
      <c r="H723" s="65" t="str">
        <f>IFERROR(INDEX('Docketed Comments'!C:C,MATCH(A723,'Docketed Comments'!H:H,0))&amp;", "&amp;INDEX('Docketed Comments'!B:B,MATCH(A723,'Docketed Comments'!H:H,0)),"")</f>
        <v>Dawn, Owsley</v>
      </c>
      <c r="I723" s="65" t="str">
        <f>IFERROR(INDEX('Docketed Comments'!D:D,MATCH(A723,'Docketed Comments'!H:H,0)),"")</f>
        <v>Unknown</v>
      </c>
      <c r="J723" s="65" t="str">
        <f>IFERROR(INDEX('Docketed Comments'!I:I,MATCH(A723,'Docketed Comments'!H:H,0)),"")</f>
        <v>R3-47</v>
      </c>
      <c r="K723" s="65" t="str">
        <f t="shared" si="23"/>
        <v>✅ On Best Plan</v>
      </c>
      <c r="L723" s="65" t="str">
        <f>IFERROR(INDEX('Docketed Comments'!F:F,MATCH(A723,'Docketed Comments'!H:H,0)),"")</f>
        <v>Unacceptable- will leave many unable to pay their bills</v>
      </c>
      <c r="M723" s="137" t="str">
        <f>IFERROR(HYPERLINK(INDEX('Docketed Comments'!G:G,MATCH(A723,'Docketed Comments'!H:H,0)),"📄 View Docket"),"")</f>
        <v>📄 View Docket</v>
      </c>
      <c r="N723" s="135" t="str">
        <f>IFERROR(INDEX('Docketed Comments'!N:N,MATCH(A723,'Docketed Comments'!H:H,0)),"")</f>
        <v>No</v>
      </c>
      <c r="O723" s="135" t="str">
        <f>IFERROR(INDEX('Docketed Comments'!L:L,MATCH(A723,'Docketed Comments'!H:H,0)),"")</f>
        <v>Y</v>
      </c>
      <c r="P723" s="136">
        <f t="shared" si="22"/>
        <v>0</v>
      </c>
      <c r="Q723" s="140"/>
      <c r="R723" s="144">
        <v>1</v>
      </c>
    </row>
    <row r="724" spans="1:18" ht="21.95" customHeight="1">
      <c r="A724" s="71" t="s">
        <v>2781</v>
      </c>
      <c r="B724" s="69" t="s">
        <v>4887</v>
      </c>
      <c r="C724" s="70">
        <v>46074</v>
      </c>
      <c r="D724" s="69" t="s">
        <v>4888</v>
      </c>
      <c r="E724" s="69"/>
      <c r="F724" s="65" t="s">
        <v>4938</v>
      </c>
      <c r="G724" s="65"/>
      <c r="H724" s="65" t="str">
        <f>IFERROR(INDEX('Docketed Comments'!C:C,MATCH(A724,'Docketed Comments'!H:H,0))&amp;", "&amp;INDEX('Docketed Comments'!B:B,MATCH(A724,'Docketed Comments'!H:H,0)),"")</f>
        <v>Kevin, Castano</v>
      </c>
      <c r="I724" s="65" t="str">
        <f>IFERROR(INDEX('Docketed Comments'!D:D,MATCH(A724,'Docketed Comments'!H:H,0)),"")</f>
        <v>Chino Valley</v>
      </c>
      <c r="J724" s="65" t="str">
        <f>IFERROR(INDEX('Docketed Comments'!I:I,MATCH(A724,'Docketed Comments'!H:H,0)),"")</f>
        <v>R-XS</v>
      </c>
      <c r="K724" s="65" t="str">
        <f t="shared" si="23"/>
        <v>✅ On Best Plan</v>
      </c>
      <c r="L724" s="65" t="str">
        <f>IFERROR(INDEX('Docketed Comments'!F:F,MATCH(A724,'Docketed Comments'!H:H,0)),"")</f>
        <v>Opposed-already struggling with cost of living</v>
      </c>
      <c r="M724" s="137" t="str">
        <f>IFERROR(HYPERLINK(INDEX('Docketed Comments'!G:G,MATCH(A724,'Docketed Comments'!H:H,0)),"📄 View Docket"),"")</f>
        <v>📄 View Docket</v>
      </c>
      <c r="N724" s="135" t="str">
        <f>IFERROR(INDEX('Docketed Comments'!N:N,MATCH(A724,'Docketed Comments'!H:H,0)),"")</f>
        <v>No</v>
      </c>
      <c r="O724" s="135" t="str">
        <f>IFERROR(INDEX('Docketed Comments'!L:L,MATCH(A724,'Docketed Comments'!H:H,0)),"")</f>
        <v>Y</v>
      </c>
      <c r="P724" s="136">
        <f t="shared" si="22"/>
        <v>0</v>
      </c>
      <c r="Q724" s="140" t="s">
        <v>5809</v>
      </c>
      <c r="R724" s="144">
        <v>0</v>
      </c>
    </row>
    <row r="725" spans="1:18" ht="21.95" customHeight="1">
      <c r="A725" s="71" t="s">
        <v>2792</v>
      </c>
      <c r="B725" s="69" t="s">
        <v>4887</v>
      </c>
      <c r="C725" s="70">
        <v>46074</v>
      </c>
      <c r="D725" s="69" t="s">
        <v>4865</v>
      </c>
      <c r="E725" s="69"/>
      <c r="F725" s="65" t="s">
        <v>5745</v>
      </c>
      <c r="G725" s="65"/>
      <c r="H725" s="65" t="str">
        <f>IFERROR(INDEX('Docketed Comments'!C:C,MATCH(A725,'Docketed Comments'!H:H,0))&amp;", "&amp;INDEX('Docketed Comments'!B:B,MATCH(A725,'Docketed Comments'!H:H,0)),"")</f>
        <v>Christine, McCloskey</v>
      </c>
      <c r="I725" s="65" t="str">
        <f>IFERROR(INDEX('Docketed Comments'!D:D,MATCH(A725,'Docketed Comments'!H:H,0)),"")</f>
        <v>Buckeye</v>
      </c>
      <c r="J725" s="65" t="str">
        <f>IFERROR(INDEX('Docketed Comments'!I:I,MATCH(A725,'Docketed Comments'!H:H,0)),"")</f>
        <v>R3-47</v>
      </c>
      <c r="K725" s="65" t="str">
        <f t="shared" si="23"/>
        <v>✅ On Best Plan</v>
      </c>
      <c r="L725" s="65" t="str">
        <f>IFERROR(INDEX('Docketed Comments'!F:F,MATCH(A725,'Docketed Comments'!H:H,0)),"")</f>
        <v>Form letter</v>
      </c>
      <c r="M725" s="137" t="str">
        <f>IFERROR(HYPERLINK(INDEX('Docketed Comments'!G:G,MATCH(A725,'Docketed Comments'!H:H,0)),"📄 View Docket"),"")</f>
        <v>📄 View Docket</v>
      </c>
      <c r="N725" s="135" t="str">
        <f>IFERROR(INDEX('Docketed Comments'!N:N,MATCH(A725,'Docketed Comments'!H:H,0)),"")</f>
        <v>No</v>
      </c>
      <c r="O725" s="135" t="str">
        <f>IFERROR(INDEX('Docketed Comments'!L:L,MATCH(A725,'Docketed Comments'!H:H,0)),"")</f>
        <v>Y</v>
      </c>
      <c r="P725" s="136">
        <f t="shared" si="22"/>
        <v>0</v>
      </c>
      <c r="Q725" s="140" t="s">
        <v>5809</v>
      </c>
      <c r="R725" s="144">
        <v>0</v>
      </c>
    </row>
    <row r="726" spans="1:18" ht="21.95" customHeight="1">
      <c r="A726" s="71" t="s">
        <v>2796</v>
      </c>
      <c r="B726" s="69"/>
      <c r="C726" s="70"/>
      <c r="D726" s="69"/>
      <c r="E726" s="69"/>
      <c r="F726" s="65"/>
      <c r="G726" s="65" t="s">
        <v>5811</v>
      </c>
      <c r="H726" s="65" t="str">
        <f>IFERROR(INDEX('Docketed Comments'!C:C,MATCH(A726,'Docketed Comments'!H:H,0))&amp;", "&amp;INDEX('Docketed Comments'!B:B,MATCH(A726,'Docketed Comments'!H:H,0)),"")</f>
        <v>Kaitlynne, Barley</v>
      </c>
      <c r="I726" s="65" t="str">
        <f>IFERROR(INDEX('Docketed Comments'!D:D,MATCH(A726,'Docketed Comments'!H:H,0)),"")</f>
        <v>Litchfield Park</v>
      </c>
      <c r="J726" s="65" t="str">
        <f>IFERROR(INDEX('Docketed Comments'!I:I,MATCH(A726,'Docketed Comments'!H:H,0)),"")</f>
        <v>R3-47</v>
      </c>
      <c r="K726" s="65" t="str">
        <f t="shared" si="23"/>
        <v>✅ On Best Plan</v>
      </c>
      <c r="L726" s="65" t="str">
        <f>IFERROR(INDEX('Docketed Comments'!F:F,MATCH(A726,'Docketed Comments'!H:H,0)),"")</f>
        <v>Strongly Opposed</v>
      </c>
      <c r="M726" s="137" t="str">
        <f>IFERROR(HYPERLINK(INDEX('Docketed Comments'!G:G,MATCH(A726,'Docketed Comments'!H:H,0)),"📄 View Docket"),"")</f>
        <v>📄 View Docket</v>
      </c>
      <c r="N726" s="135" t="str">
        <f>IFERROR(INDEX('Docketed Comments'!N:N,MATCH(A726,'Docketed Comments'!H:H,0)),"")</f>
        <v>No</v>
      </c>
      <c r="O726" s="135" t="str">
        <f>IFERROR(INDEX('Docketed Comments'!L:L,MATCH(A726,'Docketed Comments'!H:H,0)),"")</f>
        <v>Y</v>
      </c>
      <c r="P726" s="136">
        <f t="shared" si="22"/>
        <v>0</v>
      </c>
      <c r="Q726" s="140"/>
      <c r="R726" s="144">
        <v>1</v>
      </c>
    </row>
    <row r="727" spans="1:18" ht="21.95" customHeight="1">
      <c r="A727" s="71" t="s">
        <v>2809</v>
      </c>
      <c r="B727" s="69"/>
      <c r="C727" s="70"/>
      <c r="D727" s="69"/>
      <c r="E727" s="69"/>
      <c r="F727" s="65"/>
      <c r="G727" s="65" t="s">
        <v>5811</v>
      </c>
      <c r="H727" s="65" t="str">
        <f>IFERROR(INDEX('Docketed Comments'!C:C,MATCH(A727,'Docketed Comments'!H:H,0))&amp;", "&amp;INDEX('Docketed Comments'!B:B,MATCH(A727,'Docketed Comments'!H:H,0)),"")</f>
        <v>Katherine, Barbarite</v>
      </c>
      <c r="I727" s="65" t="str">
        <f>IFERROR(INDEX('Docketed Comments'!D:D,MATCH(A727,'Docketed Comments'!H:H,0)),"")</f>
        <v>Dewey</v>
      </c>
      <c r="J727" s="65" t="str">
        <f>IFERROR(INDEX('Docketed Comments'!I:I,MATCH(A727,'Docketed Comments'!H:H,0)),"")</f>
        <v>RCPw/RTOUE47</v>
      </c>
      <c r="K727" s="65" t="str">
        <f t="shared" si="23"/>
        <v>✅ On Best Plan</v>
      </c>
      <c r="L727" s="65" t="str">
        <f>IFERROR(INDEX('Docketed Comments'!F:F,MATCH(A727,'Docketed Comments'!H:H,0)),"")</f>
        <v>Absolutely Unjust</v>
      </c>
      <c r="M727" s="137" t="str">
        <f>IFERROR(HYPERLINK(INDEX('Docketed Comments'!G:G,MATCH(A727,'Docketed Comments'!H:H,0)),"📄 View Docket"),"")</f>
        <v>📄 View Docket</v>
      </c>
      <c r="N727" s="135" t="str">
        <f>IFERROR(INDEX('Docketed Comments'!N:N,MATCH(A727,'Docketed Comments'!H:H,0)),"")</f>
        <v>No</v>
      </c>
      <c r="O727" s="135" t="str">
        <f>IFERROR(INDEX('Docketed Comments'!L:L,MATCH(A727,'Docketed Comments'!H:H,0)),"")</f>
        <v>Y</v>
      </c>
      <c r="P727" s="136">
        <f t="shared" si="22"/>
        <v>0</v>
      </c>
      <c r="Q727" s="140"/>
      <c r="R727" s="144">
        <v>1</v>
      </c>
    </row>
    <row r="728" spans="1:18" ht="21.95" customHeight="1">
      <c r="A728" s="71" t="s">
        <v>5325</v>
      </c>
      <c r="B728" s="69"/>
      <c r="C728" s="70"/>
      <c r="D728" s="69"/>
      <c r="E728" s="69"/>
      <c r="F728" s="65"/>
      <c r="G728" s="65" t="s">
        <v>5811</v>
      </c>
      <c r="H728" s="65" t="str">
        <f>IFERROR(INDEX('Docketed Comments'!C:C,MATCH(A728,'Docketed Comments'!H:H,0))&amp;", "&amp;INDEX('Docketed Comments'!B:B,MATCH(A728,'Docketed Comments'!H:H,0)),"")</f>
        <v>Michelle, Haynes</v>
      </c>
      <c r="I728" s="65" t="str">
        <f>IFERROR(INDEX('Docketed Comments'!D:D,MATCH(A728,'Docketed Comments'!H:H,0)),"")</f>
        <v>Prescott</v>
      </c>
      <c r="J728" s="65" t="str">
        <f>IFERROR(INDEX('Docketed Comments'!I:I,MATCH(A728,'Docketed Comments'!H:H,0)),"")</f>
        <v>R-XS</v>
      </c>
      <c r="K728" s="65" t="str">
        <f t="shared" si="23"/>
        <v>✅ On Best Plan</v>
      </c>
      <c r="L728" s="65" t="str">
        <f>IFERROR(INDEX('Docketed Comments'!F:F,MATCH(A728,'Docketed Comments'!H:H,0)),"")</f>
        <v>Opposed-Unacceptable</v>
      </c>
      <c r="M728" s="137" t="str">
        <f>IFERROR(HYPERLINK(INDEX('Docketed Comments'!G:G,MATCH(A728,'Docketed Comments'!H:H,0)),"📄 View Docket"),"")</f>
        <v>📄 View Docket</v>
      </c>
      <c r="N728" s="135" t="str">
        <f>IFERROR(INDEX('Docketed Comments'!N:N,MATCH(A728,'Docketed Comments'!H:H,0)),"")</f>
        <v>No</v>
      </c>
      <c r="O728" s="135" t="str">
        <f>IFERROR(INDEX('Docketed Comments'!L:L,MATCH(A728,'Docketed Comments'!H:H,0)),"")</f>
        <v>Yes</v>
      </c>
      <c r="P728" s="136">
        <f t="shared" si="22"/>
        <v>0</v>
      </c>
      <c r="Q728" s="140"/>
      <c r="R728" s="144">
        <v>1</v>
      </c>
    </row>
    <row r="729" spans="1:18" ht="21.95" customHeight="1">
      <c r="A729" s="71" t="s">
        <v>5326</v>
      </c>
      <c r="B729" s="69"/>
      <c r="C729" s="70"/>
      <c r="D729" s="69"/>
      <c r="E729" s="69"/>
      <c r="F729" s="65"/>
      <c r="G729" s="65" t="s">
        <v>5811</v>
      </c>
      <c r="H729" s="65" t="str">
        <f>IFERROR(INDEX('Docketed Comments'!C:C,MATCH(A729,'Docketed Comments'!H:H,0))&amp;", "&amp;INDEX('Docketed Comments'!B:B,MATCH(A729,'Docketed Comments'!H:H,0)),"")</f>
        <v>Haley, Mccann</v>
      </c>
      <c r="I729" s="65" t="str">
        <f>IFERROR(INDEX('Docketed Comments'!D:D,MATCH(A729,'Docketed Comments'!H:H,0)),"")</f>
        <v>Surprise</v>
      </c>
      <c r="J729" s="65" t="str">
        <f>IFERROR(INDEX('Docketed Comments'!I:I,MATCH(A729,'Docketed Comments'!H:H,0)),"")</f>
        <v>R3-47</v>
      </c>
      <c r="K729" s="65" t="str">
        <f t="shared" si="23"/>
        <v>✅ On Best Plan</v>
      </c>
      <c r="L729" s="65" t="str">
        <f>IFERROR(INDEX('Docketed Comments'!F:F,MATCH(A729,'Docketed Comments'!H:H,0)),"")</f>
        <v xml:space="preserve">People can barely afford electricity as is now </v>
      </c>
      <c r="M729" s="137" t="str">
        <f>IFERROR(HYPERLINK(INDEX('Docketed Comments'!G:G,MATCH(A729,'Docketed Comments'!H:H,0)),"📄 View Docket"),"")</f>
        <v>📄 View Docket</v>
      </c>
      <c r="N729" s="135" t="str">
        <f>IFERROR(INDEX('Docketed Comments'!N:N,MATCH(A729,'Docketed Comments'!H:H,0)),"")</f>
        <v>No</v>
      </c>
      <c r="O729" s="135" t="str">
        <f>IFERROR(INDEX('Docketed Comments'!L:L,MATCH(A729,'Docketed Comments'!H:H,0)),"")</f>
        <v>Yes</v>
      </c>
      <c r="P729" s="136">
        <f t="shared" si="22"/>
        <v>0</v>
      </c>
      <c r="Q729" s="140"/>
      <c r="R729" s="144">
        <v>1</v>
      </c>
    </row>
    <row r="730" spans="1:18" ht="21.95" customHeight="1">
      <c r="A730" s="71" t="s">
        <v>5327</v>
      </c>
      <c r="B730" s="69"/>
      <c r="C730" s="70"/>
      <c r="D730" s="69"/>
      <c r="E730" s="69"/>
      <c r="F730" s="65"/>
      <c r="G730" s="65" t="s">
        <v>5811</v>
      </c>
      <c r="H730" s="65" t="str">
        <f>IFERROR(INDEX('Docketed Comments'!C:C,MATCH(A730,'Docketed Comments'!H:H,0))&amp;", "&amp;INDEX('Docketed Comments'!B:B,MATCH(A730,'Docketed Comments'!H:H,0)),"")</f>
        <v>Helen, Dueringer</v>
      </c>
      <c r="I730" s="65" t="str">
        <f>IFERROR(INDEX('Docketed Comments'!D:D,MATCH(A730,'Docketed Comments'!H:H,0)),"")</f>
        <v>Phoenix</v>
      </c>
      <c r="J730" s="65" t="str">
        <f>IFERROR(INDEX('Docketed Comments'!I:I,MATCH(A730,'Docketed Comments'!H:H,0)),"")</f>
        <v>R-BASIC</v>
      </c>
      <c r="K730" s="65" t="str">
        <f t="shared" si="23"/>
        <v>✅ On Best Plan</v>
      </c>
      <c r="L730" s="65" t="str">
        <f>IFERROR(INDEX('Docketed Comments'!F:F,MATCH(A730,'Docketed Comments'!H:H,0)),"")</f>
        <v>Rates should only be risen for Commercial properties</v>
      </c>
      <c r="M730" s="137" t="str">
        <f>IFERROR(HYPERLINK(INDEX('Docketed Comments'!G:G,MATCH(A730,'Docketed Comments'!H:H,0)),"📄 View Docket"),"")</f>
        <v>📄 View Docket</v>
      </c>
      <c r="N730" s="135" t="str">
        <f>IFERROR(INDEX('Docketed Comments'!N:N,MATCH(A730,'Docketed Comments'!H:H,0)),"")</f>
        <v>No</v>
      </c>
      <c r="O730" s="135" t="str">
        <f>IFERROR(INDEX('Docketed Comments'!L:L,MATCH(A730,'Docketed Comments'!H:H,0)),"")</f>
        <v>Yes</v>
      </c>
      <c r="P730" s="136">
        <f t="shared" si="22"/>
        <v>0</v>
      </c>
      <c r="Q730" s="140"/>
      <c r="R730" s="144">
        <v>1</v>
      </c>
    </row>
    <row r="731" spans="1:18" ht="21.95" customHeight="1">
      <c r="A731" s="71" t="s">
        <v>5328</v>
      </c>
      <c r="B731" s="69"/>
      <c r="C731" s="70"/>
      <c r="D731" s="69"/>
      <c r="E731" s="69"/>
      <c r="F731" s="65"/>
      <c r="G731" s="65" t="s">
        <v>5811</v>
      </c>
      <c r="H731" s="65" t="str">
        <f>IFERROR(INDEX('Docketed Comments'!C:C,MATCH(A731,'Docketed Comments'!H:H,0))&amp;", "&amp;INDEX('Docketed Comments'!B:B,MATCH(A731,'Docketed Comments'!H:H,0)),"")</f>
        <v>Karen, Mckinney</v>
      </c>
      <c r="I731" s="65" t="str">
        <f>IFERROR(INDEX('Docketed Comments'!D:D,MATCH(A731,'Docketed Comments'!H:H,0)),"")</f>
        <v>Buckeye</v>
      </c>
      <c r="J731" s="65" t="str">
        <f>IFERROR(INDEX('Docketed Comments'!I:I,MATCH(A731,'Docketed Comments'!H:H,0)),"")</f>
        <v>RCPw/RTOUE47</v>
      </c>
      <c r="K731" s="65" t="str">
        <f t="shared" si="23"/>
        <v>✅ On Best Plan</v>
      </c>
      <c r="L731" s="65" t="str">
        <f>IFERROR(INDEX('Docketed Comments'!F:F,MATCH(A731,'Docketed Comments'!H:H,0)),"")</f>
        <v>Strongly disagree</v>
      </c>
      <c r="M731" s="137" t="str">
        <f>IFERROR(HYPERLINK(INDEX('Docketed Comments'!G:G,MATCH(A731,'Docketed Comments'!H:H,0)),"📄 View Docket"),"")</f>
        <v>📄 View Docket</v>
      </c>
      <c r="N731" s="135" t="str">
        <f>IFERROR(INDEX('Docketed Comments'!N:N,MATCH(A731,'Docketed Comments'!H:H,0)),"")</f>
        <v>No</v>
      </c>
      <c r="O731" s="135" t="str">
        <f>IFERROR(INDEX('Docketed Comments'!L:L,MATCH(A731,'Docketed Comments'!H:H,0)),"")</f>
        <v>Yes</v>
      </c>
      <c r="P731" s="136">
        <f t="shared" si="22"/>
        <v>0</v>
      </c>
      <c r="Q731" s="140"/>
      <c r="R731" s="144">
        <v>1</v>
      </c>
    </row>
    <row r="732" spans="1:18" ht="21.95" customHeight="1">
      <c r="A732" s="71" t="s">
        <v>5329</v>
      </c>
      <c r="B732" s="69"/>
      <c r="C732" s="70"/>
      <c r="D732" s="69"/>
      <c r="E732" s="69"/>
      <c r="F732" s="65"/>
      <c r="G732" s="65" t="s">
        <v>5811</v>
      </c>
      <c r="H732" s="65" t="str">
        <f>IFERROR(INDEX('Docketed Comments'!C:C,MATCH(A732,'Docketed Comments'!H:H,0))&amp;", "&amp;INDEX('Docketed Comments'!B:B,MATCH(A732,'Docketed Comments'!H:H,0)),"")</f>
        <v>Valerie, Brown</v>
      </c>
      <c r="I732" s="65" t="str">
        <f>IFERROR(INDEX('Docketed Comments'!D:D,MATCH(A732,'Docketed Comments'!H:H,0)),"")</f>
        <v>Litchfield Park</v>
      </c>
      <c r="J732" s="65" t="str">
        <f>IFERROR(INDEX('Docketed Comments'!I:I,MATCH(A732,'Docketed Comments'!H:H,0)),"")</f>
        <v>R3-47</v>
      </c>
      <c r="K732" s="65" t="str">
        <f t="shared" si="23"/>
        <v>✅ On Best Plan</v>
      </c>
      <c r="L732" s="65" t="str">
        <f>IFERROR(INDEX('Docketed Comments'!F:F,MATCH(A732,'Docketed Comments'!H:H,0)),"")</f>
        <v>Opposed-already struggling with the last increase</v>
      </c>
      <c r="M732" s="137" t="str">
        <f>IFERROR(HYPERLINK(INDEX('Docketed Comments'!G:G,MATCH(A732,'Docketed Comments'!H:H,0)),"📄 View Docket"),"")</f>
        <v>📄 View Docket</v>
      </c>
      <c r="N732" s="135" t="str">
        <f>IFERROR(INDEX('Docketed Comments'!N:N,MATCH(A732,'Docketed Comments'!H:H,0)),"")</f>
        <v>No</v>
      </c>
      <c r="O732" s="135" t="str">
        <f>IFERROR(INDEX('Docketed Comments'!L:L,MATCH(A732,'Docketed Comments'!H:H,0)),"")</f>
        <v>Yes</v>
      </c>
      <c r="P732" s="136">
        <f t="shared" si="22"/>
        <v>0</v>
      </c>
      <c r="Q732" s="140"/>
      <c r="R732" s="144">
        <v>1</v>
      </c>
    </row>
    <row r="733" spans="1:18" ht="21.95" customHeight="1">
      <c r="A733" s="71" t="s">
        <v>2750</v>
      </c>
      <c r="B733" s="69"/>
      <c r="C733" s="70"/>
      <c r="D733" s="69"/>
      <c r="E733" s="69"/>
      <c r="F733" s="65"/>
      <c r="G733" s="65" t="s">
        <v>5811</v>
      </c>
      <c r="H733" s="65" t="str">
        <f>IFERROR(INDEX('Docketed Comments'!C:C,MATCH(A733,'Docketed Comments'!H:H,0))&amp;", "&amp;INDEX('Docketed Comments'!B:B,MATCH(A733,'Docketed Comments'!H:H,0)),"")</f>
        <v>Janelle, Bottlinger</v>
      </c>
      <c r="I733" s="65" t="str">
        <f>IFERROR(INDEX('Docketed Comments'!D:D,MATCH(A733,'Docketed Comments'!H:H,0)),"")</f>
        <v>Phoenix</v>
      </c>
      <c r="J733" s="65" t="str">
        <f>IFERROR(INDEX('Docketed Comments'!I:I,MATCH(A733,'Docketed Comments'!H:H,0)),"")</f>
        <v>R3-47</v>
      </c>
      <c r="K733" s="65" t="str">
        <f t="shared" si="23"/>
        <v>✅ On Best Plan</v>
      </c>
      <c r="L733" s="65" t="str">
        <f>IFERROR(INDEX('Docketed Comments'!F:F,MATCH(A733,'Docketed Comments'!H:H,0)),"")</f>
        <v>Rates are extremely expensive</v>
      </c>
      <c r="M733" s="137" t="str">
        <f>IFERROR(HYPERLINK(INDEX('Docketed Comments'!G:G,MATCH(A733,'Docketed Comments'!H:H,0)),"📄 View Docket"),"")</f>
        <v>📄 View Docket</v>
      </c>
      <c r="N733" s="135" t="str">
        <f>IFERROR(INDEX('Docketed Comments'!N:N,MATCH(A733,'Docketed Comments'!H:H,0)),"")</f>
        <v>No</v>
      </c>
      <c r="O733" s="135" t="str">
        <f>IFERROR(INDEX('Docketed Comments'!L:L,MATCH(A733,'Docketed Comments'!H:H,0)),"")</f>
        <v>Y</v>
      </c>
      <c r="P733" s="136">
        <f t="shared" si="22"/>
        <v>0</v>
      </c>
      <c r="Q733" s="140"/>
      <c r="R733" s="144">
        <v>1</v>
      </c>
    </row>
    <row r="734" spans="1:18" ht="21.95" customHeight="1">
      <c r="A734" s="71" t="s">
        <v>5330</v>
      </c>
      <c r="B734" s="69" t="s">
        <v>4887</v>
      </c>
      <c r="C734" s="70">
        <v>46074</v>
      </c>
      <c r="D734" s="69" t="s">
        <v>4888</v>
      </c>
      <c r="E734" s="69"/>
      <c r="F734" s="65" t="s">
        <v>4938</v>
      </c>
      <c r="G734" s="65"/>
      <c r="H734" s="65" t="str">
        <f>IFERROR(INDEX('Docketed Comments'!C:C,MATCH(A734,'Docketed Comments'!H:H,0))&amp;", "&amp;INDEX('Docketed Comments'!B:B,MATCH(A734,'Docketed Comments'!H:H,0)),"")</f>
        <v>John, Fenton</v>
      </c>
      <c r="I734" s="65" t="str">
        <f>IFERROR(INDEX('Docketed Comments'!D:D,MATCH(A734,'Docketed Comments'!H:H,0)),"")</f>
        <v>Payson</v>
      </c>
      <c r="J734" s="65" t="str">
        <f>IFERROR(INDEX('Docketed Comments'!I:I,MATCH(A734,'Docketed Comments'!H:H,0)),"")</f>
        <v>R-XS</v>
      </c>
      <c r="K734" s="65" t="str">
        <f t="shared" si="23"/>
        <v>✅ On Best Plan</v>
      </c>
      <c r="L734" s="65" t="str">
        <f>IFERROR(INDEX('Docketed Comments'!F:F,MATCH(A734,'Docketed Comments'!H:H,0)),"")</f>
        <v>Fixed Income, cannot afford an increase</v>
      </c>
      <c r="M734" s="137" t="str">
        <f>IFERROR(HYPERLINK(INDEX('Docketed Comments'!G:G,MATCH(A734,'Docketed Comments'!H:H,0)),"📄 View Docket"),"")</f>
        <v>📄 View Docket</v>
      </c>
      <c r="N734" s="135" t="str">
        <f>IFERROR(INDEX('Docketed Comments'!N:N,MATCH(A734,'Docketed Comments'!H:H,0)),"")</f>
        <v>No</v>
      </c>
      <c r="O734" s="135" t="str">
        <f>IFERROR(INDEX('Docketed Comments'!L:L,MATCH(A734,'Docketed Comments'!H:H,0)),"")</f>
        <v>Yes</v>
      </c>
      <c r="P734" s="136">
        <f t="shared" si="22"/>
        <v>0</v>
      </c>
      <c r="Q734" s="140" t="s">
        <v>5809</v>
      </c>
      <c r="R734" s="144">
        <v>0</v>
      </c>
    </row>
    <row r="735" spans="1:18" ht="21.95" customHeight="1">
      <c r="A735" s="71" t="s">
        <v>5331</v>
      </c>
      <c r="B735" s="69"/>
      <c r="C735" s="70"/>
      <c r="D735" s="69"/>
      <c r="E735" s="69"/>
      <c r="F735" s="65"/>
      <c r="G735" s="65" t="s">
        <v>5811</v>
      </c>
      <c r="H735" s="65" t="str">
        <f>IFERROR(INDEX('Docketed Comments'!C:C,MATCH(A735,'Docketed Comments'!H:H,0))&amp;", "&amp;INDEX('Docketed Comments'!B:B,MATCH(A735,'Docketed Comments'!H:H,0)),"")</f>
        <v>Steven, Apostolides</v>
      </c>
      <c r="I735" s="65" t="str">
        <f>IFERROR(INDEX('Docketed Comments'!D:D,MATCH(A735,'Docketed Comments'!H:H,0)),"")</f>
        <v>Phoenix</v>
      </c>
      <c r="J735" s="65" t="str">
        <f>IFERROR(INDEX('Docketed Comments'!I:I,MATCH(A735,'Docketed Comments'!H:H,0)),"")</f>
        <v>Multiple SAs</v>
      </c>
      <c r="K735" s="65" t="str">
        <f t="shared" si="23"/>
        <v>✅ On Best Plan</v>
      </c>
      <c r="L735" s="65" t="str">
        <f>IFERROR(INDEX('Docketed Comments'!F:F,MATCH(A735,'Docketed Comments'!H:H,0)),"")</f>
        <v>Opposed and upset over fuel pricing</v>
      </c>
      <c r="M735" s="137" t="str">
        <f>IFERROR(HYPERLINK(INDEX('Docketed Comments'!G:G,MATCH(A735,'Docketed Comments'!H:H,0)),"📄 View Docket"),"")</f>
        <v>📄 View Docket</v>
      </c>
      <c r="N735" s="135" t="str">
        <f>IFERROR(INDEX('Docketed Comments'!N:N,MATCH(A735,'Docketed Comments'!H:H,0)),"")</f>
        <v>No</v>
      </c>
      <c r="O735" s="135" t="str">
        <f>IFERROR(INDEX('Docketed Comments'!L:L,MATCH(A735,'Docketed Comments'!H:H,0)),"")</f>
        <v>Yes</v>
      </c>
      <c r="P735" s="136">
        <f t="shared" si="22"/>
        <v>0</v>
      </c>
      <c r="Q735" s="140"/>
      <c r="R735" s="144">
        <v>1</v>
      </c>
    </row>
    <row r="736" spans="1:18" ht="21.95" customHeight="1">
      <c r="A736" s="71" t="s">
        <v>5332</v>
      </c>
      <c r="B736" s="69"/>
      <c r="C736" s="70"/>
      <c r="D736" s="69"/>
      <c r="E736" s="69"/>
      <c r="F736" s="65"/>
      <c r="G736" s="65" t="s">
        <v>5811</v>
      </c>
      <c r="H736" s="65" t="str">
        <f>IFERROR(INDEX('Docketed Comments'!C:C,MATCH(A736,'Docketed Comments'!H:H,0))&amp;", "&amp;INDEX('Docketed Comments'!B:B,MATCH(A736,'Docketed Comments'!H:H,0)),"")</f>
        <v>Brandon, Wheeler</v>
      </c>
      <c r="I736" s="65" t="str">
        <f>IFERROR(INDEX('Docketed Comments'!D:D,MATCH(A736,'Docketed Comments'!H:H,0)),"")</f>
        <v>Chino Valley</v>
      </c>
      <c r="J736" s="65" t="str">
        <f>IFERROR(INDEX('Docketed Comments'!I:I,MATCH(A736,'Docketed Comments'!H:H,0)),"")</f>
        <v>R-BASIC</v>
      </c>
      <c r="K736" s="65" t="str">
        <f t="shared" si="23"/>
        <v>✅ On Best Plan</v>
      </c>
      <c r="L736" s="65" t="str">
        <f>IFERROR(INDEX('Docketed Comments'!F:F,MATCH(A736,'Docketed Comments'!H:H,0)),"")</f>
        <v>Opposed-CEO needs a pay cut</v>
      </c>
      <c r="M736" s="137" t="str">
        <f>IFERROR(HYPERLINK(INDEX('Docketed Comments'!G:G,MATCH(A736,'Docketed Comments'!H:H,0)),"📄 View Docket"),"")</f>
        <v>📄 View Docket</v>
      </c>
      <c r="N736" s="135" t="str">
        <f>IFERROR(INDEX('Docketed Comments'!N:N,MATCH(A736,'Docketed Comments'!H:H,0)),"")</f>
        <v>No</v>
      </c>
      <c r="O736" s="135" t="str">
        <f>IFERROR(INDEX('Docketed Comments'!L:L,MATCH(A736,'Docketed Comments'!H:H,0)),"")</f>
        <v>Yes</v>
      </c>
      <c r="P736" s="136">
        <f t="shared" si="22"/>
        <v>0</v>
      </c>
      <c r="Q736" s="140"/>
      <c r="R736" s="144">
        <v>1</v>
      </c>
    </row>
    <row r="737" spans="1:18" ht="21.95" customHeight="1">
      <c r="A737" s="71" t="s">
        <v>5333</v>
      </c>
      <c r="B737" s="69" t="s">
        <v>4887</v>
      </c>
      <c r="C737" s="70">
        <v>46074</v>
      </c>
      <c r="D737" s="69" t="s">
        <v>4888</v>
      </c>
      <c r="E737" s="69"/>
      <c r="F737" s="65" t="s">
        <v>4938</v>
      </c>
      <c r="G737" s="65"/>
      <c r="H737" s="65" t="str">
        <f>IFERROR(INDEX('Docketed Comments'!C:C,MATCH(A737,'Docketed Comments'!H:H,0))&amp;", "&amp;INDEX('Docketed Comments'!B:B,MATCH(A737,'Docketed Comments'!H:H,0)),"")</f>
        <v>Gregory, Gonzales</v>
      </c>
      <c r="I737" s="65" t="str">
        <f>IFERROR(INDEX('Docketed Comments'!D:D,MATCH(A737,'Docketed Comments'!H:H,0)),"")</f>
        <v>Litchfield Park</v>
      </c>
      <c r="J737" s="65" t="str">
        <f>IFERROR(INDEX('Docketed Comments'!I:I,MATCH(A737,'Docketed Comments'!H:H,0)),"")</f>
        <v>R3-47</v>
      </c>
      <c r="K737" s="65" t="str">
        <f t="shared" si="23"/>
        <v>✅ On Best Plan</v>
      </c>
      <c r="L737" s="65" t="str">
        <f>IFERROR(INDEX('Docketed Comments'!F:F,MATCH(A737,'Docketed Comments'!H:H,0)),"")</f>
        <v>Opposed-I don’t want to use aps but have no choice</v>
      </c>
      <c r="M737" s="137" t="str">
        <f>IFERROR(HYPERLINK(INDEX('Docketed Comments'!G:G,MATCH(A737,'Docketed Comments'!H:H,0)),"📄 View Docket"),"")</f>
        <v>📄 View Docket</v>
      </c>
      <c r="N737" s="135" t="str">
        <f>IFERROR(INDEX('Docketed Comments'!N:N,MATCH(A737,'Docketed Comments'!H:H,0)),"")</f>
        <v>No</v>
      </c>
      <c r="O737" s="135" t="str">
        <f>IFERROR(INDEX('Docketed Comments'!L:L,MATCH(A737,'Docketed Comments'!H:H,0)),"")</f>
        <v>Yes</v>
      </c>
      <c r="P737" s="136">
        <f t="shared" si="22"/>
        <v>0</v>
      </c>
      <c r="Q737" s="140" t="s">
        <v>5809</v>
      </c>
      <c r="R737" s="144">
        <v>0</v>
      </c>
    </row>
    <row r="738" spans="1:18" ht="21.95" customHeight="1">
      <c r="A738" s="71" t="s">
        <v>5334</v>
      </c>
      <c r="B738" s="69"/>
      <c r="C738" s="70"/>
      <c r="D738" s="69"/>
      <c r="E738" s="69"/>
      <c r="F738" s="65"/>
      <c r="G738" s="65" t="s">
        <v>5811</v>
      </c>
      <c r="H738" s="65" t="str">
        <f>IFERROR(INDEX('Docketed Comments'!C:C,MATCH(A738,'Docketed Comments'!H:H,0))&amp;", "&amp;INDEX('Docketed Comments'!B:B,MATCH(A738,'Docketed Comments'!H:H,0)),"")</f>
        <v>Nikki, Hage</v>
      </c>
      <c r="I738" s="65" t="str">
        <f>IFERROR(INDEX('Docketed Comments'!D:D,MATCH(A738,'Docketed Comments'!H:H,0)),"")</f>
        <v>Yuma</v>
      </c>
      <c r="J738" s="65" t="str">
        <f>IFERROR(INDEX('Docketed Comments'!I:I,MATCH(A738,'Docketed Comments'!H:H,0)),"")</f>
        <v>R3-47</v>
      </c>
      <c r="K738" s="65" t="str">
        <f t="shared" si="23"/>
        <v>✅ On Best Plan</v>
      </c>
      <c r="L738" s="65" t="str">
        <f>IFERROR(INDEX('Docketed Comments'!F:F,MATCH(A738,'Docketed Comments'!H:H,0)),"")</f>
        <v>What cost cutting measures has aps taken internally?</v>
      </c>
      <c r="M738" s="137" t="str">
        <f>IFERROR(HYPERLINK(INDEX('Docketed Comments'!G:G,MATCH(A738,'Docketed Comments'!H:H,0)),"📄 View Docket"),"")</f>
        <v>📄 View Docket</v>
      </c>
      <c r="N738" s="135" t="str">
        <f>IFERROR(INDEX('Docketed Comments'!N:N,MATCH(A738,'Docketed Comments'!H:H,0)),"")</f>
        <v>No</v>
      </c>
      <c r="O738" s="135" t="str">
        <f>IFERROR(INDEX('Docketed Comments'!L:L,MATCH(A738,'Docketed Comments'!H:H,0)),"")</f>
        <v>Yes</v>
      </c>
      <c r="P738" s="136">
        <f t="shared" si="22"/>
        <v>0</v>
      </c>
      <c r="Q738" s="140"/>
      <c r="R738" s="144">
        <v>1</v>
      </c>
    </row>
    <row r="739" spans="1:18" ht="21.95" customHeight="1">
      <c r="A739" s="71" t="s">
        <v>5335</v>
      </c>
      <c r="B739" s="69" t="s">
        <v>4887</v>
      </c>
      <c r="C739" s="70">
        <v>46074</v>
      </c>
      <c r="D739" s="69" t="s">
        <v>4888</v>
      </c>
      <c r="E739" s="69"/>
      <c r="F739" s="65" t="s">
        <v>4938</v>
      </c>
      <c r="G739" s="65"/>
      <c r="H739" s="65" t="str">
        <f>IFERROR(INDEX('Docketed Comments'!C:C,MATCH(A739,'Docketed Comments'!H:H,0))&amp;", "&amp;INDEX('Docketed Comments'!B:B,MATCH(A739,'Docketed Comments'!H:H,0)),"")</f>
        <v>Peter, Trethewey</v>
      </c>
      <c r="I739" s="65" t="str">
        <f>IFERROR(INDEX('Docketed Comments'!D:D,MATCH(A739,'Docketed Comments'!H:H,0)),"")</f>
        <v>Scottsdale</v>
      </c>
      <c r="J739" s="65" t="str">
        <f>IFERROR(INDEX('Docketed Comments'!I:I,MATCH(A739,'Docketed Comments'!H:H,0)),"")</f>
        <v>R3-47</v>
      </c>
      <c r="K739" s="65" t="str">
        <f t="shared" si="23"/>
        <v>✅ On Best Plan</v>
      </c>
      <c r="L739" s="65" t="str">
        <f>IFERROR(INDEX('Docketed Comments'!F:F,MATCH(A739,'Docketed Comments'!H:H,0)),"")</f>
        <v>Rate increase outpasses the rate of inflation</v>
      </c>
      <c r="M739" s="137" t="str">
        <f>IFERROR(HYPERLINK(INDEX('Docketed Comments'!G:G,MATCH(A739,'Docketed Comments'!H:H,0)),"📄 View Docket"),"")</f>
        <v>📄 View Docket</v>
      </c>
      <c r="N739" s="135" t="str">
        <f>IFERROR(INDEX('Docketed Comments'!N:N,MATCH(A739,'Docketed Comments'!H:H,0)),"")</f>
        <v>No</v>
      </c>
      <c r="O739" s="135" t="str">
        <f>IFERROR(INDEX('Docketed Comments'!L:L,MATCH(A739,'Docketed Comments'!H:H,0)),"")</f>
        <v>Yes</v>
      </c>
      <c r="P739" s="136">
        <f t="shared" si="22"/>
        <v>0</v>
      </c>
      <c r="Q739" s="140" t="s">
        <v>5809</v>
      </c>
      <c r="R739" s="144">
        <v>0</v>
      </c>
    </row>
    <row r="740" spans="1:18" ht="21.95" customHeight="1">
      <c r="A740" s="71" t="s">
        <v>5336</v>
      </c>
      <c r="B740" s="69"/>
      <c r="C740" s="70"/>
      <c r="D740" s="69"/>
      <c r="E740" s="69"/>
      <c r="F740" s="65"/>
      <c r="G740" s="65" t="s">
        <v>5811</v>
      </c>
      <c r="H740" s="65" t="str">
        <f>IFERROR(INDEX('Docketed Comments'!C:C,MATCH(A740,'Docketed Comments'!H:H,0))&amp;", "&amp;INDEX('Docketed Comments'!B:B,MATCH(A740,'Docketed Comments'!H:H,0)),"")</f>
        <v>Jessica, Barnes</v>
      </c>
      <c r="I740" s="65" t="str">
        <f>IFERROR(INDEX('Docketed Comments'!D:D,MATCH(A740,'Docketed Comments'!H:H,0)),"")</f>
        <v>Sun City</v>
      </c>
      <c r="J740" s="65" t="str">
        <f>IFERROR(INDEX('Docketed Comments'!I:I,MATCH(A740,'Docketed Comments'!H:H,0)),"")</f>
        <v>RCPw/R3-47</v>
      </c>
      <c r="K740" s="65" t="str">
        <f t="shared" si="23"/>
        <v>✅ On Best Plan</v>
      </c>
      <c r="L740" s="65" t="str">
        <f>IFERROR(INDEX('Docketed Comments'!F:F,MATCH(A740,'Docketed Comments'!H:H,0)),"")</f>
        <v>Opposed-highway robbery</v>
      </c>
      <c r="M740" s="137" t="str">
        <f>IFERROR(HYPERLINK(INDEX('Docketed Comments'!G:G,MATCH(A740,'Docketed Comments'!H:H,0)),"📄 View Docket"),"")</f>
        <v>📄 View Docket</v>
      </c>
      <c r="N740" s="135" t="str">
        <f>IFERROR(INDEX('Docketed Comments'!N:N,MATCH(A740,'Docketed Comments'!H:H,0)),"")</f>
        <v>No</v>
      </c>
      <c r="O740" s="135" t="str">
        <f>IFERROR(INDEX('Docketed Comments'!L:L,MATCH(A740,'Docketed Comments'!H:H,0)),"")</f>
        <v>Yes</v>
      </c>
      <c r="P740" s="136">
        <f t="shared" si="22"/>
        <v>0</v>
      </c>
      <c r="Q740" s="140"/>
      <c r="R740" s="144">
        <v>1</v>
      </c>
    </row>
    <row r="741" spans="1:18" ht="21.95" customHeight="1">
      <c r="A741" s="71" t="s">
        <v>5337</v>
      </c>
      <c r="B741" s="69"/>
      <c r="C741" s="70"/>
      <c r="D741" s="69"/>
      <c r="E741" s="69"/>
      <c r="F741" s="65"/>
      <c r="G741" s="65" t="s">
        <v>5811</v>
      </c>
      <c r="H741" s="65" t="str">
        <f>IFERROR(INDEX('Docketed Comments'!C:C,MATCH(A741,'Docketed Comments'!H:H,0))&amp;", "&amp;INDEX('Docketed Comments'!B:B,MATCH(A741,'Docketed Comments'!H:H,0)),"")</f>
        <v>Alaxandra, Kozerski</v>
      </c>
      <c r="I741" s="65" t="str">
        <f>IFERROR(INDEX('Docketed Comments'!D:D,MATCH(A741,'Docketed Comments'!H:H,0)),"")</f>
        <v>Gilbert</v>
      </c>
      <c r="J741" s="65" t="str">
        <f>IFERROR(INDEX('Docketed Comments'!I:I,MATCH(A741,'Docketed Comments'!H:H,0)),"")</f>
        <v>EPR-6w/E-12</v>
      </c>
      <c r="K741" s="65" t="str">
        <f t="shared" si="23"/>
        <v>⚠ Frozen Rate</v>
      </c>
      <c r="L741" s="65" t="str">
        <f>IFERROR(INDEX('Docketed Comments'!F:F,MATCH(A741,'Docketed Comments'!H:H,0)),"")</f>
        <v>Form letter</v>
      </c>
      <c r="M741" s="137" t="str">
        <f>IFERROR(HYPERLINK(INDEX('Docketed Comments'!G:G,MATCH(A741,'Docketed Comments'!H:H,0)),"📄 View Docket"),"")</f>
        <v>📄 View Docket</v>
      </c>
      <c r="N741" s="135" t="str">
        <f>IFERROR(INDEX('Docketed Comments'!N:N,MATCH(A741,'Docketed Comments'!H:H,0)),"")</f>
        <v>No</v>
      </c>
      <c r="O741" s="135" t="str">
        <f>IFERROR(INDEX('Docketed Comments'!L:L,MATCH(A741,'Docketed Comments'!H:H,0)),"")</f>
        <v>Frozen Rate</v>
      </c>
      <c r="P741" s="136">
        <f t="shared" si="22"/>
        <v>0</v>
      </c>
      <c r="Q741" s="140"/>
      <c r="R741" s="144">
        <v>1</v>
      </c>
    </row>
    <row r="742" spans="1:18" ht="21.95" customHeight="1">
      <c r="A742" s="71" t="s">
        <v>5338</v>
      </c>
      <c r="B742" s="69" t="s">
        <v>111</v>
      </c>
      <c r="C742" s="70">
        <v>46074</v>
      </c>
      <c r="D742" s="69" t="s">
        <v>4888</v>
      </c>
      <c r="E742" s="69"/>
      <c r="F742" s="65"/>
      <c r="G742" s="65"/>
      <c r="H742" s="65" t="str">
        <f>IFERROR(INDEX('Docketed Comments'!C:C,MATCH(A742,'Docketed Comments'!H:H,0))&amp;", "&amp;INDEX('Docketed Comments'!B:B,MATCH(A742,'Docketed Comments'!H:H,0)),"")</f>
        <v>Terri, Amoroso</v>
      </c>
      <c r="I742" s="65" t="str">
        <f>IFERROR(INDEX('Docketed Comments'!D:D,MATCH(A742,'Docketed Comments'!H:H,0)),"")</f>
        <v>Phoenix</v>
      </c>
      <c r="J742" s="65" t="str">
        <f>IFERROR(INDEX('Docketed Comments'!I:I,MATCH(A742,'Docketed Comments'!H:H,0)),"")</f>
        <v>R-XS</v>
      </c>
      <c r="K742" s="65" t="str">
        <f t="shared" si="23"/>
        <v>✅ On Best Plan</v>
      </c>
      <c r="L742" s="65" t="str">
        <f>IFERROR(INDEX('Docketed Comments'!F:F,MATCH(A742,'Docketed Comments'!H:H,0)),"")</f>
        <v>Form letter</v>
      </c>
      <c r="M742" s="137" t="str">
        <f>IFERROR(HYPERLINK(INDEX('Docketed Comments'!G:G,MATCH(A742,'Docketed Comments'!H:H,0)),"📄 View Docket"),"")</f>
        <v>📄 View Docket</v>
      </c>
      <c r="N742" s="135" t="str">
        <f>IFERROR(INDEX('Docketed Comments'!N:N,MATCH(A742,'Docketed Comments'!H:H,0)),"")</f>
        <v>No</v>
      </c>
      <c r="O742" s="135" t="str">
        <f>IFERROR(INDEX('Docketed Comments'!L:L,MATCH(A742,'Docketed Comments'!H:H,0)),"")</f>
        <v>Yes</v>
      </c>
      <c r="P742" s="136">
        <f t="shared" si="22"/>
        <v>0</v>
      </c>
      <c r="Q742" s="140" t="s">
        <v>5809</v>
      </c>
      <c r="R742" s="144">
        <v>0</v>
      </c>
    </row>
    <row r="743" spans="1:18" ht="21.95" customHeight="1">
      <c r="A743" s="71" t="s">
        <v>5339</v>
      </c>
      <c r="B743" s="69" t="s">
        <v>4887</v>
      </c>
      <c r="C743" s="70">
        <v>46074</v>
      </c>
      <c r="D743" s="69" t="s">
        <v>4865</v>
      </c>
      <c r="E743" s="69" t="s">
        <v>4899</v>
      </c>
      <c r="F743" s="65" t="s">
        <v>5745</v>
      </c>
      <c r="G743" s="65"/>
      <c r="H743" s="65" t="str">
        <f>IFERROR(INDEX('Docketed Comments'!C:C,MATCH(A743,'Docketed Comments'!H:H,0))&amp;", "&amp;INDEX('Docketed Comments'!B:B,MATCH(A743,'Docketed Comments'!H:H,0)),"")</f>
        <v>Bruce, Hellring</v>
      </c>
      <c r="I743" s="65" t="str">
        <f>IFERROR(INDEX('Docketed Comments'!D:D,MATCH(A743,'Docketed Comments'!H:H,0)),"")</f>
        <v>Cave Creek</v>
      </c>
      <c r="J743" s="65" t="str">
        <f>IFERROR(INDEX('Docketed Comments'!I:I,MATCH(A743,'Docketed Comments'!H:H,0)),"")</f>
        <v>R3-47</v>
      </c>
      <c r="K743" s="65" t="str">
        <f t="shared" si="23"/>
        <v>✅ On Best Plan</v>
      </c>
      <c r="L743" s="65" t="str">
        <f>IFERROR(INDEX('Docketed Comments'!F:F,MATCH(A743,'Docketed Comments'!H:H,0)),"")</f>
        <v>Opposed-no salary has seen an equivalent increase</v>
      </c>
      <c r="M743" s="137" t="str">
        <f>IFERROR(HYPERLINK(INDEX('Docketed Comments'!G:G,MATCH(A743,'Docketed Comments'!H:H,0)),"📄 View Docket"),"")</f>
        <v>📄 View Docket</v>
      </c>
      <c r="N743" s="135" t="str">
        <f>IFERROR(INDEX('Docketed Comments'!N:N,MATCH(A743,'Docketed Comments'!H:H,0)),"")</f>
        <v>No</v>
      </c>
      <c r="O743" s="135" t="str">
        <f>IFERROR(INDEX('Docketed Comments'!L:L,MATCH(A743,'Docketed Comments'!H:H,0)),"")</f>
        <v>Yes</v>
      </c>
      <c r="P743" s="136">
        <f t="shared" si="22"/>
        <v>0</v>
      </c>
      <c r="Q743" s="140" t="s">
        <v>5809</v>
      </c>
      <c r="R743" s="144">
        <v>0</v>
      </c>
    </row>
    <row r="744" spans="1:18" ht="21.95" customHeight="1">
      <c r="A744" s="71" t="s">
        <v>5340</v>
      </c>
      <c r="B744" s="69"/>
      <c r="C744" s="70"/>
      <c r="D744" s="69"/>
      <c r="E744" s="69"/>
      <c r="F744" s="65"/>
      <c r="G744" s="65" t="s">
        <v>5811</v>
      </c>
      <c r="H744" s="65" t="str">
        <f>IFERROR(INDEX('Docketed Comments'!C:C,MATCH(A744,'Docketed Comments'!H:H,0))&amp;", "&amp;INDEX('Docketed Comments'!B:B,MATCH(A744,'Docketed Comments'!H:H,0)),"")</f>
        <v>Jennifer, Moffat</v>
      </c>
      <c r="I744" s="65" t="str">
        <f>IFERROR(INDEX('Docketed Comments'!D:D,MATCH(A744,'Docketed Comments'!H:H,0)),"")</f>
        <v>Phoenix</v>
      </c>
      <c r="J744" s="65" t="str">
        <f>IFERROR(INDEX('Docketed Comments'!I:I,MATCH(A744,'Docketed Comments'!H:H,0)),"")</f>
        <v>R3-47</v>
      </c>
      <c r="K744" s="65" t="str">
        <f t="shared" si="23"/>
        <v>✅ On Best Plan</v>
      </c>
      <c r="L744" s="65" t="str">
        <f>IFERROR(INDEX('Docketed Comments'!F:F,MATCH(A744,'Docketed Comments'!H:H,0)),"")</f>
        <v xml:space="preserve">Opposed-I find it appalling </v>
      </c>
      <c r="M744" s="137" t="str">
        <f>IFERROR(HYPERLINK(INDEX('Docketed Comments'!G:G,MATCH(A744,'Docketed Comments'!H:H,0)),"📄 View Docket"),"")</f>
        <v>📄 View Docket</v>
      </c>
      <c r="N744" s="135" t="str">
        <f>IFERROR(INDEX('Docketed Comments'!N:N,MATCH(A744,'Docketed Comments'!H:H,0)),"")</f>
        <v>No</v>
      </c>
      <c r="O744" s="135" t="str">
        <f>IFERROR(INDEX('Docketed Comments'!L:L,MATCH(A744,'Docketed Comments'!H:H,0)),"")</f>
        <v>Yes</v>
      </c>
      <c r="P744" s="136">
        <f t="shared" si="22"/>
        <v>0</v>
      </c>
      <c r="Q744" s="140"/>
      <c r="R744" s="144">
        <v>1</v>
      </c>
    </row>
    <row r="745" spans="1:18" ht="21.95" customHeight="1">
      <c r="A745" s="71" t="s">
        <v>5341</v>
      </c>
      <c r="B745" s="69"/>
      <c r="C745" s="70"/>
      <c r="D745" s="69"/>
      <c r="E745" s="69"/>
      <c r="F745" s="65"/>
      <c r="G745" s="65" t="s">
        <v>5811</v>
      </c>
      <c r="H745" s="65" t="str">
        <f>IFERROR(INDEX('Docketed Comments'!C:C,MATCH(A745,'Docketed Comments'!H:H,0))&amp;", "&amp;INDEX('Docketed Comments'!B:B,MATCH(A745,'Docketed Comments'!H:H,0)),"")</f>
        <v>Stephen, Faulkner</v>
      </c>
      <c r="I745" s="65" t="str">
        <f>IFERROR(INDEX('Docketed Comments'!D:D,MATCH(A745,'Docketed Comments'!H:H,0)),"")</f>
        <v>Cottonwood</v>
      </c>
      <c r="J745" s="65" t="str">
        <f>IFERROR(INDEX('Docketed Comments'!I:I,MATCH(A745,'Docketed Comments'!H:H,0)),"")</f>
        <v>EPR-6w/E-12</v>
      </c>
      <c r="K745" s="65" t="str">
        <f t="shared" si="23"/>
        <v>⚠ Frozen Rate</v>
      </c>
      <c r="L745" s="65" t="str">
        <f>IFERROR(INDEX('Docketed Comments'!F:F,MATCH(A745,'Docketed Comments'!H:H,0)),"")</f>
        <v>Totally inappropriate</v>
      </c>
      <c r="M745" s="137" t="str">
        <f>IFERROR(HYPERLINK(INDEX('Docketed Comments'!G:G,MATCH(A745,'Docketed Comments'!H:H,0)),"📄 View Docket"),"")</f>
        <v>📄 View Docket</v>
      </c>
      <c r="N745" s="135" t="str">
        <f>IFERROR(INDEX('Docketed Comments'!N:N,MATCH(A745,'Docketed Comments'!H:H,0)),"")</f>
        <v>No</v>
      </c>
      <c r="O745" s="135" t="str">
        <f>IFERROR(INDEX('Docketed Comments'!L:L,MATCH(A745,'Docketed Comments'!H:H,0)),"")</f>
        <v>Frozen Rate</v>
      </c>
      <c r="P745" s="136">
        <f t="shared" si="22"/>
        <v>0</v>
      </c>
      <c r="Q745" s="140"/>
      <c r="R745" s="144">
        <v>1</v>
      </c>
    </row>
    <row r="746" spans="1:18" ht="21.95" customHeight="1">
      <c r="A746" s="71" t="s">
        <v>5342</v>
      </c>
      <c r="B746" s="69" t="s">
        <v>4887</v>
      </c>
      <c r="C746" s="70">
        <v>46074</v>
      </c>
      <c r="D746" s="69" t="s">
        <v>4888</v>
      </c>
      <c r="E746" s="69"/>
      <c r="F746" s="65" t="s">
        <v>4938</v>
      </c>
      <c r="G746" s="65"/>
      <c r="H746" s="65" t="str">
        <f>IFERROR(INDEX('Docketed Comments'!C:C,MATCH(A746,'Docketed Comments'!H:H,0))&amp;", "&amp;INDEX('Docketed Comments'!B:B,MATCH(A746,'Docketed Comments'!H:H,0)),"")</f>
        <v>Donna, Whitmore</v>
      </c>
      <c r="I746" s="65" t="str">
        <f>IFERROR(INDEX('Docketed Comments'!D:D,MATCH(A746,'Docketed Comments'!H:H,0)),"")</f>
        <v>Clarkdale</v>
      </c>
      <c r="J746" s="65" t="str">
        <f>IFERROR(INDEX('Docketed Comments'!I:I,MATCH(A746,'Docketed Comments'!H:H,0)),"")</f>
        <v>R-XS</v>
      </c>
      <c r="K746" s="65" t="str">
        <f t="shared" si="23"/>
        <v>✅ On Best Plan</v>
      </c>
      <c r="L746" s="65" t="str">
        <f>IFERROR(INDEX('Docketed Comments'!F:F,MATCH(A746,'Docketed Comments'!H:H,0)),"")</f>
        <v>Opposed</v>
      </c>
      <c r="M746" s="137" t="str">
        <f>IFERROR(HYPERLINK(INDEX('Docketed Comments'!G:G,MATCH(A746,'Docketed Comments'!H:H,0)),"📄 View Docket"),"")</f>
        <v>📄 View Docket</v>
      </c>
      <c r="N746" s="135" t="str">
        <f>IFERROR(INDEX('Docketed Comments'!N:N,MATCH(A746,'Docketed Comments'!H:H,0)),"")</f>
        <v>No</v>
      </c>
      <c r="O746" s="135" t="str">
        <f>IFERROR(INDEX('Docketed Comments'!L:L,MATCH(A746,'Docketed Comments'!H:H,0)),"")</f>
        <v>Yes</v>
      </c>
      <c r="P746" s="136">
        <f t="shared" si="22"/>
        <v>0</v>
      </c>
      <c r="Q746" s="140" t="s">
        <v>5809</v>
      </c>
      <c r="R746" s="144">
        <v>0</v>
      </c>
    </row>
    <row r="747" spans="1:18" ht="21.95" customHeight="1">
      <c r="A747" s="71" t="s">
        <v>5343</v>
      </c>
      <c r="B747" s="69"/>
      <c r="C747" s="70"/>
      <c r="D747" s="69"/>
      <c r="E747" s="69"/>
      <c r="F747" s="65"/>
      <c r="G747" s="65" t="s">
        <v>5811</v>
      </c>
      <c r="H747" s="65" t="str">
        <f>IFERROR(INDEX('Docketed Comments'!C:C,MATCH(A747,'Docketed Comments'!H:H,0))&amp;", "&amp;INDEX('Docketed Comments'!B:B,MATCH(A747,'Docketed Comments'!H:H,0)),"")</f>
        <v>David&amp;Tiffany, Pavlov</v>
      </c>
      <c r="I747" s="65" t="str">
        <f>IFERROR(INDEX('Docketed Comments'!D:D,MATCH(A747,'Docketed Comments'!H:H,0)),"")</f>
        <v>Goodyear</v>
      </c>
      <c r="J747" s="65" t="str">
        <f>IFERROR(INDEX('Docketed Comments'!I:I,MATCH(A747,'Docketed Comments'!H:H,0)),"")</f>
        <v>R-2</v>
      </c>
      <c r="K747" s="65" t="str">
        <f t="shared" si="23"/>
        <v>⚠ Frozen Rate</v>
      </c>
      <c r="L747" s="65" t="str">
        <f>IFERROR(INDEX('Docketed Comments'!F:F,MATCH(A747,'Docketed Comments'!H:H,0)),"")</f>
        <v>Opposed- unaffordable</v>
      </c>
      <c r="M747" s="137" t="str">
        <f>IFERROR(HYPERLINK(INDEX('Docketed Comments'!G:G,MATCH(A747,'Docketed Comments'!H:H,0)),"📄 View Docket"),"")</f>
        <v>📄 View Docket</v>
      </c>
      <c r="N747" s="135" t="str">
        <f>IFERROR(INDEX('Docketed Comments'!N:N,MATCH(A747,'Docketed Comments'!H:H,0)),"")</f>
        <v>No</v>
      </c>
      <c r="O747" s="135" t="str">
        <f>IFERROR(INDEX('Docketed Comments'!L:L,MATCH(A747,'Docketed Comments'!H:H,0)),"")</f>
        <v>Frozen Rate</v>
      </c>
      <c r="P747" s="136">
        <f t="shared" si="22"/>
        <v>0</v>
      </c>
      <c r="Q747" s="140"/>
      <c r="R747" s="144">
        <v>1</v>
      </c>
    </row>
    <row r="748" spans="1:18" ht="21.95" customHeight="1">
      <c r="A748" s="71" t="s">
        <v>5344</v>
      </c>
      <c r="B748" s="69" t="s">
        <v>4887</v>
      </c>
      <c r="C748" s="70">
        <v>46074</v>
      </c>
      <c r="D748" s="69" t="s">
        <v>4888</v>
      </c>
      <c r="E748" s="69"/>
      <c r="F748" s="65" t="s">
        <v>4938</v>
      </c>
      <c r="G748" s="65"/>
      <c r="H748" s="65" t="str">
        <f>IFERROR(INDEX('Docketed Comments'!C:C,MATCH(A748,'Docketed Comments'!H:H,0))&amp;", "&amp;INDEX('Docketed Comments'!B:B,MATCH(A748,'Docketed Comments'!H:H,0)),"")</f>
        <v>Eunice, Yoon</v>
      </c>
      <c r="I748" s="65" t="str">
        <f>IFERROR(INDEX('Docketed Comments'!D:D,MATCH(A748,'Docketed Comments'!H:H,0)),"")</f>
        <v>Scottsdale</v>
      </c>
      <c r="J748" s="65" t="str">
        <f>IFERROR(INDEX('Docketed Comments'!I:I,MATCH(A748,'Docketed Comments'!H:H,0)),"")</f>
        <v>R3-47</v>
      </c>
      <c r="K748" s="65" t="str">
        <f t="shared" si="23"/>
        <v>✅ On Best Plan</v>
      </c>
      <c r="L748" s="65" t="str">
        <f>IFERROR(INDEX('Docketed Comments'!F:F,MATCH(A748,'Docketed Comments'!H:H,0)),"")</f>
        <v>Opposed-Prioritize cost control</v>
      </c>
      <c r="M748" s="137" t="str">
        <f>IFERROR(HYPERLINK(INDEX('Docketed Comments'!G:G,MATCH(A748,'Docketed Comments'!H:H,0)),"📄 View Docket"),"")</f>
        <v>📄 View Docket</v>
      </c>
      <c r="N748" s="135" t="str">
        <f>IFERROR(INDEX('Docketed Comments'!N:N,MATCH(A748,'Docketed Comments'!H:H,0)),"")</f>
        <v>No</v>
      </c>
      <c r="O748" s="135" t="str">
        <f>IFERROR(INDEX('Docketed Comments'!L:L,MATCH(A748,'Docketed Comments'!H:H,0)),"")</f>
        <v>Yes</v>
      </c>
      <c r="P748" s="136">
        <f t="shared" si="22"/>
        <v>0</v>
      </c>
      <c r="Q748" s="140" t="s">
        <v>5809</v>
      </c>
      <c r="R748" s="144">
        <v>0</v>
      </c>
    </row>
    <row r="749" spans="1:18" ht="21.95" customHeight="1">
      <c r="A749" s="71" t="s">
        <v>2962</v>
      </c>
      <c r="B749" s="69" t="s">
        <v>4887</v>
      </c>
      <c r="C749" s="70">
        <v>46074</v>
      </c>
      <c r="D749" s="69" t="s">
        <v>4888</v>
      </c>
      <c r="E749" s="69"/>
      <c r="F749" s="65" t="s">
        <v>4938</v>
      </c>
      <c r="G749" s="65"/>
      <c r="H749" s="65" t="str">
        <f>IFERROR(INDEX('Docketed Comments'!C:C,MATCH(A749,'Docketed Comments'!H:H,0))&amp;", "&amp;INDEX('Docketed Comments'!B:B,MATCH(A749,'Docketed Comments'!H:H,0)),"")</f>
        <v>Kamala, Vallabhaneni</v>
      </c>
      <c r="I749" s="65" t="str">
        <f>IFERROR(INDEX('Docketed Comments'!D:D,MATCH(A749,'Docketed Comments'!H:H,0)),"")</f>
        <v>Scottsdale</v>
      </c>
      <c r="J749" s="65" t="str">
        <f>IFERROR(INDEX('Docketed Comments'!I:I,MATCH(A749,'Docketed Comments'!H:H,0)),"")</f>
        <v>R3-47</v>
      </c>
      <c r="K749" s="65" t="str">
        <f t="shared" si="23"/>
        <v>✅ On Best Plan</v>
      </c>
      <c r="L749" s="65" t="str">
        <f>IFERROR(INDEX('Docketed Comments'!F:F,MATCH(A749,'Docketed Comments'!H:H,0)),"")</f>
        <v>Opposed-Simply too much</v>
      </c>
      <c r="M749" s="137" t="str">
        <f>IFERROR(HYPERLINK(INDEX('Docketed Comments'!G:G,MATCH(A749,'Docketed Comments'!H:H,0)),"📄 View Docket"),"")</f>
        <v>📄 View Docket</v>
      </c>
      <c r="N749" s="135" t="str">
        <f>IFERROR(INDEX('Docketed Comments'!N:N,MATCH(A749,'Docketed Comments'!H:H,0)),"")</f>
        <v>No</v>
      </c>
      <c r="O749" s="135" t="str">
        <f>IFERROR(INDEX('Docketed Comments'!L:L,MATCH(A749,'Docketed Comments'!H:H,0)),"")</f>
        <v>Yes</v>
      </c>
      <c r="P749" s="136">
        <f t="shared" si="22"/>
        <v>0</v>
      </c>
      <c r="Q749" s="140" t="s">
        <v>5809</v>
      </c>
      <c r="R749" s="144">
        <v>0</v>
      </c>
    </row>
    <row r="750" spans="1:18" ht="21.95" customHeight="1">
      <c r="A750" s="71" t="s">
        <v>5345</v>
      </c>
      <c r="B750" s="69"/>
      <c r="C750" s="70"/>
      <c r="D750" s="69"/>
      <c r="E750" s="69"/>
      <c r="F750" s="65"/>
      <c r="G750" s="65" t="s">
        <v>5811</v>
      </c>
      <c r="H750" s="65" t="str">
        <f>IFERROR(INDEX('Docketed Comments'!C:C,MATCH(A750,'Docketed Comments'!H:H,0))&amp;", "&amp;INDEX('Docketed Comments'!B:B,MATCH(A750,'Docketed Comments'!H:H,0)),"")</f>
        <v>Arthur, Rogers</v>
      </c>
      <c r="I750" s="65" t="str">
        <f>IFERROR(INDEX('Docketed Comments'!D:D,MATCH(A750,'Docketed Comments'!H:H,0)),"")</f>
        <v>Star Valley</v>
      </c>
      <c r="J750" s="65" t="str">
        <f>IFERROR(INDEX('Docketed Comments'!I:I,MATCH(A750,'Docketed Comments'!H:H,0)),"")</f>
        <v>R-XS</v>
      </c>
      <c r="K750" s="65" t="str">
        <f t="shared" si="23"/>
        <v>✅ On Best Plan</v>
      </c>
      <c r="L750" s="65" t="str">
        <f>IFERROR(INDEX('Docketed Comments'!F:F,MATCH(A750,'Docketed Comments'!H:H,0)),"")</f>
        <v>Opposed-APS is attempting to influence legislature</v>
      </c>
      <c r="M750" s="137" t="str">
        <f>IFERROR(HYPERLINK(INDEX('Docketed Comments'!G:G,MATCH(A750,'Docketed Comments'!H:H,0)),"📄 View Docket"),"")</f>
        <v>📄 View Docket</v>
      </c>
      <c r="N750" s="135" t="str">
        <f>IFERROR(INDEX('Docketed Comments'!N:N,MATCH(A750,'Docketed Comments'!H:H,0)),"")</f>
        <v>No</v>
      </c>
      <c r="O750" s="135" t="str">
        <f>IFERROR(INDEX('Docketed Comments'!L:L,MATCH(A750,'Docketed Comments'!H:H,0)),"")</f>
        <v>Yes</v>
      </c>
      <c r="P750" s="136">
        <f t="shared" si="22"/>
        <v>0</v>
      </c>
      <c r="Q750" s="140"/>
      <c r="R750" s="144">
        <v>1</v>
      </c>
    </row>
    <row r="751" spans="1:18" ht="21.95" customHeight="1">
      <c r="A751" s="71" t="s">
        <v>5346</v>
      </c>
      <c r="B751" s="69" t="s">
        <v>4887</v>
      </c>
      <c r="C751" s="70">
        <v>46074</v>
      </c>
      <c r="D751" s="69" t="s">
        <v>4888</v>
      </c>
      <c r="E751" s="69"/>
      <c r="F751" s="65" t="s">
        <v>4938</v>
      </c>
      <c r="G751" s="65"/>
      <c r="H751" s="65" t="str">
        <f>IFERROR(INDEX('Docketed Comments'!C:C,MATCH(A751,'Docketed Comments'!H:H,0))&amp;", "&amp;INDEX('Docketed Comments'!B:B,MATCH(A751,'Docketed Comments'!H:H,0)),"")</f>
        <v>Judy, Rademacher</v>
      </c>
      <c r="I751" s="65" t="str">
        <f>IFERROR(INDEX('Docketed Comments'!D:D,MATCH(A751,'Docketed Comments'!H:H,0)),"")</f>
        <v>Peoria</v>
      </c>
      <c r="J751" s="65" t="str">
        <f>IFERROR(INDEX('Docketed Comments'!I:I,MATCH(A751,'Docketed Comments'!H:H,0)),"")</f>
        <v>R3-47</v>
      </c>
      <c r="K751" s="65" t="str">
        <f t="shared" si="23"/>
        <v>✅ On Best Plan</v>
      </c>
      <c r="L751" s="65" t="str">
        <f>IFERROR(INDEX('Docketed Comments'!F:F,MATCH(A751,'Docketed Comments'!H:H,0)),"")</f>
        <v>Opposed-Fixed Income</v>
      </c>
      <c r="M751" s="137" t="str">
        <f>IFERROR(HYPERLINK(INDEX('Docketed Comments'!G:G,MATCH(A751,'Docketed Comments'!H:H,0)),"📄 View Docket"),"")</f>
        <v>📄 View Docket</v>
      </c>
      <c r="N751" s="135" t="str">
        <f>IFERROR(INDEX('Docketed Comments'!N:N,MATCH(A751,'Docketed Comments'!H:H,0)),"")</f>
        <v>No</v>
      </c>
      <c r="O751" s="135" t="str">
        <f>IFERROR(INDEX('Docketed Comments'!L:L,MATCH(A751,'Docketed Comments'!H:H,0)),"")</f>
        <v>Yes</v>
      </c>
      <c r="P751" s="136">
        <f t="shared" si="22"/>
        <v>0</v>
      </c>
      <c r="Q751" s="140" t="s">
        <v>5809</v>
      </c>
      <c r="R751" s="144">
        <v>0</v>
      </c>
    </row>
    <row r="752" spans="1:18" ht="21.95" customHeight="1">
      <c r="A752" s="71" t="s">
        <v>2984</v>
      </c>
      <c r="B752" s="69" t="s">
        <v>4887</v>
      </c>
      <c r="C752" s="70">
        <v>46074</v>
      </c>
      <c r="D752" s="69" t="s">
        <v>4865</v>
      </c>
      <c r="E752" s="69" t="s">
        <v>4898</v>
      </c>
      <c r="F752" s="65" t="s">
        <v>5732</v>
      </c>
      <c r="G752" s="65"/>
      <c r="H752" s="65" t="str">
        <f>IFERROR(INDEX('Docketed Comments'!C:C,MATCH(A752,'Docketed Comments'!H:H,0))&amp;", "&amp;INDEX('Docketed Comments'!B:B,MATCH(A752,'Docketed Comments'!H:H,0)),"")</f>
        <v>Delaney, Spencer</v>
      </c>
      <c r="I752" s="65" t="str">
        <f>IFERROR(INDEX('Docketed Comments'!D:D,MATCH(A752,'Docketed Comments'!H:H,0)),"")</f>
        <v>Florence</v>
      </c>
      <c r="J752" s="65" t="str">
        <f>IFERROR(INDEX('Docketed Comments'!I:I,MATCH(A752,'Docketed Comments'!H:H,0)),"")</f>
        <v>RCPw/R3-47</v>
      </c>
      <c r="K752" s="65" t="str">
        <f t="shared" si="23"/>
        <v>✅ On Best Plan</v>
      </c>
      <c r="L752" s="65" t="str">
        <f>IFERROR(INDEX('Docketed Comments'!F:F,MATCH(A752,'Docketed Comments'!H:H,0)),"")</f>
        <v>Unreasonable ever-increasing rates</v>
      </c>
      <c r="M752" s="137" t="str">
        <f>IFERROR(HYPERLINK(INDEX('Docketed Comments'!G:G,MATCH(A752,'Docketed Comments'!H:H,0)),"📄 View Docket"),"")</f>
        <v>📄 View Docket</v>
      </c>
      <c r="N752" s="135" t="str">
        <f>IFERROR(INDEX('Docketed Comments'!N:N,MATCH(A752,'Docketed Comments'!H:H,0)),"")</f>
        <v>No</v>
      </c>
      <c r="O752" s="135" t="str">
        <f>IFERROR(INDEX('Docketed Comments'!L:L,MATCH(A752,'Docketed Comments'!H:H,0)),"")</f>
        <v>Yes</v>
      </c>
      <c r="P752" s="136">
        <f t="shared" si="22"/>
        <v>0</v>
      </c>
      <c r="Q752" s="140" t="s">
        <v>5809</v>
      </c>
      <c r="R752" s="144">
        <v>0</v>
      </c>
    </row>
    <row r="753" spans="1:18" ht="21.95" customHeight="1">
      <c r="A753" s="71" t="s">
        <v>2987</v>
      </c>
      <c r="B753" s="69" t="s">
        <v>4887</v>
      </c>
      <c r="C753" s="70">
        <v>46074</v>
      </c>
      <c r="D753" s="69" t="s">
        <v>4865</v>
      </c>
      <c r="E753" s="69" t="s">
        <v>4898</v>
      </c>
      <c r="F753" s="65" t="s">
        <v>5732</v>
      </c>
      <c r="G753" s="65"/>
      <c r="H753" s="65" t="str">
        <f>IFERROR(INDEX('Docketed Comments'!C:C,MATCH(A753,'Docketed Comments'!H:H,0))&amp;", "&amp;INDEX('Docketed Comments'!B:B,MATCH(A753,'Docketed Comments'!H:H,0)),"")</f>
        <v>Ashley, Eason</v>
      </c>
      <c r="I753" s="65" t="str">
        <f>IFERROR(INDEX('Docketed Comments'!D:D,MATCH(A753,'Docketed Comments'!H:H,0)),"")</f>
        <v>Casa Grande</v>
      </c>
      <c r="J753" s="65" t="str">
        <f>IFERROR(INDEX('Docketed Comments'!I:I,MATCH(A753,'Docketed Comments'!H:H,0)),"")</f>
        <v>R3-47</v>
      </c>
      <c r="K753" s="65" t="str">
        <f t="shared" si="23"/>
        <v>✅ On Best Plan</v>
      </c>
      <c r="L753" s="65" t="str">
        <f>IFERROR(INDEX('Docketed Comments'!F:F,MATCH(A753,'Docketed Comments'!H:H,0)),"")</f>
        <v>This rate hike would be deeply burdensome to families, seniors and working individuals</v>
      </c>
      <c r="M753" s="137" t="str">
        <f>IFERROR(HYPERLINK(INDEX('Docketed Comments'!G:G,MATCH(A753,'Docketed Comments'!H:H,0)),"📄 View Docket"),"")</f>
        <v>📄 View Docket</v>
      </c>
      <c r="N753" s="135" t="str">
        <f>IFERROR(INDEX('Docketed Comments'!N:N,MATCH(A753,'Docketed Comments'!H:H,0)),"")</f>
        <v>No</v>
      </c>
      <c r="O753" s="135" t="str">
        <f>IFERROR(INDEX('Docketed Comments'!L:L,MATCH(A753,'Docketed Comments'!H:H,0)),"")</f>
        <v>Yes</v>
      </c>
      <c r="P753" s="136">
        <f t="shared" si="22"/>
        <v>0</v>
      </c>
      <c r="Q753" s="140" t="s">
        <v>5809</v>
      </c>
      <c r="R753" s="144">
        <v>0</v>
      </c>
    </row>
    <row r="754" spans="1:18" ht="21.95" customHeight="1">
      <c r="A754" s="71" t="s">
        <v>2993</v>
      </c>
      <c r="B754" s="69"/>
      <c r="C754" s="70"/>
      <c r="D754" s="69"/>
      <c r="E754" s="69"/>
      <c r="F754" s="65"/>
      <c r="G754" s="65" t="s">
        <v>5811</v>
      </c>
      <c r="H754" s="65" t="str">
        <f>IFERROR(INDEX('Docketed Comments'!C:C,MATCH(A754,'Docketed Comments'!H:H,0))&amp;", "&amp;INDEX('Docketed Comments'!B:B,MATCH(A754,'Docketed Comments'!H:H,0)),"")</f>
        <v>Steven, Hall</v>
      </c>
      <c r="I754" s="65" t="str">
        <f>IFERROR(INDEX('Docketed Comments'!D:D,MATCH(A754,'Docketed Comments'!H:H,0)),"")</f>
        <v>Casa Grande</v>
      </c>
      <c r="J754" s="65" t="str">
        <f>IFERROR(INDEX('Docketed Comments'!I:I,MATCH(A754,'Docketed Comments'!H:H,0)),"")</f>
        <v>R3-47</v>
      </c>
      <c r="K754" s="65" t="str">
        <f t="shared" si="23"/>
        <v>✅ On Best Plan</v>
      </c>
      <c r="L754" s="65" t="str">
        <f>IFERROR(INDEX('Docketed Comments'!F:F,MATCH(A754,'Docketed Comments'!H:H,0)),"")</f>
        <v>Rate hike would place an even heavier financial burden on families, seniors, and small businesses across our state.</v>
      </c>
      <c r="M754" s="137" t="str">
        <f>IFERROR(HYPERLINK(INDEX('Docketed Comments'!G:G,MATCH(A754,'Docketed Comments'!H:H,0)),"📄 View Docket"),"")</f>
        <v>📄 View Docket</v>
      </c>
      <c r="N754" s="135" t="str">
        <f>IFERROR(INDEX('Docketed Comments'!N:N,MATCH(A754,'Docketed Comments'!H:H,0)),"")</f>
        <v>No</v>
      </c>
      <c r="O754" s="135" t="str">
        <f>IFERROR(INDEX('Docketed Comments'!L:L,MATCH(A754,'Docketed Comments'!H:H,0)),"")</f>
        <v>Yes</v>
      </c>
      <c r="P754" s="136">
        <f t="shared" si="22"/>
        <v>0</v>
      </c>
      <c r="Q754" s="140"/>
      <c r="R754" s="144">
        <v>1</v>
      </c>
    </row>
    <row r="755" spans="1:18" ht="21.95" customHeight="1">
      <c r="A755" s="71" t="s">
        <v>2997</v>
      </c>
      <c r="B755" s="69" t="s">
        <v>4887</v>
      </c>
      <c r="C755" s="70">
        <v>46074</v>
      </c>
      <c r="D755" s="69" t="s">
        <v>4865</v>
      </c>
      <c r="E755" s="69" t="s">
        <v>4898</v>
      </c>
      <c r="F755" s="65" t="s">
        <v>5732</v>
      </c>
      <c r="G755" s="65"/>
      <c r="H755" s="65" t="str">
        <f>IFERROR(INDEX('Docketed Comments'!C:C,MATCH(A755,'Docketed Comments'!H:H,0))&amp;", "&amp;INDEX('Docketed Comments'!B:B,MATCH(A755,'Docketed Comments'!H:H,0)),"")</f>
        <v>Roger, Quinte</v>
      </c>
      <c r="I755" s="65" t="str">
        <f>IFERROR(INDEX('Docketed Comments'!D:D,MATCH(A755,'Docketed Comments'!H:H,0)),"")</f>
        <v>Phoenix</v>
      </c>
      <c r="J755" s="65" t="str">
        <f>IFERROR(INDEX('Docketed Comments'!I:I,MATCH(A755,'Docketed Comments'!H:H,0)),"")</f>
        <v>EPR-6w/ECT-2</v>
      </c>
      <c r="K755" s="65" t="str">
        <f t="shared" si="23"/>
        <v>⚠ Frozen Rate</v>
      </c>
      <c r="L755" s="65" t="str">
        <f>IFERROR(INDEX('Docketed Comments'!F:F,MATCH(A755,'Docketed Comments'!H:H,0)),"")</f>
        <v>Form Letter: Enough is enough! You must reject the latest 14% rate hikes by APS and TEP</v>
      </c>
      <c r="M755" s="137" t="str">
        <f>IFERROR(HYPERLINK(INDEX('Docketed Comments'!G:G,MATCH(A755,'Docketed Comments'!H:H,0)),"📄 View Docket"),"")</f>
        <v>📄 View Docket</v>
      </c>
      <c r="N755" s="135" t="str">
        <f>IFERROR(INDEX('Docketed Comments'!N:N,MATCH(A755,'Docketed Comments'!H:H,0)),"")</f>
        <v>No</v>
      </c>
      <c r="O755" s="135" t="str">
        <f>IFERROR(INDEX('Docketed Comments'!L:L,MATCH(A755,'Docketed Comments'!H:H,0)),"")</f>
        <v>Frozen Rate</v>
      </c>
      <c r="P755" s="136">
        <f t="shared" si="22"/>
        <v>0</v>
      </c>
      <c r="Q755" s="140" t="s">
        <v>5809</v>
      </c>
      <c r="R755" s="144">
        <v>0</v>
      </c>
    </row>
    <row r="756" spans="1:18" ht="21.95" customHeight="1">
      <c r="A756" s="71" t="s">
        <v>3001</v>
      </c>
      <c r="B756" s="69" t="s">
        <v>4887</v>
      </c>
      <c r="C756" s="70">
        <v>46067</v>
      </c>
      <c r="D756" s="69" t="s">
        <v>4865</v>
      </c>
      <c r="E756" s="69" t="s">
        <v>4898</v>
      </c>
      <c r="F756" s="65"/>
      <c r="G756" s="65"/>
      <c r="H756" s="65" t="str">
        <f>IFERROR(INDEX('Docketed Comments'!C:C,MATCH(A756,'Docketed Comments'!H:H,0))&amp;", "&amp;INDEX('Docketed Comments'!B:B,MATCH(A756,'Docketed Comments'!H:H,0)),"")</f>
        <v>Sherry, Ratner</v>
      </c>
      <c r="I756" s="65" t="str">
        <f>IFERROR(INDEX('Docketed Comments'!D:D,MATCH(A756,'Docketed Comments'!H:H,0)),"")</f>
        <v>Cornville</v>
      </c>
      <c r="J756" s="65" t="str">
        <f>IFERROR(INDEX('Docketed Comments'!I:I,MATCH(A756,'Docketed Comments'!H:H,0)),"")</f>
        <v>R-XS</v>
      </c>
      <c r="K756" s="65" t="str">
        <f t="shared" si="23"/>
        <v>⚠ NA</v>
      </c>
      <c r="L756" s="65" t="str">
        <f>IFERROR(INDEX('Docketed Comments'!F:F,MATCH(A756,'Docketed Comments'!H:H,0)),"")</f>
        <v>Low fixed income cannot afford such huge rate increases</v>
      </c>
      <c r="M756" s="137" t="str">
        <f>IFERROR(HYPERLINK(INDEX('Docketed Comments'!G:G,MATCH(A756,'Docketed Comments'!H:H,0)),"📄 View Docket"),"")</f>
        <v>📄 View Docket</v>
      </c>
      <c r="N756" s="135" t="str">
        <f>IFERROR(INDEX('Docketed Comments'!N:N,MATCH(A756,'Docketed Comments'!H:H,0)),"")</f>
        <v>No</v>
      </c>
      <c r="O756" s="135" t="str">
        <f>IFERROR(INDEX('Docketed Comments'!L:L,MATCH(A756,'Docketed Comments'!H:H,0)),"")</f>
        <v>NA</v>
      </c>
      <c r="P756" s="136">
        <f t="shared" si="22"/>
        <v>0</v>
      </c>
      <c r="Q756" s="140" t="s">
        <v>5809</v>
      </c>
      <c r="R756" s="144">
        <v>0</v>
      </c>
    </row>
    <row r="757" spans="1:18" ht="21.95" customHeight="1">
      <c r="A757" s="71" t="s">
        <v>3017</v>
      </c>
      <c r="B757" s="69"/>
      <c r="C757" s="70"/>
      <c r="D757" s="69"/>
      <c r="E757" s="69"/>
      <c r="F757" s="65"/>
      <c r="G757" s="65" t="s">
        <v>5811</v>
      </c>
      <c r="H757" s="65" t="str">
        <f>IFERROR(INDEX('Docketed Comments'!C:C,MATCH(A757,'Docketed Comments'!H:H,0))&amp;", "&amp;INDEX('Docketed Comments'!B:B,MATCH(A757,'Docketed Comments'!H:H,0)),"")</f>
        <v>Debra, Ogledzinski</v>
      </c>
      <c r="I757" s="65" t="str">
        <f>IFERROR(INDEX('Docketed Comments'!D:D,MATCH(A757,'Docketed Comments'!H:H,0)),"")</f>
        <v>Phoenix</v>
      </c>
      <c r="J757" s="65" t="str">
        <f>IFERROR(INDEX('Docketed Comments'!I:I,MATCH(A757,'Docketed Comments'!H:H,0)),"")</f>
        <v>R-2</v>
      </c>
      <c r="K757" s="65" t="str">
        <f t="shared" si="23"/>
        <v>⚠ Frozen Rate</v>
      </c>
      <c r="L757" s="65" t="str">
        <f>IFERROR(INDEX('Docketed Comments'!F:F,MATCH(A757,'Docketed Comments'!H:H,0)),"")</f>
        <v>Form Letter: Enough is enough! You must reject the latest 14% rate hikes by APS and TEP</v>
      </c>
      <c r="M757" s="137" t="str">
        <f>IFERROR(HYPERLINK(INDEX('Docketed Comments'!G:G,MATCH(A757,'Docketed Comments'!H:H,0)),"📄 View Docket"),"")</f>
        <v>📄 View Docket</v>
      </c>
      <c r="N757" s="135" t="str">
        <f>IFERROR(INDEX('Docketed Comments'!N:N,MATCH(A757,'Docketed Comments'!H:H,0)),"")</f>
        <v>No</v>
      </c>
      <c r="O757" s="135" t="str">
        <f>IFERROR(INDEX('Docketed Comments'!L:L,MATCH(A757,'Docketed Comments'!H:H,0)),"")</f>
        <v>Frozen Rate</v>
      </c>
      <c r="P757" s="136">
        <f t="shared" si="22"/>
        <v>0</v>
      </c>
      <c r="Q757" s="140"/>
      <c r="R757" s="144">
        <v>1</v>
      </c>
    </row>
    <row r="758" spans="1:18" ht="21.95" customHeight="1">
      <c r="A758" s="71" t="s">
        <v>3031</v>
      </c>
      <c r="B758" s="69"/>
      <c r="C758" s="70"/>
      <c r="D758" s="69"/>
      <c r="E758" s="69"/>
      <c r="F758" s="65"/>
      <c r="G758" s="65" t="s">
        <v>5811</v>
      </c>
      <c r="H758" s="65" t="str">
        <f>IFERROR(INDEX('Docketed Comments'!C:C,MATCH(A758,'Docketed Comments'!H:H,0))&amp;", "&amp;INDEX('Docketed Comments'!B:B,MATCH(A758,'Docketed Comments'!H:H,0)),"")</f>
        <v>Collene, Hartley</v>
      </c>
      <c r="I758" s="65" t="str">
        <f>IFERROR(INDEX('Docketed Comments'!D:D,MATCH(A758,'Docketed Comments'!H:H,0)),"")</f>
        <v>Phoenix</v>
      </c>
      <c r="J758" s="65" t="str">
        <f>IFERROR(INDEX('Docketed Comments'!I:I,MATCH(A758,'Docketed Comments'!H:H,0)),"")</f>
        <v>R3-47</v>
      </c>
      <c r="K758" s="65" t="str">
        <f t="shared" si="23"/>
        <v>✅ On Best Plan</v>
      </c>
      <c r="L758" s="65" t="str">
        <f>IFERROR(INDEX('Docketed Comments'!F:F,MATCH(A758,'Docketed Comments'!H:H,0)),"")</f>
        <v>Form Letter: Enough is enough! You must reject the latest 14% rate hikes by APS and TEP</v>
      </c>
      <c r="M758" s="137" t="str">
        <f>IFERROR(HYPERLINK(INDEX('Docketed Comments'!G:G,MATCH(A758,'Docketed Comments'!H:H,0)),"📄 View Docket"),"")</f>
        <v>📄 View Docket</v>
      </c>
      <c r="N758" s="135" t="str">
        <f>IFERROR(INDEX('Docketed Comments'!N:N,MATCH(A758,'Docketed Comments'!H:H,0)),"")</f>
        <v>No</v>
      </c>
      <c r="O758" s="135" t="str">
        <f>IFERROR(INDEX('Docketed Comments'!L:L,MATCH(A758,'Docketed Comments'!H:H,0)),"")</f>
        <v>Y</v>
      </c>
      <c r="P758" s="136">
        <f t="shared" si="22"/>
        <v>0</v>
      </c>
      <c r="Q758" s="140"/>
      <c r="R758" s="144">
        <v>1</v>
      </c>
    </row>
    <row r="759" spans="1:18" ht="21.95" customHeight="1">
      <c r="A759" s="71" t="s">
        <v>3035</v>
      </c>
      <c r="B759" s="69" t="s">
        <v>4887</v>
      </c>
      <c r="C759" s="70">
        <v>46067</v>
      </c>
      <c r="D759" s="69" t="s">
        <v>4865</v>
      </c>
      <c r="E759" s="69" t="s">
        <v>4898</v>
      </c>
      <c r="F759" s="65" t="s">
        <v>5748</v>
      </c>
      <c r="G759" s="65"/>
      <c r="H759" s="65" t="str">
        <f>IFERROR(INDEX('Docketed Comments'!C:C,MATCH(A759,'Docketed Comments'!H:H,0))&amp;", "&amp;INDEX('Docketed Comments'!B:B,MATCH(A759,'Docketed Comments'!H:H,0)),"")</f>
        <v>Kristi, Warnecke</v>
      </c>
      <c r="I759" s="65" t="str">
        <f>IFERROR(INDEX('Docketed Comments'!D:D,MATCH(A759,'Docketed Comments'!H:H,0)),"")</f>
        <v>Sun City</v>
      </c>
      <c r="J759" s="65" t="str">
        <f>IFERROR(INDEX('Docketed Comments'!I:I,MATCH(A759,'Docketed Comments'!H:H,0)),"")</f>
        <v>R3-47</v>
      </c>
      <c r="K759" s="65" t="str">
        <f t="shared" si="23"/>
        <v>✅ On Best Plan</v>
      </c>
      <c r="L759" s="65" t="str">
        <f>IFERROR(INDEX('Docketed Comments'!F:F,MATCH(A759,'Docketed Comments'!H:H,0)),"")</f>
        <v>Senior on fixed income, could be choosing between air conditioning and medicine</v>
      </c>
      <c r="M759" s="137" t="str">
        <f>IFERROR(HYPERLINK(INDEX('Docketed Comments'!G:G,MATCH(A759,'Docketed Comments'!H:H,0)),"📄 View Docket"),"")</f>
        <v>📄 View Docket</v>
      </c>
      <c r="N759" s="135" t="str">
        <f>IFERROR(INDEX('Docketed Comments'!N:N,MATCH(A759,'Docketed Comments'!H:H,0)),"")</f>
        <v>No</v>
      </c>
      <c r="O759" s="135" t="str">
        <f>IFERROR(INDEX('Docketed Comments'!L:L,MATCH(A759,'Docketed Comments'!H:H,0)),"")</f>
        <v>Y</v>
      </c>
      <c r="P759" s="136">
        <f t="shared" si="22"/>
        <v>0</v>
      </c>
      <c r="Q759" s="140" t="s">
        <v>5809</v>
      </c>
      <c r="R759" s="144">
        <v>0</v>
      </c>
    </row>
    <row r="760" spans="1:18" ht="21.95" customHeight="1">
      <c r="A760" s="71" t="s">
        <v>3059</v>
      </c>
      <c r="B760" s="69" t="s">
        <v>4887</v>
      </c>
      <c r="C760" s="70">
        <v>46067</v>
      </c>
      <c r="D760" s="69" t="s">
        <v>4888</v>
      </c>
      <c r="E760" s="69"/>
      <c r="F760" s="65" t="s">
        <v>4930</v>
      </c>
      <c r="G760" s="65"/>
      <c r="H760" s="65" t="str">
        <f>IFERROR(INDEX('Docketed Comments'!C:C,MATCH(A760,'Docketed Comments'!H:H,0))&amp;", "&amp;INDEX('Docketed Comments'!B:B,MATCH(A760,'Docketed Comments'!H:H,0)),"")</f>
        <v>James, Pollock</v>
      </c>
      <c r="I760" s="65" t="str">
        <f>IFERROR(INDEX('Docketed Comments'!D:D,MATCH(A760,'Docketed Comments'!H:H,0)),"")</f>
        <v>Phoenix</v>
      </c>
      <c r="J760" s="65" t="str">
        <f>IFERROR(INDEX('Docketed Comments'!I:I,MATCH(A760,'Docketed Comments'!H:H,0)),"")</f>
        <v>RCPw/RTOUE47</v>
      </c>
      <c r="K760" s="65" t="str">
        <f t="shared" si="23"/>
        <v>✅ On Best Plan</v>
      </c>
      <c r="L760" s="65" t="str">
        <f>IFERROR(INDEX('Docketed Comments'!F:F,MATCH(A760,'Docketed Comments'!H:H,0)),"")</f>
        <v>Form Letter: Enough is enough! You must reject the latest 14% rate hikes by APS and TEP</v>
      </c>
      <c r="M760" s="137" t="str">
        <f>IFERROR(HYPERLINK(INDEX('Docketed Comments'!G:G,MATCH(A760,'Docketed Comments'!H:H,0)),"📄 View Docket"),"")</f>
        <v>📄 View Docket</v>
      </c>
      <c r="N760" s="135" t="str">
        <f>IFERROR(INDEX('Docketed Comments'!N:N,MATCH(A760,'Docketed Comments'!H:H,0)),"")</f>
        <v>No</v>
      </c>
      <c r="O760" s="135" t="str">
        <f>IFERROR(INDEX('Docketed Comments'!L:L,MATCH(A760,'Docketed Comments'!H:H,0)),"")</f>
        <v>Y</v>
      </c>
      <c r="P760" s="136">
        <f t="shared" si="22"/>
        <v>0</v>
      </c>
      <c r="Q760" s="140" t="s">
        <v>5809</v>
      </c>
      <c r="R760" s="144">
        <v>0</v>
      </c>
    </row>
    <row r="761" spans="1:18" ht="21.95" customHeight="1">
      <c r="A761" s="71" t="s">
        <v>3062</v>
      </c>
      <c r="B761" s="69"/>
      <c r="C761" s="70"/>
      <c r="D761" s="69"/>
      <c r="E761" s="69"/>
      <c r="F761" s="65"/>
      <c r="G761" s="65" t="s">
        <v>5811</v>
      </c>
      <c r="H761" s="65" t="str">
        <f>IFERROR(INDEX('Docketed Comments'!C:C,MATCH(A761,'Docketed Comments'!H:H,0))&amp;", "&amp;INDEX('Docketed Comments'!B:B,MATCH(A761,'Docketed Comments'!H:H,0)),"")</f>
        <v>Shem, Miller</v>
      </c>
      <c r="I761" s="65" t="str">
        <f>IFERROR(INDEX('Docketed Comments'!D:D,MATCH(A761,'Docketed Comments'!H:H,0)),"")</f>
        <v>Phoenix</v>
      </c>
      <c r="J761" s="65" t="str">
        <f>IFERROR(INDEX('Docketed Comments'!I:I,MATCH(A761,'Docketed Comments'!H:H,0)),"")</f>
        <v>R3-47</v>
      </c>
      <c r="K761" s="65" t="str">
        <f t="shared" si="23"/>
        <v>✅ On Best Plan</v>
      </c>
      <c r="L761" s="65" t="str">
        <f>IFERROR(INDEX('Docketed Comments'!F:F,MATCH(A761,'Docketed Comments'!H:H,0)),"")</f>
        <v>Form Letter: Enough is enough! You must reject the latest 14% rate hikes by APS and TEP</v>
      </c>
      <c r="M761" s="137" t="str">
        <f>IFERROR(HYPERLINK(INDEX('Docketed Comments'!G:G,MATCH(A761,'Docketed Comments'!H:H,0)),"📄 View Docket"),"")</f>
        <v>📄 View Docket</v>
      </c>
      <c r="N761" s="135" t="str">
        <f>IFERROR(INDEX('Docketed Comments'!N:N,MATCH(A761,'Docketed Comments'!H:H,0)),"")</f>
        <v>No</v>
      </c>
      <c r="O761" s="135" t="str">
        <f>IFERROR(INDEX('Docketed Comments'!L:L,MATCH(A761,'Docketed Comments'!H:H,0)),"")</f>
        <v>Y</v>
      </c>
      <c r="P761" s="136">
        <f t="shared" si="22"/>
        <v>0</v>
      </c>
      <c r="Q761" s="140"/>
      <c r="R761" s="144">
        <v>1</v>
      </c>
    </row>
    <row r="762" spans="1:18" ht="21.95" customHeight="1">
      <c r="A762" s="71" t="s">
        <v>3070</v>
      </c>
      <c r="B762" s="69" t="s">
        <v>4887</v>
      </c>
      <c r="C762" s="70">
        <v>46067</v>
      </c>
      <c r="D762" s="69" t="s">
        <v>4865</v>
      </c>
      <c r="E762" s="69" t="s">
        <v>4897</v>
      </c>
      <c r="F762" s="65" t="s">
        <v>5718</v>
      </c>
      <c r="G762" s="65"/>
      <c r="H762" s="65" t="str">
        <f>IFERROR(INDEX('Docketed Comments'!C:C,MATCH(A762,'Docketed Comments'!H:H,0))&amp;", "&amp;INDEX('Docketed Comments'!B:B,MATCH(A762,'Docketed Comments'!H:H,0)),"")</f>
        <v>Catherine, Yarber</v>
      </c>
      <c r="I762" s="65" t="str">
        <f>IFERROR(INDEX('Docketed Comments'!D:D,MATCH(A762,'Docketed Comments'!H:H,0)),"")</f>
        <v>Seligman</v>
      </c>
      <c r="J762" s="65" t="str">
        <f>IFERROR(INDEX('Docketed Comments'!I:I,MATCH(A762,'Docketed Comments'!H:H,0)),"")</f>
        <v>EPR-6w/ET-2</v>
      </c>
      <c r="K762" s="65" t="str">
        <f t="shared" si="23"/>
        <v>⚠ Frozen Rate</v>
      </c>
      <c r="L762" s="65" t="str">
        <f>IFERROR(INDEX('Docketed Comments'!F:F,MATCH(A762,'Docketed Comments'!H:H,0)),"")</f>
        <v>Do not allow APS to constantly raise their rates</v>
      </c>
      <c r="M762" s="137" t="str">
        <f>IFERROR(HYPERLINK(INDEX('Docketed Comments'!G:G,MATCH(A762,'Docketed Comments'!H:H,0)),"📄 View Docket"),"")</f>
        <v>📄 View Docket</v>
      </c>
      <c r="N762" s="135" t="str">
        <f>IFERROR(INDEX('Docketed Comments'!N:N,MATCH(A762,'Docketed Comments'!H:H,0)),"")</f>
        <v>No</v>
      </c>
      <c r="O762" s="135" t="str">
        <f>IFERROR(INDEX('Docketed Comments'!L:L,MATCH(A762,'Docketed Comments'!H:H,0)),"")</f>
        <v>Frozen Rate</v>
      </c>
      <c r="P762" s="136">
        <f t="shared" si="22"/>
        <v>0</v>
      </c>
      <c r="Q762" s="140" t="s">
        <v>5809</v>
      </c>
      <c r="R762" s="144">
        <v>0</v>
      </c>
    </row>
    <row r="763" spans="1:18" ht="21.95" customHeight="1">
      <c r="A763" s="71" t="s">
        <v>3074</v>
      </c>
      <c r="B763" s="69"/>
      <c r="C763" s="70"/>
      <c r="D763" s="69"/>
      <c r="E763" s="69"/>
      <c r="F763" s="65"/>
      <c r="G763" s="65" t="s">
        <v>5811</v>
      </c>
      <c r="H763" s="65" t="str">
        <f>IFERROR(INDEX('Docketed Comments'!C:C,MATCH(A763,'Docketed Comments'!H:H,0))&amp;", "&amp;INDEX('Docketed Comments'!B:B,MATCH(A763,'Docketed Comments'!H:H,0)),"")</f>
        <v>Dawn, Robnett</v>
      </c>
      <c r="I763" s="65" t="str">
        <f>IFERROR(INDEX('Docketed Comments'!D:D,MATCH(A763,'Docketed Comments'!H:H,0)),"")</f>
        <v>Sierra Vista</v>
      </c>
      <c r="J763" s="65" t="str">
        <f>IFERROR(INDEX('Docketed Comments'!I:I,MATCH(A763,'Docketed Comments'!H:H,0)),"")</f>
        <v>R3-47</v>
      </c>
      <c r="K763" s="65" t="str">
        <f t="shared" si="23"/>
        <v>✅ On Best Plan</v>
      </c>
      <c r="L763" s="65" t="str">
        <f>IFERROR(INDEX('Docketed Comments'!F:F,MATCH(A763,'Docketed Comments'!H:H,0)),"")</f>
        <v>What are you doing to stop this from happening?</v>
      </c>
      <c r="M763" s="137" t="str">
        <f>IFERROR(HYPERLINK(INDEX('Docketed Comments'!G:G,MATCH(A763,'Docketed Comments'!H:H,0)),"📄 View Docket"),"")</f>
        <v>📄 View Docket</v>
      </c>
      <c r="N763" s="135" t="str">
        <f>IFERROR(INDEX('Docketed Comments'!N:N,MATCH(A763,'Docketed Comments'!H:H,0)),"")</f>
        <v>No</v>
      </c>
      <c r="O763" s="135" t="str">
        <f>IFERROR(INDEX('Docketed Comments'!L:L,MATCH(A763,'Docketed Comments'!H:H,0)),"")</f>
        <v>Y</v>
      </c>
      <c r="P763" s="136">
        <f t="shared" si="22"/>
        <v>0</v>
      </c>
      <c r="Q763" s="140"/>
      <c r="R763" s="144">
        <v>1</v>
      </c>
    </row>
    <row r="764" spans="1:18" ht="21.95" customHeight="1">
      <c r="A764" s="71" t="s">
        <v>3081</v>
      </c>
      <c r="B764" s="69" t="s">
        <v>4887</v>
      </c>
      <c r="C764" s="70">
        <v>46067</v>
      </c>
      <c r="D764" s="69" t="s">
        <v>4888</v>
      </c>
      <c r="E764" s="69"/>
      <c r="F764" s="65" t="s">
        <v>4930</v>
      </c>
      <c r="G764" s="65"/>
      <c r="H764" s="65" t="str">
        <f>IFERROR(INDEX('Docketed Comments'!C:C,MATCH(A764,'Docketed Comments'!H:H,0))&amp;", "&amp;INDEX('Docketed Comments'!B:B,MATCH(A764,'Docketed Comments'!H:H,0)),"")</f>
        <v>Scott, Settje</v>
      </c>
      <c r="I764" s="65" t="str">
        <f>IFERROR(INDEX('Docketed Comments'!D:D,MATCH(A764,'Docketed Comments'!H:H,0)),"")</f>
        <v>Tonto Basin</v>
      </c>
      <c r="J764" s="65" t="str">
        <f>IFERROR(INDEX('Docketed Comments'!I:I,MATCH(A764,'Docketed Comments'!H:H,0)),"")</f>
        <v>R-2</v>
      </c>
      <c r="K764" s="65" t="str">
        <f t="shared" si="23"/>
        <v>⚠ Frozen Rate</v>
      </c>
      <c r="L764" s="65" t="str">
        <f>IFERROR(INDEX('Docketed Comments'!F:F,MATCH(A764,'Docketed Comments'!H:H,0)),"")</f>
        <v>Off-peak/demand income and demand charges after outages</v>
      </c>
      <c r="M764" s="137" t="str">
        <f>IFERROR(HYPERLINK(INDEX('Docketed Comments'!G:G,MATCH(A764,'Docketed Comments'!H:H,0)),"📄 View Docket"),"")</f>
        <v>📄 View Docket</v>
      </c>
      <c r="N764" s="135" t="str">
        <f>IFERROR(INDEX('Docketed Comments'!N:N,MATCH(A764,'Docketed Comments'!H:H,0)),"")</f>
        <v>No</v>
      </c>
      <c r="O764" s="135" t="str">
        <f>IFERROR(INDEX('Docketed Comments'!L:L,MATCH(A764,'Docketed Comments'!H:H,0)),"")</f>
        <v>Frozen Rate</v>
      </c>
      <c r="P764" s="136">
        <f t="shared" si="22"/>
        <v>0</v>
      </c>
      <c r="Q764" s="140" t="s">
        <v>5809</v>
      </c>
      <c r="R764" s="144">
        <v>0</v>
      </c>
    </row>
    <row r="765" spans="1:18" ht="21.95" customHeight="1">
      <c r="A765" s="71" t="s">
        <v>3085</v>
      </c>
      <c r="B765" s="69"/>
      <c r="C765" s="70"/>
      <c r="D765" s="69"/>
      <c r="E765" s="69"/>
      <c r="F765" s="65"/>
      <c r="G765" s="65" t="s">
        <v>5811</v>
      </c>
      <c r="H765" s="65" t="str">
        <f>IFERROR(INDEX('Docketed Comments'!C:C,MATCH(A765,'Docketed Comments'!H:H,0))&amp;", "&amp;INDEX('Docketed Comments'!B:B,MATCH(A765,'Docketed Comments'!H:H,0)),"")</f>
        <v>Terrie, Cunningham</v>
      </c>
      <c r="I765" s="65" t="str">
        <f>IFERROR(INDEX('Docketed Comments'!D:D,MATCH(A765,'Docketed Comments'!H:H,0)),"")</f>
        <v>Phoenix</v>
      </c>
      <c r="J765" s="65" t="str">
        <f>IFERROR(INDEX('Docketed Comments'!I:I,MATCH(A765,'Docketed Comments'!H:H,0)),"")</f>
        <v>R3-47</v>
      </c>
      <c r="K765" s="65" t="str">
        <f t="shared" si="23"/>
        <v>✅ On Best Plan</v>
      </c>
      <c r="L765" s="65" t="str">
        <f>IFERROR(INDEX('Docketed Comments'!F:F,MATCH(A765,'Docketed Comments'!H:H,0)),"")</f>
        <v>Opposed, significant burden, especially when cost of living continued to rise</v>
      </c>
      <c r="M765" s="137" t="str">
        <f>IFERROR(HYPERLINK(INDEX('Docketed Comments'!G:G,MATCH(A765,'Docketed Comments'!H:H,0)),"📄 View Docket"),"")</f>
        <v>📄 View Docket</v>
      </c>
      <c r="N765" s="135" t="str">
        <f>IFERROR(INDEX('Docketed Comments'!N:N,MATCH(A765,'Docketed Comments'!H:H,0)),"")</f>
        <v>No</v>
      </c>
      <c r="O765" s="135" t="str">
        <f>IFERROR(INDEX('Docketed Comments'!L:L,MATCH(A765,'Docketed Comments'!H:H,0)),"")</f>
        <v>Y</v>
      </c>
      <c r="P765" s="136">
        <f t="shared" si="22"/>
        <v>0</v>
      </c>
      <c r="Q765" s="140"/>
      <c r="R765" s="144">
        <v>1</v>
      </c>
    </row>
    <row r="766" spans="1:18" ht="21.95" customHeight="1">
      <c r="A766" s="71" t="s">
        <v>3089</v>
      </c>
      <c r="B766" s="69" t="s">
        <v>4887</v>
      </c>
      <c r="C766" s="70">
        <v>46067</v>
      </c>
      <c r="D766" s="69" t="s">
        <v>4888</v>
      </c>
      <c r="E766" s="69"/>
      <c r="F766" s="65" t="s">
        <v>4930</v>
      </c>
      <c r="G766" s="65"/>
      <c r="H766" s="65" t="str">
        <f>IFERROR(INDEX('Docketed Comments'!C:C,MATCH(A766,'Docketed Comments'!H:H,0))&amp;", "&amp;INDEX('Docketed Comments'!B:B,MATCH(A766,'Docketed Comments'!H:H,0)),"")</f>
        <v>Brent, Hughes</v>
      </c>
      <c r="I766" s="65" t="str">
        <f>IFERROR(INDEX('Docketed Comments'!D:D,MATCH(A766,'Docketed Comments'!H:H,0)),"")</f>
        <v>Prescott</v>
      </c>
      <c r="J766" s="65" t="str">
        <f>IFERROR(INDEX('Docketed Comments'!I:I,MATCH(A766,'Docketed Comments'!H:H,0)),"")</f>
        <v>R3-47</v>
      </c>
      <c r="K766" s="65" t="str">
        <f t="shared" si="23"/>
        <v>✅ On Best Plan</v>
      </c>
      <c r="L766" s="65" t="str">
        <f>IFERROR(INDEX('Docketed Comments'!F:F,MATCH(A766,'Docketed Comments'!H:H,0)),"")</f>
        <v>Opposed, vote for something more reasonable</v>
      </c>
      <c r="M766" s="137" t="str">
        <f>IFERROR(HYPERLINK(INDEX('Docketed Comments'!G:G,MATCH(A766,'Docketed Comments'!H:H,0)),"📄 View Docket"),"")</f>
        <v>📄 View Docket</v>
      </c>
      <c r="N766" s="135" t="str">
        <f>IFERROR(INDEX('Docketed Comments'!N:N,MATCH(A766,'Docketed Comments'!H:H,0)),"")</f>
        <v>No</v>
      </c>
      <c r="O766" s="135" t="str">
        <f>IFERROR(INDEX('Docketed Comments'!L:L,MATCH(A766,'Docketed Comments'!H:H,0)),"")</f>
        <v>Y</v>
      </c>
      <c r="P766" s="136">
        <f t="shared" si="22"/>
        <v>0</v>
      </c>
      <c r="Q766" s="140" t="s">
        <v>5809</v>
      </c>
      <c r="R766" s="144">
        <v>0</v>
      </c>
    </row>
    <row r="767" spans="1:18" ht="21.95" customHeight="1">
      <c r="A767" s="71" t="s">
        <v>3098</v>
      </c>
      <c r="B767" s="69" t="s">
        <v>4887</v>
      </c>
      <c r="C767" s="70">
        <v>46067</v>
      </c>
      <c r="D767" s="69" t="s">
        <v>4888</v>
      </c>
      <c r="E767" s="69"/>
      <c r="F767" s="65" t="s">
        <v>4930</v>
      </c>
      <c r="G767" s="65"/>
      <c r="H767" s="65" t="str">
        <f>IFERROR(INDEX('Docketed Comments'!C:C,MATCH(A767,'Docketed Comments'!H:H,0))&amp;", "&amp;INDEX('Docketed Comments'!B:B,MATCH(A767,'Docketed Comments'!H:H,0)),"")</f>
        <v>Barbara, Smith</v>
      </c>
      <c r="I767" s="65" t="str">
        <f>IFERROR(INDEX('Docketed Comments'!D:D,MATCH(A767,'Docketed Comments'!H:H,0)),"")</f>
        <v>Phoenix</v>
      </c>
      <c r="J767" s="65" t="str">
        <f>IFERROR(INDEX('Docketed Comments'!I:I,MATCH(A767,'Docketed Comments'!H:H,0)),"")</f>
        <v>R-2</v>
      </c>
      <c r="K767" s="65" t="str">
        <f t="shared" si="23"/>
        <v>⚠ Frozen Rate</v>
      </c>
      <c r="L767" s="65" t="str">
        <f>IFERROR(INDEX('Docketed Comments'!F:F,MATCH(A767,'Docketed Comments'!H:H,0)),"")</f>
        <v xml:space="preserve">Form letter </v>
      </c>
      <c r="M767" s="137" t="str">
        <f>IFERROR(HYPERLINK(INDEX('Docketed Comments'!G:G,MATCH(A767,'Docketed Comments'!H:H,0)),"📄 View Docket"),"")</f>
        <v>📄 View Docket</v>
      </c>
      <c r="N767" s="135" t="str">
        <f>IFERROR(INDEX('Docketed Comments'!N:N,MATCH(A767,'Docketed Comments'!H:H,0)),"")</f>
        <v>No</v>
      </c>
      <c r="O767" s="135" t="str">
        <f>IFERROR(INDEX('Docketed Comments'!L:L,MATCH(A767,'Docketed Comments'!H:H,0)),"")</f>
        <v>Frozen Rate</v>
      </c>
      <c r="P767" s="136">
        <f t="shared" si="22"/>
        <v>0</v>
      </c>
      <c r="Q767" s="140" t="s">
        <v>5809</v>
      </c>
      <c r="R767" s="144">
        <v>0</v>
      </c>
    </row>
    <row r="768" spans="1:18" ht="21.95" customHeight="1">
      <c r="A768" s="71" t="s">
        <v>3106</v>
      </c>
      <c r="B768" s="69" t="s">
        <v>4887</v>
      </c>
      <c r="C768" s="70">
        <v>46067</v>
      </c>
      <c r="D768" s="69" t="s">
        <v>4865</v>
      </c>
      <c r="E768" s="69" t="s">
        <v>4898</v>
      </c>
      <c r="F768" s="65"/>
      <c r="G768" s="65"/>
      <c r="H768" s="65" t="str">
        <f>IFERROR(INDEX('Docketed Comments'!C:C,MATCH(A768,'Docketed Comments'!H:H,0))&amp;", "&amp;INDEX('Docketed Comments'!B:B,MATCH(A768,'Docketed Comments'!H:H,0)),"")</f>
        <v>Ariana, Flores</v>
      </c>
      <c r="I768" s="65" t="str">
        <f>IFERROR(INDEX('Docketed Comments'!D:D,MATCH(A768,'Docketed Comments'!H:H,0)),"")</f>
        <v>Phoenix</v>
      </c>
      <c r="J768" s="65" t="str">
        <f>IFERROR(INDEX('Docketed Comments'!I:I,MATCH(A768,'Docketed Comments'!H:H,0)),"")</f>
        <v>R-BASIC</v>
      </c>
      <c r="K768" s="65" t="str">
        <f t="shared" si="23"/>
        <v>✅ On Best Plan</v>
      </c>
      <c r="L768" s="65" t="str">
        <f>IFERROR(INDEX('Docketed Comments'!F:F,MATCH(A768,'Docketed Comments'!H:H,0)),"")</f>
        <v>Against the proposed rate increase</v>
      </c>
      <c r="M768" s="137" t="str">
        <f>IFERROR(HYPERLINK(INDEX('Docketed Comments'!G:G,MATCH(A768,'Docketed Comments'!H:H,0)),"📄 View Docket"),"")</f>
        <v>📄 View Docket</v>
      </c>
      <c r="N768" s="135" t="str">
        <f>IFERROR(INDEX('Docketed Comments'!N:N,MATCH(A768,'Docketed Comments'!H:H,0)),"")</f>
        <v>No</v>
      </c>
      <c r="O768" s="135" t="str">
        <f>IFERROR(INDEX('Docketed Comments'!L:L,MATCH(A768,'Docketed Comments'!H:H,0)),"")</f>
        <v>Y</v>
      </c>
      <c r="P768" s="136">
        <f t="shared" si="22"/>
        <v>0</v>
      </c>
      <c r="Q768" s="140" t="s">
        <v>5809</v>
      </c>
      <c r="R768" s="144">
        <v>0</v>
      </c>
    </row>
    <row r="769" spans="1:18" ht="21.95" customHeight="1">
      <c r="A769" s="71" t="s">
        <v>3113</v>
      </c>
      <c r="B769" s="69" t="s">
        <v>4887</v>
      </c>
      <c r="C769" s="70">
        <v>46067</v>
      </c>
      <c r="D769" s="69" t="s">
        <v>4888</v>
      </c>
      <c r="E769" s="69"/>
      <c r="F769" s="65" t="s">
        <v>4930</v>
      </c>
      <c r="G769" s="65"/>
      <c r="H769" s="65" t="str">
        <f>IFERROR(INDEX('Docketed Comments'!C:C,MATCH(A769,'Docketed Comments'!H:H,0))&amp;", "&amp;INDEX('Docketed Comments'!B:B,MATCH(A769,'Docketed Comments'!H:H,0)),"")</f>
        <v>Steve, Wittie</v>
      </c>
      <c r="I769" s="65" t="str">
        <f>IFERROR(INDEX('Docketed Comments'!D:D,MATCH(A769,'Docketed Comments'!H:H,0)),"")</f>
        <v>Scottsdale</v>
      </c>
      <c r="J769" s="65" t="str">
        <f>IFERROR(INDEX('Docketed Comments'!I:I,MATCH(A769,'Docketed Comments'!H:H,0)),"")</f>
        <v>R-XS</v>
      </c>
      <c r="K769" s="65" t="str">
        <f t="shared" si="23"/>
        <v>✅ On Best Plan</v>
      </c>
      <c r="L769" s="65" t="str">
        <f>IFERROR(INDEX('Docketed Comments'!F:F,MATCH(A769,'Docketed Comments'!H:H,0)),"")</f>
        <v>Please do not vote for the APS rate increase</v>
      </c>
      <c r="M769" s="137" t="str">
        <f>IFERROR(HYPERLINK(INDEX('Docketed Comments'!G:G,MATCH(A769,'Docketed Comments'!H:H,0)),"📄 View Docket"),"")</f>
        <v>📄 View Docket</v>
      </c>
      <c r="N769" s="135" t="str">
        <f>IFERROR(INDEX('Docketed Comments'!N:N,MATCH(A769,'Docketed Comments'!H:H,0)),"")</f>
        <v>No</v>
      </c>
      <c r="O769" s="135" t="str">
        <f>IFERROR(INDEX('Docketed Comments'!L:L,MATCH(A769,'Docketed Comments'!H:H,0)),"")</f>
        <v>Y</v>
      </c>
      <c r="P769" s="136">
        <f t="shared" si="22"/>
        <v>0</v>
      </c>
      <c r="Q769" s="140" t="s">
        <v>5809</v>
      </c>
      <c r="R769" s="144">
        <v>0</v>
      </c>
    </row>
    <row r="770" spans="1:18" ht="21.95" customHeight="1">
      <c r="A770" s="71" t="s">
        <v>3127</v>
      </c>
      <c r="B770" s="69" t="s">
        <v>4887</v>
      </c>
      <c r="C770" s="70">
        <v>46067</v>
      </c>
      <c r="D770" s="69" t="s">
        <v>4865</v>
      </c>
      <c r="E770" s="69" t="s">
        <v>4899</v>
      </c>
      <c r="F770" s="65" t="s">
        <v>5772</v>
      </c>
      <c r="G770" s="65"/>
      <c r="H770" s="65" t="str">
        <f>IFERROR(INDEX('Docketed Comments'!C:C,MATCH(A770,'Docketed Comments'!H:H,0))&amp;", "&amp;INDEX('Docketed Comments'!B:B,MATCH(A770,'Docketed Comments'!H:H,0)),"")</f>
        <v>Adam, Lagerquist</v>
      </c>
      <c r="I770" s="65" t="str">
        <f>IFERROR(INDEX('Docketed Comments'!D:D,MATCH(A770,'Docketed Comments'!H:H,0)),"")</f>
        <v>Peoria</v>
      </c>
      <c r="J770" s="65" t="str">
        <f>IFERROR(INDEX('Docketed Comments'!I:I,MATCH(A770,'Docketed Comments'!H:H,0)),"")</f>
        <v>R3-47</v>
      </c>
      <c r="K770" s="65" t="str">
        <f t="shared" si="23"/>
        <v>✅ On Best Plan</v>
      </c>
      <c r="L770" s="65" t="str">
        <f>IFERROR(INDEX('Docketed Comments'!F:F,MATCH(A770,'Docketed Comments'!H:H,0)),"")</f>
        <v>That's not a reasonable increase!</v>
      </c>
      <c r="M770" s="137" t="str">
        <f>IFERROR(HYPERLINK(INDEX('Docketed Comments'!G:G,MATCH(A770,'Docketed Comments'!H:H,0)),"📄 View Docket"),"")</f>
        <v>📄 View Docket</v>
      </c>
      <c r="N770" s="135" t="str">
        <f>IFERROR(INDEX('Docketed Comments'!N:N,MATCH(A770,'Docketed Comments'!H:H,0)),"")</f>
        <v>No</v>
      </c>
      <c r="O770" s="135" t="str">
        <f>IFERROR(INDEX('Docketed Comments'!L:L,MATCH(A770,'Docketed Comments'!H:H,0)),"")</f>
        <v>Y</v>
      </c>
      <c r="P770" s="136">
        <f t="shared" ref="P770:P833" si="24">IFERROR(IF(ISNUMBER(SEARCH("$",O770)),VALUE(SUBSTITUTE(SUBSTITUTE(MID(O770,FIND("$",O770)+1,FIND(")",O770)-FIND("$",O770)-1),",","")," ","")),VALUE(SUBSTITUTE(SUBSTITUTE(MID(O770,FIND("(",O770)+1,FIND(")",O770)-FIND("(",O770)-1),",","")," ",""))),0)</f>
        <v>0</v>
      </c>
      <c r="Q770" s="140" t="s">
        <v>5809</v>
      </c>
      <c r="R770" s="144">
        <v>0</v>
      </c>
    </row>
    <row r="771" spans="1:18" ht="21.95" customHeight="1">
      <c r="A771" s="71" t="s">
        <v>3130</v>
      </c>
      <c r="B771" s="69"/>
      <c r="C771" s="70"/>
      <c r="D771" s="69"/>
      <c r="E771" s="69"/>
      <c r="F771" s="65"/>
      <c r="G771" s="65" t="s">
        <v>5811</v>
      </c>
      <c r="H771" s="65" t="str">
        <f>IFERROR(INDEX('Docketed Comments'!C:C,MATCH(A771,'Docketed Comments'!H:H,0))&amp;", "&amp;INDEX('Docketed Comments'!B:B,MATCH(A771,'Docketed Comments'!H:H,0)),"")</f>
        <v>Robert, Rudy</v>
      </c>
      <c r="I771" s="65" t="str">
        <f>IFERROR(INDEX('Docketed Comments'!D:D,MATCH(A771,'Docketed Comments'!H:H,0)),"")</f>
        <v>Goodyear</v>
      </c>
      <c r="J771" s="65" t="str">
        <f>IFERROR(INDEX('Docketed Comments'!I:I,MATCH(A771,'Docketed Comments'!H:H,0)),"")</f>
        <v>EPR-6w/ET-2</v>
      </c>
      <c r="K771" s="65" t="str">
        <f t="shared" ref="K771:K834" si="25">IFERROR(IF(OR(LEFT(O771,2)="No",LEFT(O771,3)="Not"),"❌ Not on Best Plan",IF(OR(O771="Yes",O771="Y",O771="Yes "),"✅ On Best Plan","⚠ "&amp;O771)),"")</f>
        <v>⚠ Frozen Rate</v>
      </c>
      <c r="L771" s="65" t="str">
        <f>IFERROR(INDEX('Docketed Comments'!F:F,MATCH(A771,'Docketed Comments'!H:H,0)),"")</f>
        <v>Major hardship for my family. My solar benefits APS</v>
      </c>
      <c r="M771" s="137" t="str">
        <f>IFERROR(HYPERLINK(INDEX('Docketed Comments'!G:G,MATCH(A771,'Docketed Comments'!H:H,0)),"📄 View Docket"),"")</f>
        <v>📄 View Docket</v>
      </c>
      <c r="N771" s="135" t="str">
        <f>IFERROR(INDEX('Docketed Comments'!N:N,MATCH(A771,'Docketed Comments'!H:H,0)),"")</f>
        <v>No</v>
      </c>
      <c r="O771" s="135" t="str">
        <f>IFERROR(INDEX('Docketed Comments'!L:L,MATCH(A771,'Docketed Comments'!H:H,0)),"")</f>
        <v>Frozen Rate</v>
      </c>
      <c r="P771" s="136">
        <f t="shared" si="24"/>
        <v>0</v>
      </c>
      <c r="Q771" s="140"/>
      <c r="R771" s="144">
        <v>1</v>
      </c>
    </row>
    <row r="772" spans="1:18" ht="21.95" customHeight="1">
      <c r="A772" s="71" t="s">
        <v>3147</v>
      </c>
      <c r="B772" s="69"/>
      <c r="C772" s="70"/>
      <c r="D772" s="69"/>
      <c r="E772" s="69"/>
      <c r="F772" s="65"/>
      <c r="G772" s="65" t="s">
        <v>5811</v>
      </c>
      <c r="H772" s="65" t="str">
        <f>IFERROR(INDEX('Docketed Comments'!C:C,MATCH(A772,'Docketed Comments'!H:H,0))&amp;", "&amp;INDEX('Docketed Comments'!B:B,MATCH(A772,'Docketed Comments'!H:H,0)),"")</f>
        <v>Jane, Koval</v>
      </c>
      <c r="I772" s="65" t="str">
        <f>IFERROR(INDEX('Docketed Comments'!D:D,MATCH(A772,'Docketed Comments'!H:H,0)),"")</f>
        <v>Phoenix</v>
      </c>
      <c r="J772" s="65" t="str">
        <f>IFERROR(INDEX('Docketed Comments'!I:I,MATCH(A772,'Docketed Comments'!H:H,0)),"")</f>
        <v>R3-47</v>
      </c>
      <c r="K772" s="65" t="str">
        <f t="shared" si="25"/>
        <v>✅ On Best Plan</v>
      </c>
      <c r="L772" s="65" t="str">
        <f>IFERROR(INDEX('Docketed Comments'!F:F,MATCH(A772,'Docketed Comments'!H:H,0)),"")</f>
        <v>Supports the expansion and updates for energy infrastructure</v>
      </c>
      <c r="M772" s="137" t="str">
        <f>IFERROR(HYPERLINK(INDEX('Docketed Comments'!G:G,MATCH(A772,'Docketed Comments'!H:H,0)),"📄 View Docket"),"")</f>
        <v>📄 View Docket</v>
      </c>
      <c r="N772" s="135" t="str">
        <f>IFERROR(INDEX('Docketed Comments'!N:N,MATCH(A772,'Docketed Comments'!H:H,0)),"")</f>
        <v>No</v>
      </c>
      <c r="O772" s="135" t="str">
        <f>IFERROR(INDEX('Docketed Comments'!L:L,MATCH(A772,'Docketed Comments'!H:H,0)),"")</f>
        <v>Y</v>
      </c>
      <c r="P772" s="136">
        <f t="shared" si="24"/>
        <v>0</v>
      </c>
      <c r="Q772" s="140"/>
      <c r="R772" s="144">
        <v>1</v>
      </c>
    </row>
    <row r="773" spans="1:18" ht="21.95" customHeight="1">
      <c r="A773" s="71" t="s">
        <v>3165</v>
      </c>
      <c r="B773" s="69" t="s">
        <v>4887</v>
      </c>
      <c r="C773" s="70">
        <v>46067</v>
      </c>
      <c r="D773" s="69" t="s">
        <v>4865</v>
      </c>
      <c r="E773" s="69" t="s">
        <v>4899</v>
      </c>
      <c r="F773" s="65" t="s">
        <v>5749</v>
      </c>
      <c r="G773" s="65"/>
      <c r="H773" s="65" t="str">
        <f>IFERROR(INDEX('Docketed Comments'!C:C,MATCH(A773,'Docketed Comments'!H:H,0))&amp;", "&amp;INDEX('Docketed Comments'!B:B,MATCH(A773,'Docketed Comments'!H:H,0)),"")</f>
        <v>Nicholas, Hagen</v>
      </c>
      <c r="I773" s="65" t="str">
        <f>IFERROR(INDEX('Docketed Comments'!D:D,MATCH(A773,'Docketed Comments'!H:H,0)),"")</f>
        <v>Peoria</v>
      </c>
      <c r="J773" s="65" t="str">
        <f>IFERROR(INDEX('Docketed Comments'!I:I,MATCH(A773,'Docketed Comments'!H:H,0)),"")</f>
        <v>R3-47</v>
      </c>
      <c r="K773" s="65" t="str">
        <f t="shared" si="25"/>
        <v>✅ On Best Plan</v>
      </c>
      <c r="L773" s="65" t="str">
        <f>IFERROR(INDEX('Docketed Comments'!F:F,MATCH(A773,'Docketed Comments'!H:H,0)),"")</f>
        <v>Rates are already too high and lack of competition</v>
      </c>
      <c r="M773" s="137" t="str">
        <f>IFERROR(HYPERLINK(INDEX('Docketed Comments'!G:G,MATCH(A773,'Docketed Comments'!H:H,0)),"📄 View Docket"),"")</f>
        <v>📄 View Docket</v>
      </c>
      <c r="N773" s="135" t="str">
        <f>IFERROR(INDEX('Docketed Comments'!N:N,MATCH(A773,'Docketed Comments'!H:H,0)),"")</f>
        <v>No</v>
      </c>
      <c r="O773" s="135" t="str">
        <f>IFERROR(INDEX('Docketed Comments'!L:L,MATCH(A773,'Docketed Comments'!H:H,0)),"")</f>
        <v>Y</v>
      </c>
      <c r="P773" s="136">
        <f t="shared" si="24"/>
        <v>0</v>
      </c>
      <c r="Q773" s="140" t="s">
        <v>5809</v>
      </c>
      <c r="R773" s="144">
        <v>0</v>
      </c>
    </row>
    <row r="774" spans="1:18" ht="21.95" customHeight="1">
      <c r="A774" s="71" t="s">
        <v>3168</v>
      </c>
      <c r="B774" s="69"/>
      <c r="C774" s="70"/>
      <c r="D774" s="69"/>
      <c r="E774" s="69"/>
      <c r="F774" s="65"/>
      <c r="G774" s="65" t="s">
        <v>5811</v>
      </c>
      <c r="H774" s="65" t="str">
        <f>IFERROR(INDEX('Docketed Comments'!C:C,MATCH(A774,'Docketed Comments'!H:H,0))&amp;", "&amp;INDEX('Docketed Comments'!B:B,MATCH(A774,'Docketed Comments'!H:H,0)),"")</f>
        <v>Michael, Dayton</v>
      </c>
      <c r="I774" s="65" t="str">
        <f>IFERROR(INDEX('Docketed Comments'!D:D,MATCH(A774,'Docketed Comments'!H:H,0)),"")</f>
        <v>Goodyear</v>
      </c>
      <c r="J774" s="65" t="str">
        <f>IFERROR(INDEX('Docketed Comments'!I:I,MATCH(A774,'Docketed Comments'!H:H,0)),"")</f>
        <v>EPR-6w/ET-2</v>
      </c>
      <c r="K774" s="65" t="str">
        <f t="shared" si="25"/>
        <v>⚠ Frozen Rate</v>
      </c>
      <c r="L774" s="65" t="str">
        <f>IFERROR(INDEX('Docketed Comments'!F:F,MATCH(A774,'Docketed Comments'!H:H,0)),"")</f>
        <v>For families like mine, the continued rise in utility costs presents a significant burden.</v>
      </c>
      <c r="M774" s="137" t="str">
        <f>IFERROR(HYPERLINK(INDEX('Docketed Comments'!G:G,MATCH(A774,'Docketed Comments'!H:H,0)),"📄 View Docket"),"")</f>
        <v>📄 View Docket</v>
      </c>
      <c r="N774" s="135" t="str">
        <f>IFERROR(INDEX('Docketed Comments'!N:N,MATCH(A774,'Docketed Comments'!H:H,0)),"")</f>
        <v>No</v>
      </c>
      <c r="O774" s="135" t="str">
        <f>IFERROR(INDEX('Docketed Comments'!L:L,MATCH(A774,'Docketed Comments'!H:H,0)),"")</f>
        <v>Frozen Rate</v>
      </c>
      <c r="P774" s="136">
        <f t="shared" si="24"/>
        <v>0</v>
      </c>
      <c r="Q774" s="140"/>
      <c r="R774" s="144">
        <v>1</v>
      </c>
    </row>
    <row r="775" spans="1:18" ht="21.95" customHeight="1">
      <c r="A775" s="71" t="s">
        <v>3180</v>
      </c>
      <c r="B775" s="69" t="s">
        <v>4887</v>
      </c>
      <c r="C775" s="70">
        <v>46067</v>
      </c>
      <c r="D775" s="69" t="s">
        <v>4888</v>
      </c>
      <c r="E775" s="69"/>
      <c r="F775" s="65" t="s">
        <v>4930</v>
      </c>
      <c r="G775" s="65"/>
      <c r="H775" s="65" t="str">
        <f>IFERROR(INDEX('Docketed Comments'!C:C,MATCH(A775,'Docketed Comments'!H:H,0))&amp;", "&amp;INDEX('Docketed Comments'!B:B,MATCH(A775,'Docketed Comments'!H:H,0)),"")</f>
        <v>Kourtney, Lawson</v>
      </c>
      <c r="I775" s="65" t="str">
        <f>IFERROR(INDEX('Docketed Comments'!D:D,MATCH(A775,'Docketed Comments'!H:H,0)),"")</f>
        <v>Buckeye</v>
      </c>
      <c r="J775" s="65" t="str">
        <f>IFERROR(INDEX('Docketed Comments'!I:I,MATCH(A775,'Docketed Comments'!H:H,0)),"")</f>
        <v>R3-47</v>
      </c>
      <c r="K775" s="65" t="str">
        <f t="shared" si="25"/>
        <v>✅ On Best Plan</v>
      </c>
      <c r="L775" s="65" t="str">
        <f>IFERROR(INDEX('Docketed Comments'!F:F,MATCH(A775,'Docketed Comments'!H:H,0)),"")</f>
        <v>Form Letter: Enough is enough! You must reject the latest 14% rate hikes by APS and TEP</v>
      </c>
      <c r="M775" s="137" t="str">
        <f>IFERROR(HYPERLINK(INDEX('Docketed Comments'!G:G,MATCH(A775,'Docketed Comments'!H:H,0)),"📄 View Docket"),"")</f>
        <v>📄 View Docket</v>
      </c>
      <c r="N775" s="135" t="str">
        <f>IFERROR(INDEX('Docketed Comments'!N:N,MATCH(A775,'Docketed Comments'!H:H,0)),"")</f>
        <v>No</v>
      </c>
      <c r="O775" s="135" t="str">
        <f>IFERROR(INDEX('Docketed Comments'!L:L,MATCH(A775,'Docketed Comments'!H:H,0)),"")</f>
        <v>Y</v>
      </c>
      <c r="P775" s="136">
        <f t="shared" si="24"/>
        <v>0</v>
      </c>
      <c r="Q775" s="140" t="s">
        <v>5809</v>
      </c>
      <c r="R775" s="144">
        <v>0</v>
      </c>
    </row>
    <row r="776" spans="1:18" ht="21.95" customHeight="1">
      <c r="A776" s="71" t="s">
        <v>3186</v>
      </c>
      <c r="B776" s="69"/>
      <c r="C776" s="70"/>
      <c r="D776" s="69"/>
      <c r="E776" s="69"/>
      <c r="F776" s="65"/>
      <c r="G776" s="65" t="s">
        <v>5811</v>
      </c>
      <c r="H776" s="65" t="str">
        <f>IFERROR(INDEX('Docketed Comments'!C:C,MATCH(A776,'Docketed Comments'!H:H,0))&amp;", "&amp;INDEX('Docketed Comments'!B:B,MATCH(A776,'Docketed Comments'!H:H,0)),"")</f>
        <v>Vince, Gaietto</v>
      </c>
      <c r="I776" s="65" t="str">
        <f>IFERROR(INDEX('Docketed Comments'!D:D,MATCH(A776,'Docketed Comments'!H:H,0)),"")</f>
        <v>Surprise</v>
      </c>
      <c r="J776" s="65" t="str">
        <f>IFERROR(INDEX('Docketed Comments'!I:I,MATCH(A776,'Docketed Comments'!H:H,0)),"")</f>
        <v>R3-47</v>
      </c>
      <c r="K776" s="65" t="str">
        <f t="shared" si="25"/>
        <v>✅ On Best Plan</v>
      </c>
      <c r="L776" s="65" t="str">
        <f>IFERROR(INDEX('Docketed Comments'!F:F,MATCH(A776,'Docketed Comments'!H:H,0)),"")</f>
        <v>Form Letter: Enough is enough! You must reject the latest 14% rate hikes by APS and TEP</v>
      </c>
      <c r="M776" s="137" t="str">
        <f>IFERROR(HYPERLINK(INDEX('Docketed Comments'!G:G,MATCH(A776,'Docketed Comments'!H:H,0)),"📄 View Docket"),"")</f>
        <v>📄 View Docket</v>
      </c>
      <c r="N776" s="135" t="str">
        <f>IFERROR(INDEX('Docketed Comments'!N:N,MATCH(A776,'Docketed Comments'!H:H,0)),"")</f>
        <v>No</v>
      </c>
      <c r="O776" s="135" t="str">
        <f>IFERROR(INDEX('Docketed Comments'!L:L,MATCH(A776,'Docketed Comments'!H:H,0)),"")</f>
        <v>Y</v>
      </c>
      <c r="P776" s="136">
        <f t="shared" si="24"/>
        <v>0</v>
      </c>
      <c r="Q776" s="140"/>
      <c r="R776" s="144">
        <v>1</v>
      </c>
    </row>
    <row r="777" spans="1:18" ht="21.95" customHeight="1">
      <c r="A777" s="71" t="s">
        <v>3195</v>
      </c>
      <c r="B777" s="69"/>
      <c r="C777" s="70"/>
      <c r="D777" s="69"/>
      <c r="E777" s="69"/>
      <c r="F777" s="65"/>
      <c r="G777" s="65" t="s">
        <v>5811</v>
      </c>
      <c r="H777" s="65" t="str">
        <f>IFERROR(INDEX('Docketed Comments'!C:C,MATCH(A777,'Docketed Comments'!H:H,0))&amp;", "&amp;INDEX('Docketed Comments'!B:B,MATCH(A777,'Docketed Comments'!H:H,0)),"")</f>
        <v>Susie, Marino</v>
      </c>
      <c r="I777" s="65" t="str">
        <f>IFERROR(INDEX('Docketed Comments'!D:D,MATCH(A777,'Docketed Comments'!H:H,0)),"")</f>
        <v>Surprise</v>
      </c>
      <c r="J777" s="65" t="str">
        <f>IFERROR(INDEX('Docketed Comments'!I:I,MATCH(A777,'Docketed Comments'!H:H,0)),"")</f>
        <v>R-2</v>
      </c>
      <c r="K777" s="65" t="str">
        <f t="shared" si="25"/>
        <v>⚠ Frozen Rate</v>
      </c>
      <c r="L777" s="65" t="str">
        <f>IFERROR(INDEX('Docketed Comments'!F:F,MATCH(A777,'Docketed Comments'!H:H,0)),"")</f>
        <v>Form Letter: Enough is enough! You must reject the latest 14% rate hikes by APS and TEP</v>
      </c>
      <c r="M777" s="137" t="str">
        <f>IFERROR(HYPERLINK(INDEX('Docketed Comments'!G:G,MATCH(A777,'Docketed Comments'!H:H,0)),"📄 View Docket"),"")</f>
        <v>📄 View Docket</v>
      </c>
      <c r="N777" s="135" t="str">
        <f>IFERROR(INDEX('Docketed Comments'!N:N,MATCH(A777,'Docketed Comments'!H:H,0)),"")</f>
        <v>No</v>
      </c>
      <c r="O777" s="135" t="str">
        <f>IFERROR(INDEX('Docketed Comments'!L:L,MATCH(A777,'Docketed Comments'!H:H,0)),"")</f>
        <v>Frozen Rate</v>
      </c>
      <c r="P777" s="136">
        <f t="shared" si="24"/>
        <v>0</v>
      </c>
      <c r="Q777" s="140"/>
      <c r="R777" s="144">
        <v>1</v>
      </c>
    </row>
    <row r="778" spans="1:18" ht="21.95" customHeight="1">
      <c r="A778" s="71" t="s">
        <v>3199</v>
      </c>
      <c r="B778" s="69" t="s">
        <v>4887</v>
      </c>
      <c r="C778" s="70">
        <v>46067</v>
      </c>
      <c r="D778" s="69" t="s">
        <v>4865</v>
      </c>
      <c r="E778" s="69"/>
      <c r="F778" s="65" t="s">
        <v>5720</v>
      </c>
      <c r="G778" s="65"/>
      <c r="H778" s="65" t="str">
        <f>IFERROR(INDEX('Docketed Comments'!C:C,MATCH(A778,'Docketed Comments'!H:H,0))&amp;", "&amp;INDEX('Docketed Comments'!B:B,MATCH(A778,'Docketed Comments'!H:H,0)),"")</f>
        <v>Kristen, Hughes</v>
      </c>
      <c r="I778" s="65" t="str">
        <f>IFERROR(INDEX('Docketed Comments'!D:D,MATCH(A778,'Docketed Comments'!H:H,0)),"")</f>
        <v>Phoenix</v>
      </c>
      <c r="J778" s="65" t="str">
        <f>IFERROR(INDEX('Docketed Comments'!I:I,MATCH(A778,'Docketed Comments'!H:H,0)),"")</f>
        <v>R-XS</v>
      </c>
      <c r="K778" s="65" t="str">
        <f t="shared" si="25"/>
        <v>✅ On Best Plan</v>
      </c>
      <c r="L778" s="65" t="str">
        <f>IFERROR(INDEX('Docketed Comments'!F:F,MATCH(A778,'Docketed Comments'!H:H,0)),"")</f>
        <v>Form Letter: Enough is enough! You must reject the latest 14% rate hikes by APS and TEP</v>
      </c>
      <c r="M778" s="137" t="str">
        <f>IFERROR(HYPERLINK(INDEX('Docketed Comments'!G:G,MATCH(A778,'Docketed Comments'!H:H,0)),"📄 View Docket"),"")</f>
        <v>📄 View Docket</v>
      </c>
      <c r="N778" s="135" t="str">
        <f>IFERROR(INDEX('Docketed Comments'!N:N,MATCH(A778,'Docketed Comments'!H:H,0)),"")</f>
        <v>No</v>
      </c>
      <c r="O778" s="135" t="str">
        <f>IFERROR(INDEX('Docketed Comments'!L:L,MATCH(A778,'Docketed Comments'!H:H,0)),"")</f>
        <v>Y</v>
      </c>
      <c r="P778" s="136">
        <f t="shared" si="24"/>
        <v>0</v>
      </c>
      <c r="Q778" s="140" t="s">
        <v>5809</v>
      </c>
      <c r="R778" s="144">
        <v>0</v>
      </c>
    </row>
    <row r="779" spans="1:18" ht="21.95" customHeight="1">
      <c r="A779" s="71" t="s">
        <v>3204</v>
      </c>
      <c r="B779" s="69"/>
      <c r="C779" s="70"/>
      <c r="D779" s="69"/>
      <c r="E779" s="69"/>
      <c r="F779" s="65"/>
      <c r="G779" s="65" t="s">
        <v>5811</v>
      </c>
      <c r="H779" s="65" t="str">
        <f>IFERROR(INDEX('Docketed Comments'!C:C,MATCH(A779,'Docketed Comments'!H:H,0))&amp;", "&amp;INDEX('Docketed Comments'!B:B,MATCH(A779,'Docketed Comments'!H:H,0)),"")</f>
        <v>Russell, Jaffe</v>
      </c>
      <c r="I779" s="65" t="str">
        <f>IFERROR(INDEX('Docketed Comments'!D:D,MATCH(A779,'Docketed Comments'!H:H,0)),"")</f>
        <v>Buckeye</v>
      </c>
      <c r="J779" s="65" t="str">
        <f>IFERROR(INDEX('Docketed Comments'!I:I,MATCH(A779,'Docketed Comments'!H:H,0)),"")</f>
        <v>R3-47</v>
      </c>
      <c r="K779" s="65" t="str">
        <f t="shared" si="25"/>
        <v>✅ On Best Plan</v>
      </c>
      <c r="L779" s="65" t="str">
        <f>IFERROR(INDEX('Docketed Comments'!F:F,MATCH(A779,'Docketed Comments'!H:H,0)),"")</f>
        <v>This is an insane request in these challenging times</v>
      </c>
      <c r="M779" s="137" t="str">
        <f>IFERROR(HYPERLINK(INDEX('Docketed Comments'!G:G,MATCH(A779,'Docketed Comments'!H:H,0)),"📄 View Docket"),"")</f>
        <v>📄 View Docket</v>
      </c>
      <c r="N779" s="135" t="str">
        <f>IFERROR(INDEX('Docketed Comments'!N:N,MATCH(A779,'Docketed Comments'!H:H,0)),"")</f>
        <v>No</v>
      </c>
      <c r="O779" s="135" t="str">
        <f>IFERROR(INDEX('Docketed Comments'!L:L,MATCH(A779,'Docketed Comments'!H:H,0)),"")</f>
        <v>Y</v>
      </c>
      <c r="P779" s="136">
        <f t="shared" si="24"/>
        <v>0</v>
      </c>
      <c r="Q779" s="140"/>
      <c r="R779" s="144">
        <v>1</v>
      </c>
    </row>
    <row r="780" spans="1:18" ht="21.95" customHeight="1">
      <c r="A780" s="71" t="s">
        <v>3209</v>
      </c>
      <c r="B780" s="69" t="s">
        <v>4887</v>
      </c>
      <c r="C780" s="70">
        <v>46067</v>
      </c>
      <c r="D780" s="69" t="s">
        <v>4888</v>
      </c>
      <c r="E780" s="69"/>
      <c r="F780" s="65" t="s">
        <v>4930</v>
      </c>
      <c r="G780" s="65"/>
      <c r="H780" s="65" t="str">
        <f>IFERROR(INDEX('Docketed Comments'!C:C,MATCH(A780,'Docketed Comments'!H:H,0))&amp;", "&amp;INDEX('Docketed Comments'!B:B,MATCH(A780,'Docketed Comments'!H:H,0)),"")</f>
        <v>Katie, Allen</v>
      </c>
      <c r="I780" s="65" t="str">
        <f>IFERROR(INDEX('Docketed Comments'!D:D,MATCH(A780,'Docketed Comments'!H:H,0)),"")</f>
        <v>Phoenix</v>
      </c>
      <c r="J780" s="65" t="str">
        <f>IFERROR(INDEX('Docketed Comments'!I:I,MATCH(A780,'Docketed Comments'!H:H,0)),"")</f>
        <v>EPR-6w/E-12</v>
      </c>
      <c r="K780" s="65" t="str">
        <f t="shared" si="25"/>
        <v>⚠ Frozen Rate</v>
      </c>
      <c r="L780" s="65" t="str">
        <f>IFERROR(INDEX('Docketed Comments'!F:F,MATCH(A780,'Docketed Comments'!H:H,0)),"")</f>
        <v>Form Letter: Enough is enough! You must reject the latest 14% rate hikes by APS and TEP</v>
      </c>
      <c r="M780" s="137" t="str">
        <f>IFERROR(HYPERLINK(INDEX('Docketed Comments'!G:G,MATCH(A780,'Docketed Comments'!H:H,0)),"📄 View Docket"),"")</f>
        <v>📄 View Docket</v>
      </c>
      <c r="N780" s="135" t="str">
        <f>IFERROR(INDEX('Docketed Comments'!N:N,MATCH(A780,'Docketed Comments'!H:H,0)),"")</f>
        <v>No</v>
      </c>
      <c r="O780" s="135" t="str">
        <f>IFERROR(INDEX('Docketed Comments'!L:L,MATCH(A780,'Docketed Comments'!H:H,0)),"")</f>
        <v>Frozen Rate</v>
      </c>
      <c r="P780" s="136">
        <f t="shared" si="24"/>
        <v>0</v>
      </c>
      <c r="Q780" s="140" t="s">
        <v>5809</v>
      </c>
      <c r="R780" s="144">
        <v>0</v>
      </c>
    </row>
    <row r="781" spans="1:18" ht="21.95" customHeight="1">
      <c r="A781" s="71" t="s">
        <v>3211</v>
      </c>
      <c r="B781" s="69"/>
      <c r="C781" s="70"/>
      <c r="D781" s="69"/>
      <c r="E781" s="69"/>
      <c r="F781" s="65"/>
      <c r="G781" s="65" t="s">
        <v>5811</v>
      </c>
      <c r="H781" s="65" t="str">
        <f>IFERROR(INDEX('Docketed Comments'!C:C,MATCH(A781,'Docketed Comments'!H:H,0))&amp;", "&amp;INDEX('Docketed Comments'!B:B,MATCH(A781,'Docketed Comments'!H:H,0)),"")</f>
        <v>Felicia, Anderson</v>
      </c>
      <c r="I781" s="65" t="str">
        <f>IFERROR(INDEX('Docketed Comments'!D:D,MATCH(A781,'Docketed Comments'!H:H,0)),"")</f>
        <v>Coolidge</v>
      </c>
      <c r="J781" s="65" t="str">
        <f>IFERROR(INDEX('Docketed Comments'!I:I,MATCH(A781,'Docketed Comments'!H:H,0)),"")</f>
        <v>R3-47</v>
      </c>
      <c r="K781" s="65" t="str">
        <f t="shared" si="25"/>
        <v>✅ On Best Plan</v>
      </c>
      <c r="L781" s="65" t="str">
        <f>IFERROR(INDEX('Docketed Comments'!F:F,MATCH(A781,'Docketed Comments'!H:H,0)),"")</f>
        <v>Form Letter: Enough is enough! You must reject the latest 14% rate hikes by APS and TEP</v>
      </c>
      <c r="M781" s="137" t="str">
        <f>IFERROR(HYPERLINK(INDEX('Docketed Comments'!G:G,MATCH(A781,'Docketed Comments'!H:H,0)),"📄 View Docket"),"")</f>
        <v>📄 View Docket</v>
      </c>
      <c r="N781" s="135" t="str">
        <f>IFERROR(INDEX('Docketed Comments'!N:N,MATCH(A781,'Docketed Comments'!H:H,0)),"")</f>
        <v>No</v>
      </c>
      <c r="O781" s="135" t="str">
        <f>IFERROR(INDEX('Docketed Comments'!L:L,MATCH(A781,'Docketed Comments'!H:H,0)),"")</f>
        <v>Y</v>
      </c>
      <c r="P781" s="136">
        <f t="shared" si="24"/>
        <v>0</v>
      </c>
      <c r="Q781" s="140"/>
      <c r="R781" s="144">
        <v>1</v>
      </c>
    </row>
    <row r="782" spans="1:18" ht="21.95" customHeight="1">
      <c r="A782" s="71" t="s">
        <v>3212</v>
      </c>
      <c r="B782" s="69" t="s">
        <v>4887</v>
      </c>
      <c r="C782" s="70">
        <v>46067</v>
      </c>
      <c r="D782" s="69" t="s">
        <v>4888</v>
      </c>
      <c r="E782" s="69"/>
      <c r="F782" s="65" t="s">
        <v>4930</v>
      </c>
      <c r="G782" s="65"/>
      <c r="H782" s="65" t="str">
        <f>IFERROR(INDEX('Docketed Comments'!C:C,MATCH(A782,'Docketed Comments'!H:H,0))&amp;", "&amp;INDEX('Docketed Comments'!B:B,MATCH(A782,'Docketed Comments'!H:H,0)),"")</f>
        <v>Madison, Johnson</v>
      </c>
      <c r="I782" s="65" t="str">
        <f>IFERROR(INDEX('Docketed Comments'!D:D,MATCH(A782,'Docketed Comments'!H:H,0)),"")</f>
        <v>Peoria</v>
      </c>
      <c r="J782" s="65" t="str">
        <f>IFERROR(INDEX('Docketed Comments'!I:I,MATCH(A782,'Docketed Comments'!H:H,0)),"")</f>
        <v>R3-47</v>
      </c>
      <c r="K782" s="65" t="str">
        <f t="shared" si="25"/>
        <v>✅ On Best Plan</v>
      </c>
      <c r="L782" s="65" t="str">
        <f>IFERROR(INDEX('Docketed Comments'!F:F,MATCH(A782,'Docketed Comments'!H:H,0)),"")</f>
        <v>Form Letter: Enough is enough! You must reject the latest 14% rate hikes by APS and TEP</v>
      </c>
      <c r="M782" s="137" t="str">
        <f>IFERROR(HYPERLINK(INDEX('Docketed Comments'!G:G,MATCH(A782,'Docketed Comments'!H:H,0)),"📄 View Docket"),"")</f>
        <v>📄 View Docket</v>
      </c>
      <c r="N782" s="135" t="str">
        <f>IFERROR(INDEX('Docketed Comments'!N:N,MATCH(A782,'Docketed Comments'!H:H,0)),"")</f>
        <v>No</v>
      </c>
      <c r="O782" s="135" t="str">
        <f>IFERROR(INDEX('Docketed Comments'!L:L,MATCH(A782,'Docketed Comments'!H:H,0)),"")</f>
        <v>Y</v>
      </c>
      <c r="P782" s="136">
        <f t="shared" si="24"/>
        <v>0</v>
      </c>
      <c r="Q782" s="140" t="s">
        <v>5809</v>
      </c>
      <c r="R782" s="144">
        <v>0</v>
      </c>
    </row>
    <row r="783" spans="1:18" ht="21.95" customHeight="1">
      <c r="A783" s="71" t="s">
        <v>3216</v>
      </c>
      <c r="B783" s="69"/>
      <c r="C783" s="70"/>
      <c r="D783" s="69"/>
      <c r="E783" s="69"/>
      <c r="F783" s="65"/>
      <c r="G783" s="65" t="s">
        <v>5811</v>
      </c>
      <c r="H783" s="65" t="str">
        <f>IFERROR(INDEX('Docketed Comments'!C:C,MATCH(A783,'Docketed Comments'!H:H,0))&amp;", "&amp;INDEX('Docketed Comments'!B:B,MATCH(A783,'Docketed Comments'!H:H,0)),"")</f>
        <v>Alexandria, Medina</v>
      </c>
      <c r="I783" s="65" t="str">
        <f>IFERROR(INDEX('Docketed Comments'!D:D,MATCH(A783,'Docketed Comments'!H:H,0)),"")</f>
        <v>Buckeye</v>
      </c>
      <c r="J783" s="65" t="str">
        <f>IFERROR(INDEX('Docketed Comments'!I:I,MATCH(A783,'Docketed Comments'!H:H,0)),"")</f>
        <v>ER-6w/ET-2</v>
      </c>
      <c r="K783" s="65" t="str">
        <f t="shared" si="25"/>
        <v>⚠ Frozen Rate</v>
      </c>
      <c r="L783" s="65" t="str">
        <f>IFERROR(INDEX('Docketed Comments'!F:F,MATCH(A783,'Docketed Comments'!H:H,0)),"")</f>
        <v>Form Letter: Enough is enough! You must reject the latest 14% rate hikes by APS and TEP</v>
      </c>
      <c r="M783" s="137" t="str">
        <f>IFERROR(HYPERLINK(INDEX('Docketed Comments'!G:G,MATCH(A783,'Docketed Comments'!H:H,0)),"📄 View Docket"),"")</f>
        <v>📄 View Docket</v>
      </c>
      <c r="N783" s="135" t="str">
        <f>IFERROR(INDEX('Docketed Comments'!N:N,MATCH(A783,'Docketed Comments'!H:H,0)),"")</f>
        <v>No</v>
      </c>
      <c r="O783" s="135" t="str">
        <f>IFERROR(INDEX('Docketed Comments'!L:L,MATCH(A783,'Docketed Comments'!H:H,0)),"")</f>
        <v>Frozen Rate</v>
      </c>
      <c r="P783" s="136">
        <f t="shared" si="24"/>
        <v>0</v>
      </c>
      <c r="Q783" s="140"/>
      <c r="R783" s="144">
        <v>1</v>
      </c>
    </row>
    <row r="784" spans="1:18" ht="21.95" customHeight="1">
      <c r="A784" s="71" t="s">
        <v>3232</v>
      </c>
      <c r="B784" s="69" t="s">
        <v>4887</v>
      </c>
      <c r="C784" s="70">
        <v>46067</v>
      </c>
      <c r="D784" s="69" t="s">
        <v>4888</v>
      </c>
      <c r="E784" s="69"/>
      <c r="F784" s="65" t="s">
        <v>4930</v>
      </c>
      <c r="G784" s="65"/>
      <c r="H784" s="65" t="str">
        <f>IFERROR(INDEX('Docketed Comments'!C:C,MATCH(A784,'Docketed Comments'!H:H,0))&amp;", "&amp;INDEX('Docketed Comments'!B:B,MATCH(A784,'Docketed Comments'!H:H,0)),"")</f>
        <v>Nathan, Fisher</v>
      </c>
      <c r="I784" s="65" t="str">
        <f>IFERROR(INDEX('Docketed Comments'!D:D,MATCH(A784,'Docketed Comments'!H:H,0)),"")</f>
        <v>Phoenix</v>
      </c>
      <c r="J784" s="65" t="str">
        <f>IFERROR(INDEX('Docketed Comments'!I:I,MATCH(A784,'Docketed Comments'!H:H,0)),"")</f>
        <v>R3-47</v>
      </c>
      <c r="K784" s="65" t="str">
        <f t="shared" si="25"/>
        <v>✅ On Best Plan</v>
      </c>
      <c r="L784" s="65" t="str">
        <f>IFERROR(INDEX('Docketed Comments'!F:F,MATCH(A784,'Docketed Comments'!H:H,0)),"")</f>
        <v>16% increase is egregious</v>
      </c>
      <c r="M784" s="137" t="str">
        <f>IFERROR(HYPERLINK(INDEX('Docketed Comments'!G:G,MATCH(A784,'Docketed Comments'!H:H,0)),"📄 View Docket"),"")</f>
        <v>📄 View Docket</v>
      </c>
      <c r="N784" s="135" t="str">
        <f>IFERROR(INDEX('Docketed Comments'!N:N,MATCH(A784,'Docketed Comments'!H:H,0)),"")</f>
        <v>No</v>
      </c>
      <c r="O784" s="135" t="str">
        <f>IFERROR(INDEX('Docketed Comments'!L:L,MATCH(A784,'Docketed Comments'!H:H,0)),"")</f>
        <v>Yes</v>
      </c>
      <c r="P784" s="136">
        <f t="shared" si="24"/>
        <v>0</v>
      </c>
      <c r="Q784" s="140" t="s">
        <v>5809</v>
      </c>
      <c r="R784" s="144">
        <v>0</v>
      </c>
    </row>
    <row r="785" spans="1:18" ht="21.95" customHeight="1">
      <c r="A785" s="71" t="s">
        <v>3242</v>
      </c>
      <c r="B785" s="69"/>
      <c r="C785" s="70"/>
      <c r="D785" s="69"/>
      <c r="E785" s="69"/>
      <c r="F785" s="65"/>
      <c r="G785" s="65" t="s">
        <v>5811</v>
      </c>
      <c r="H785" s="65" t="str">
        <f>IFERROR(INDEX('Docketed Comments'!C:C,MATCH(A785,'Docketed Comments'!H:H,0))&amp;", "&amp;INDEX('Docketed Comments'!B:B,MATCH(A785,'Docketed Comments'!H:H,0)),"")</f>
        <v>Michael, Sundell</v>
      </c>
      <c r="I785" s="65" t="str">
        <f>IFERROR(INDEX('Docketed Comments'!D:D,MATCH(A785,'Docketed Comments'!H:H,0)),"")</f>
        <v>Sun City West</v>
      </c>
      <c r="J785" s="65" t="str">
        <f>IFERROR(INDEX('Docketed Comments'!I:I,MATCH(A785,'Docketed Comments'!H:H,0)),"")</f>
        <v>R-2</v>
      </c>
      <c r="K785" s="65" t="str">
        <f t="shared" si="25"/>
        <v>⚠ Frozen Rate</v>
      </c>
      <c r="L785" s="65" t="str">
        <f>IFERROR(INDEX('Docketed Comments'!F:F,MATCH(A785,'Docketed Comments'!H:H,0)),"")</f>
        <v>As a senior citizen, this rate increase request will directly affect my financial situation.</v>
      </c>
      <c r="M785" s="137" t="str">
        <f>IFERROR(HYPERLINK(INDEX('Docketed Comments'!G:G,MATCH(A785,'Docketed Comments'!H:H,0)),"📄 View Docket"),"")</f>
        <v>📄 View Docket</v>
      </c>
      <c r="N785" s="135" t="str">
        <f>IFERROR(INDEX('Docketed Comments'!N:N,MATCH(A785,'Docketed Comments'!H:H,0)),"")</f>
        <v>No</v>
      </c>
      <c r="O785" s="135" t="str">
        <f>IFERROR(INDEX('Docketed Comments'!L:L,MATCH(A785,'Docketed Comments'!H:H,0)),"")</f>
        <v>Frozen Rate</v>
      </c>
      <c r="P785" s="136">
        <f t="shared" si="24"/>
        <v>0</v>
      </c>
      <c r="Q785" s="140"/>
      <c r="R785" s="144">
        <v>1</v>
      </c>
    </row>
    <row r="786" spans="1:18" ht="21.95" customHeight="1">
      <c r="A786" s="71" t="s">
        <v>3252</v>
      </c>
      <c r="B786" s="69" t="s">
        <v>4887</v>
      </c>
      <c r="C786" s="70">
        <v>46067</v>
      </c>
      <c r="D786" s="69" t="s">
        <v>4865</v>
      </c>
      <c r="E786" s="69" t="s">
        <v>4898</v>
      </c>
      <c r="F786" s="65"/>
      <c r="G786" s="65"/>
      <c r="H786" s="65" t="str">
        <f>IFERROR(INDEX('Docketed Comments'!C:C,MATCH(A786,'Docketed Comments'!H:H,0))&amp;", "&amp;INDEX('Docketed Comments'!B:B,MATCH(A786,'Docketed Comments'!H:H,0)),"")</f>
        <v>Carol, Stines</v>
      </c>
      <c r="I786" s="65" t="str">
        <f>IFERROR(INDEX('Docketed Comments'!D:D,MATCH(A786,'Docketed Comments'!H:H,0)),"")</f>
        <v>Unknown</v>
      </c>
      <c r="J786" s="65" t="str">
        <f>IFERROR(INDEX('Docketed Comments'!I:I,MATCH(A786,'Docketed Comments'!H:H,0)),"")</f>
        <v>R-BASIC</v>
      </c>
      <c r="K786" s="65" t="str">
        <f t="shared" si="25"/>
        <v>✅ On Best Plan</v>
      </c>
      <c r="L786" s="65" t="str">
        <f>IFERROR(INDEX('Docketed Comments'!F:F,MATCH(A786,'Docketed Comments'!H:H,0)),"")</f>
        <v>Stop net zero plans</v>
      </c>
      <c r="M786" s="137" t="str">
        <f>IFERROR(HYPERLINK(INDEX('Docketed Comments'!G:G,MATCH(A786,'Docketed Comments'!H:H,0)),"📄 View Docket"),"")</f>
        <v>📄 View Docket</v>
      </c>
      <c r="N786" s="135" t="str">
        <f>IFERROR(INDEX('Docketed Comments'!N:N,MATCH(A786,'Docketed Comments'!H:H,0)),"")</f>
        <v>No</v>
      </c>
      <c r="O786" s="135" t="str">
        <f>IFERROR(INDEX('Docketed Comments'!L:L,MATCH(A786,'Docketed Comments'!H:H,0)),"")</f>
        <v>Yes</v>
      </c>
      <c r="P786" s="136">
        <f t="shared" si="24"/>
        <v>0</v>
      </c>
      <c r="Q786" s="140" t="s">
        <v>5809</v>
      </c>
      <c r="R786" s="144">
        <v>0</v>
      </c>
    </row>
    <row r="787" spans="1:18" ht="21.95" customHeight="1">
      <c r="A787" s="71" t="s">
        <v>3257</v>
      </c>
      <c r="B787" s="69"/>
      <c r="C787" s="70"/>
      <c r="D787" s="69"/>
      <c r="E787" s="69"/>
      <c r="F787" s="65"/>
      <c r="G787" s="65" t="s">
        <v>5811</v>
      </c>
      <c r="H787" s="65" t="str">
        <f>IFERROR(INDEX('Docketed Comments'!C:C,MATCH(A787,'Docketed Comments'!H:H,0))&amp;", "&amp;INDEX('Docketed Comments'!B:B,MATCH(A787,'Docketed Comments'!H:H,0)),"")</f>
        <v>Greg, Thompson</v>
      </c>
      <c r="I787" s="65" t="str">
        <f>IFERROR(INDEX('Docketed Comments'!D:D,MATCH(A787,'Docketed Comments'!H:H,0)),"")</f>
        <v>Glendale</v>
      </c>
      <c r="J787" s="65" t="str">
        <f>IFERROR(INDEX('Docketed Comments'!I:I,MATCH(A787,'Docketed Comments'!H:H,0)),"")</f>
        <v>RCPw/RTOUE47</v>
      </c>
      <c r="K787" s="65" t="str">
        <f t="shared" si="25"/>
        <v>✅ On Best Plan</v>
      </c>
      <c r="L787" s="65" t="str">
        <f>IFERROR(INDEX('Docketed Comments'!F:F,MATCH(A787,'Docketed Comments'!H:H,0)),"")</f>
        <v>Form Letter: Enough is enough! You must reject the latest 14% rate hikes by APS and TEP</v>
      </c>
      <c r="M787" s="137" t="str">
        <f>IFERROR(HYPERLINK(INDEX('Docketed Comments'!G:G,MATCH(A787,'Docketed Comments'!H:H,0)),"📄 View Docket"),"")</f>
        <v>📄 View Docket</v>
      </c>
      <c r="N787" s="135" t="str">
        <f>IFERROR(INDEX('Docketed Comments'!N:N,MATCH(A787,'Docketed Comments'!H:H,0)),"")</f>
        <v>No</v>
      </c>
      <c r="O787" s="135" t="str">
        <f>IFERROR(INDEX('Docketed Comments'!L:L,MATCH(A787,'Docketed Comments'!H:H,0)),"")</f>
        <v>Yes</v>
      </c>
      <c r="P787" s="136">
        <f t="shared" si="24"/>
        <v>0</v>
      </c>
      <c r="Q787" s="140"/>
      <c r="R787" s="144">
        <v>1</v>
      </c>
    </row>
    <row r="788" spans="1:18" ht="21.95" customHeight="1">
      <c r="A788" s="71" t="s">
        <v>3267</v>
      </c>
      <c r="B788" s="69" t="s">
        <v>4887</v>
      </c>
      <c r="C788" s="70">
        <v>46067</v>
      </c>
      <c r="D788" s="69" t="s">
        <v>4888</v>
      </c>
      <c r="E788" s="69"/>
      <c r="F788" s="65" t="s">
        <v>4930</v>
      </c>
      <c r="G788" s="65"/>
      <c r="H788" s="65" t="str">
        <f>IFERROR(INDEX('Docketed Comments'!C:C,MATCH(A788,'Docketed Comments'!H:H,0))&amp;", "&amp;INDEX('Docketed Comments'!B:B,MATCH(A788,'Docketed Comments'!H:H,0)),"")</f>
        <v>Richard, Nacinovich</v>
      </c>
      <c r="I788" s="65" t="str">
        <f>IFERROR(INDEX('Docketed Comments'!D:D,MATCH(A788,'Docketed Comments'!H:H,0)),"")</f>
        <v>Phoenix</v>
      </c>
      <c r="J788" s="65" t="str">
        <f>IFERROR(INDEX('Docketed Comments'!I:I,MATCH(A788,'Docketed Comments'!H:H,0)),"")</f>
        <v>R3-47</v>
      </c>
      <c r="K788" s="65" t="str">
        <f t="shared" si="25"/>
        <v>✅ On Best Plan</v>
      </c>
      <c r="L788" s="65" t="str">
        <f>IFERROR(INDEX('Docketed Comments'!F:F,MATCH(A788,'Docketed Comments'!H:H,0)),"")</f>
        <v>reject this proposed rate increase and to ensure that the financial responsibility for new grid demand falls on the businesses creating i</v>
      </c>
      <c r="M788" s="137" t="str">
        <f>IFERROR(HYPERLINK(INDEX('Docketed Comments'!G:G,MATCH(A788,'Docketed Comments'!H:H,0)),"📄 View Docket"),"")</f>
        <v>📄 View Docket</v>
      </c>
      <c r="N788" s="135" t="str">
        <f>IFERROR(INDEX('Docketed Comments'!N:N,MATCH(A788,'Docketed Comments'!H:H,0)),"")</f>
        <v>No</v>
      </c>
      <c r="O788" s="135" t="str">
        <f>IFERROR(INDEX('Docketed Comments'!L:L,MATCH(A788,'Docketed Comments'!H:H,0)),"")</f>
        <v>Yes</v>
      </c>
      <c r="P788" s="136">
        <f t="shared" si="24"/>
        <v>0</v>
      </c>
      <c r="Q788" s="140" t="s">
        <v>5809</v>
      </c>
      <c r="R788" s="144">
        <v>0</v>
      </c>
    </row>
    <row r="789" spans="1:18" ht="21.95" customHeight="1">
      <c r="A789" s="71" t="s">
        <v>3270</v>
      </c>
      <c r="B789" s="69"/>
      <c r="C789" s="70"/>
      <c r="D789" s="69"/>
      <c r="E789" s="69"/>
      <c r="F789" s="65"/>
      <c r="G789" s="65" t="s">
        <v>5811</v>
      </c>
      <c r="H789" s="65" t="str">
        <f>IFERROR(INDEX('Docketed Comments'!C:C,MATCH(A789,'Docketed Comments'!H:H,0))&amp;", "&amp;INDEX('Docketed Comments'!B:B,MATCH(A789,'Docketed Comments'!H:H,0)),"")</f>
        <v>John, Drobnica</v>
      </c>
      <c r="I789" s="65" t="str">
        <f>IFERROR(INDEX('Docketed Comments'!D:D,MATCH(A789,'Docketed Comments'!H:H,0)),"")</f>
        <v>Cottonwood</v>
      </c>
      <c r="J789" s="65" t="str">
        <f>IFERROR(INDEX('Docketed Comments'!I:I,MATCH(A789,'Docketed Comments'!H:H,0)),"")</f>
        <v>R-2</v>
      </c>
      <c r="K789" s="65" t="str">
        <f t="shared" si="25"/>
        <v>⚠ Frozen Rate</v>
      </c>
      <c r="L789" s="65" t="str">
        <f>IFERROR(INDEX('Docketed Comments'!F:F,MATCH(A789,'Docketed Comments'!H:H,0)),"")</f>
        <v>Many customers are on a fixed income that isn't growing with the rates APS, Focus on providing safe, reliable and affordable energy not corporate philanthropy</v>
      </c>
      <c r="M789" s="137" t="str">
        <f>IFERROR(HYPERLINK(INDEX('Docketed Comments'!G:G,MATCH(A789,'Docketed Comments'!H:H,0)),"📄 View Docket"),"")</f>
        <v>📄 View Docket</v>
      </c>
      <c r="N789" s="135" t="str">
        <f>IFERROR(INDEX('Docketed Comments'!N:N,MATCH(A789,'Docketed Comments'!H:H,0)),"")</f>
        <v>No</v>
      </c>
      <c r="O789" s="135" t="str">
        <f>IFERROR(INDEX('Docketed Comments'!L:L,MATCH(A789,'Docketed Comments'!H:H,0)),"")</f>
        <v>Frozen Rate</v>
      </c>
      <c r="P789" s="136">
        <f t="shared" si="24"/>
        <v>0</v>
      </c>
      <c r="Q789" s="140"/>
      <c r="R789" s="144">
        <v>1</v>
      </c>
    </row>
    <row r="790" spans="1:18" ht="21.95" customHeight="1">
      <c r="A790" s="71" t="s">
        <v>3275</v>
      </c>
      <c r="B790" s="69" t="s">
        <v>4887</v>
      </c>
      <c r="C790" s="70">
        <v>46067</v>
      </c>
      <c r="D790" s="69" t="s">
        <v>4865</v>
      </c>
      <c r="E790" s="69" t="s">
        <v>4899</v>
      </c>
      <c r="F790" s="65" t="s">
        <v>5747</v>
      </c>
      <c r="G790" s="65"/>
      <c r="H790" s="65" t="str">
        <f>IFERROR(INDEX('Docketed Comments'!C:C,MATCH(A790,'Docketed Comments'!H:H,0))&amp;", "&amp;INDEX('Docketed Comments'!B:B,MATCH(A790,'Docketed Comments'!H:H,0)),"")</f>
        <v>Norm, Susser</v>
      </c>
      <c r="I790" s="65" t="str">
        <f>IFERROR(INDEX('Docketed Comments'!D:D,MATCH(A790,'Docketed Comments'!H:H,0)),"")</f>
        <v>Cave Creek</v>
      </c>
      <c r="J790" s="65" t="str">
        <f>IFERROR(INDEX('Docketed Comments'!I:I,MATCH(A790,'Docketed Comments'!H:H,0)),"")</f>
        <v>R3-47</v>
      </c>
      <c r="K790" s="65" t="str">
        <f t="shared" si="25"/>
        <v>✅ On Best Plan</v>
      </c>
      <c r="L790" s="65" t="str">
        <f>IFERROR(INDEX('Docketed Comments'!F:F,MATCH(A790,'Docketed Comments'!H:H,0)),"")</f>
        <v>Fees, taxes, surcharges and adjustors seem excessive</v>
      </c>
      <c r="M790" s="137" t="str">
        <f>IFERROR(HYPERLINK(INDEX('Docketed Comments'!G:G,MATCH(A790,'Docketed Comments'!H:H,0)),"📄 View Docket"),"")</f>
        <v>📄 View Docket</v>
      </c>
      <c r="N790" s="135" t="str">
        <f>IFERROR(INDEX('Docketed Comments'!N:N,MATCH(A790,'Docketed Comments'!H:H,0)),"")</f>
        <v>No</v>
      </c>
      <c r="O790" s="135" t="str">
        <f>IFERROR(INDEX('Docketed Comments'!L:L,MATCH(A790,'Docketed Comments'!H:H,0)),"")</f>
        <v>Yes</v>
      </c>
      <c r="P790" s="136">
        <f t="shared" si="24"/>
        <v>0</v>
      </c>
      <c r="Q790" s="140" t="s">
        <v>5809</v>
      </c>
      <c r="R790" s="144">
        <v>0</v>
      </c>
    </row>
    <row r="791" spans="1:18" ht="21.95" customHeight="1">
      <c r="A791" s="71" t="s">
        <v>3312</v>
      </c>
      <c r="B791" s="69"/>
      <c r="C791" s="70"/>
      <c r="D791" s="69"/>
      <c r="E791" s="69"/>
      <c r="F791" s="65"/>
      <c r="G791" s="65" t="s">
        <v>5811</v>
      </c>
      <c r="H791" s="65" t="str">
        <f>IFERROR(INDEX('Docketed Comments'!C:C,MATCH(A791,'Docketed Comments'!H:H,0))&amp;", "&amp;INDEX('Docketed Comments'!B:B,MATCH(A791,'Docketed Comments'!H:H,0)),"")</f>
        <v>Terrence, Arnold</v>
      </c>
      <c r="I791" s="65" t="str">
        <f>IFERROR(INDEX('Docketed Comments'!D:D,MATCH(A791,'Docketed Comments'!H:H,0)),"")</f>
        <v>Glendale</v>
      </c>
      <c r="J791" s="65" t="str">
        <f>IFERROR(INDEX('Docketed Comments'!I:I,MATCH(A791,'Docketed Comments'!H:H,0)),"")</f>
        <v>R3-47</v>
      </c>
      <c r="K791" s="65" t="str">
        <f t="shared" si="25"/>
        <v>✅ On Best Plan</v>
      </c>
      <c r="L791" s="65" t="str">
        <f>IFERROR(INDEX('Docketed Comments'!F:F,MATCH(A791,'Docketed Comments'!H:H,0)),"")</f>
        <v>The recent APS request to rate increase of 16% is absurd</v>
      </c>
      <c r="M791" s="137" t="str">
        <f>IFERROR(HYPERLINK(INDEX('Docketed Comments'!G:G,MATCH(A791,'Docketed Comments'!H:H,0)),"📄 View Docket"),"")</f>
        <v>📄 View Docket</v>
      </c>
      <c r="N791" s="135" t="str">
        <f>IFERROR(INDEX('Docketed Comments'!N:N,MATCH(A791,'Docketed Comments'!H:H,0)),"")</f>
        <v>No</v>
      </c>
      <c r="O791" s="135" t="str">
        <f>IFERROR(INDEX('Docketed Comments'!L:L,MATCH(A791,'Docketed Comments'!H:H,0)),"")</f>
        <v>Yes</v>
      </c>
      <c r="P791" s="136">
        <f t="shared" si="24"/>
        <v>0</v>
      </c>
      <c r="Q791" s="140"/>
      <c r="R791" s="144">
        <v>1</v>
      </c>
    </row>
    <row r="792" spans="1:18" ht="21.95" customHeight="1">
      <c r="A792" s="71" t="s">
        <v>3330</v>
      </c>
      <c r="B792" s="69"/>
      <c r="C792" s="70"/>
      <c r="D792" s="69"/>
      <c r="E792" s="69"/>
      <c r="F792" s="65"/>
      <c r="G792" s="65" t="s">
        <v>5811</v>
      </c>
      <c r="H792" s="65" t="str">
        <f>IFERROR(INDEX('Docketed Comments'!C:C,MATCH(A792,'Docketed Comments'!H:H,0))&amp;", "&amp;INDEX('Docketed Comments'!B:B,MATCH(A792,'Docketed Comments'!H:H,0)),"")</f>
        <v>Jasmine, McKnight</v>
      </c>
      <c r="I792" s="65" t="str">
        <f>IFERROR(INDEX('Docketed Comments'!D:D,MATCH(A792,'Docketed Comments'!H:H,0)),"")</f>
        <v>Phoenix</v>
      </c>
      <c r="J792" s="65" t="str">
        <f>IFERROR(INDEX('Docketed Comments'!I:I,MATCH(A792,'Docketed Comments'!H:H,0)),"")</f>
        <v>R-BASIC</v>
      </c>
      <c r="K792" s="65" t="str">
        <f t="shared" si="25"/>
        <v>✅ On Best Plan</v>
      </c>
      <c r="L792" s="65" t="str">
        <f>IFERROR(INDEX('Docketed Comments'!F:F,MATCH(A792,'Docketed Comments'!H:H,0)),"")</f>
        <v>Form Letter: Enough is enough! You must reject the latest 14% rate hikes by APS e TEP</v>
      </c>
      <c r="M792" s="137" t="str">
        <f>IFERROR(HYPERLINK(INDEX('Docketed Comments'!G:G,MATCH(A792,'Docketed Comments'!H:H,0)),"📄 View Docket"),"")</f>
        <v>📄 View Docket</v>
      </c>
      <c r="N792" s="135" t="str">
        <f>IFERROR(INDEX('Docketed Comments'!N:N,MATCH(A792,'Docketed Comments'!H:H,0)),"")</f>
        <v>No</v>
      </c>
      <c r="O792" s="135" t="str">
        <f>IFERROR(INDEX('Docketed Comments'!L:L,MATCH(A792,'Docketed Comments'!H:H,0)),"")</f>
        <v>Yes</v>
      </c>
      <c r="P792" s="136">
        <f t="shared" si="24"/>
        <v>0</v>
      </c>
      <c r="Q792" s="140"/>
      <c r="R792" s="144">
        <v>1</v>
      </c>
    </row>
    <row r="793" spans="1:18" ht="21.95" customHeight="1">
      <c r="A793" s="71" t="s">
        <v>5347</v>
      </c>
      <c r="B793" s="69"/>
      <c r="C793" s="70"/>
      <c r="D793" s="69"/>
      <c r="E793" s="69"/>
      <c r="F793" s="65"/>
      <c r="G793" s="65" t="s">
        <v>5811</v>
      </c>
      <c r="H793" s="65" t="str">
        <f>IFERROR(INDEX('Docketed Comments'!C:C,MATCH(A793,'Docketed Comments'!H:H,0))&amp;", "&amp;INDEX('Docketed Comments'!B:B,MATCH(A793,'Docketed Comments'!H:H,0)),"")</f>
        <v>Sylvia, Ellison</v>
      </c>
      <c r="I793" s="65" t="str">
        <f>IFERROR(INDEX('Docketed Comments'!D:D,MATCH(A793,'Docketed Comments'!H:H,0)),"")</f>
        <v>Surprise</v>
      </c>
      <c r="J793" s="65" t="str">
        <f>IFERROR(INDEX('Docketed Comments'!I:I,MATCH(A793,'Docketed Comments'!H:H,0)),"")</f>
        <v>R-BASIC</v>
      </c>
      <c r="K793" s="65" t="str">
        <f t="shared" si="25"/>
        <v>✅ On Best Plan</v>
      </c>
      <c r="L793" s="65" t="str">
        <f>IFERROR(INDEX('Docketed Comments'!F:F,MATCH(A793,'Docketed Comments'!H:H,0)),"")</f>
        <v xml:space="preserve">Opposed: No options other than APS. Senior Citizens, AC is a life saving need. </v>
      </c>
      <c r="M793" s="137" t="str">
        <f>IFERROR(HYPERLINK(INDEX('Docketed Comments'!G:G,MATCH(A793,'Docketed Comments'!H:H,0)),"📄 View Docket"),"")</f>
        <v>📄 View Docket</v>
      </c>
      <c r="N793" s="135" t="str">
        <f>IFERROR(INDEX('Docketed Comments'!N:N,MATCH(A793,'Docketed Comments'!H:H,0)),"")</f>
        <v>No</v>
      </c>
      <c r="O793" s="135" t="str">
        <f>IFERROR(INDEX('Docketed Comments'!L:L,MATCH(A793,'Docketed Comments'!H:H,0)),"")</f>
        <v>Yes</v>
      </c>
      <c r="P793" s="136">
        <f t="shared" si="24"/>
        <v>0</v>
      </c>
      <c r="Q793" s="140"/>
      <c r="R793" s="144">
        <v>1</v>
      </c>
    </row>
    <row r="794" spans="1:18" ht="21.95" customHeight="1">
      <c r="A794" s="71" t="s">
        <v>5348</v>
      </c>
      <c r="B794" s="69"/>
      <c r="C794" s="70"/>
      <c r="D794" s="69"/>
      <c r="E794" s="69"/>
      <c r="F794" s="65"/>
      <c r="G794" s="65" t="s">
        <v>5811</v>
      </c>
      <c r="H794" s="65" t="str">
        <f>IFERROR(INDEX('Docketed Comments'!C:C,MATCH(A794,'Docketed Comments'!H:H,0))&amp;", "&amp;INDEX('Docketed Comments'!B:B,MATCH(A794,'Docketed Comments'!H:H,0)),"")</f>
        <v>George, Krakora</v>
      </c>
      <c r="I794" s="65" t="str">
        <f>IFERROR(INDEX('Docketed Comments'!D:D,MATCH(A794,'Docketed Comments'!H:H,0)),"")</f>
        <v>Scottsdale</v>
      </c>
      <c r="J794" s="65" t="str">
        <f>IFERROR(INDEX('Docketed Comments'!I:I,MATCH(A794,'Docketed Comments'!H:H,0)),"")</f>
        <v>R3-47</v>
      </c>
      <c r="K794" s="65" t="str">
        <f t="shared" si="25"/>
        <v>✅ On Best Plan</v>
      </c>
      <c r="L794" s="65" t="str">
        <f>IFERROR(INDEX('Docketed Comments'!F:F,MATCH(A794,'Docketed Comments'!H:H,0)),"")</f>
        <v>Opposed, As a retiree with a limited income, and do not qualify for assistance</v>
      </c>
      <c r="M794" s="137" t="str">
        <f>IFERROR(HYPERLINK(INDEX('Docketed Comments'!G:G,MATCH(A794,'Docketed Comments'!H:H,0)),"📄 View Docket"),"")</f>
        <v>📄 View Docket</v>
      </c>
      <c r="N794" s="135" t="str">
        <f>IFERROR(INDEX('Docketed Comments'!N:N,MATCH(A794,'Docketed Comments'!H:H,0)),"")</f>
        <v>No</v>
      </c>
      <c r="O794" s="135" t="str">
        <f>IFERROR(INDEX('Docketed Comments'!L:L,MATCH(A794,'Docketed Comments'!H:H,0)),"")</f>
        <v>Yes</v>
      </c>
      <c r="P794" s="136">
        <f t="shared" si="24"/>
        <v>0</v>
      </c>
      <c r="Q794" s="140"/>
      <c r="R794" s="144">
        <v>1</v>
      </c>
    </row>
    <row r="795" spans="1:18" ht="21.95" customHeight="1">
      <c r="A795" s="71" t="s">
        <v>5349</v>
      </c>
      <c r="B795" s="69"/>
      <c r="C795" s="70"/>
      <c r="D795" s="69"/>
      <c r="E795" s="69"/>
      <c r="F795" s="65"/>
      <c r="G795" s="65" t="s">
        <v>5811</v>
      </c>
      <c r="H795" s="65" t="str">
        <f>IFERROR(INDEX('Docketed Comments'!C:C,MATCH(A795,'Docketed Comments'!H:H,0))&amp;", "&amp;INDEX('Docketed Comments'!B:B,MATCH(A795,'Docketed Comments'!H:H,0)),"")</f>
        <v>Fred, Oswald</v>
      </c>
      <c r="I795" s="65" t="str">
        <f>IFERROR(INDEX('Docketed Comments'!D:D,MATCH(A795,'Docketed Comments'!H:H,0)),"")</f>
        <v>Prescott</v>
      </c>
      <c r="J795" s="65" t="str">
        <f>IFERROR(INDEX('Docketed Comments'!I:I,MATCH(A795,'Docketed Comments'!H:H,0)),"")</f>
        <v>RCPw/RTOUE47</v>
      </c>
      <c r="K795" s="65" t="str">
        <f t="shared" si="25"/>
        <v>✅ On Best Plan</v>
      </c>
      <c r="L795" s="65" t="str">
        <f>IFERROR(INDEX('Docketed Comments'!F:F,MATCH(A795,'Docketed Comments'!H:H,0)),"")</f>
        <v>Rate hike is grossly excessive, oppose formula rates</v>
      </c>
      <c r="M795" s="137" t="str">
        <f>IFERROR(HYPERLINK(INDEX('Docketed Comments'!G:G,MATCH(A795,'Docketed Comments'!H:H,0)),"📄 View Docket"),"")</f>
        <v>📄 View Docket</v>
      </c>
      <c r="N795" s="135" t="str">
        <f>IFERROR(INDEX('Docketed Comments'!N:N,MATCH(A795,'Docketed Comments'!H:H,0)),"")</f>
        <v>No</v>
      </c>
      <c r="O795" s="135" t="str">
        <f>IFERROR(INDEX('Docketed Comments'!L:L,MATCH(A795,'Docketed Comments'!H:H,0)),"")</f>
        <v>Yes</v>
      </c>
      <c r="P795" s="136">
        <f t="shared" si="24"/>
        <v>0</v>
      </c>
      <c r="Q795" s="140"/>
      <c r="R795" s="144">
        <v>1</v>
      </c>
    </row>
    <row r="796" spans="1:18" ht="21.95" customHeight="1">
      <c r="A796" s="71" t="s">
        <v>5350</v>
      </c>
      <c r="B796" s="69" t="s">
        <v>4887</v>
      </c>
      <c r="C796" s="70">
        <v>46067</v>
      </c>
      <c r="D796" s="69" t="s">
        <v>4888</v>
      </c>
      <c r="E796" s="69"/>
      <c r="F796" s="65" t="s">
        <v>4930</v>
      </c>
      <c r="G796" s="65"/>
      <c r="H796" s="65" t="str">
        <f>IFERROR(INDEX('Docketed Comments'!C:C,MATCH(A796,'Docketed Comments'!H:H,0))&amp;", "&amp;INDEX('Docketed Comments'!B:B,MATCH(A796,'Docketed Comments'!H:H,0)),"")</f>
        <v>Tom and Melissa, Leeper</v>
      </c>
      <c r="I796" s="65" t="str">
        <f>IFERROR(INDEX('Docketed Comments'!D:D,MATCH(A796,'Docketed Comments'!H:H,0)),"")</f>
        <v>Gilbert</v>
      </c>
      <c r="J796" s="65" t="str">
        <f>IFERROR(INDEX('Docketed Comments'!I:I,MATCH(A796,'Docketed Comments'!H:H,0)),"")</f>
        <v>EPR6w/ET-1</v>
      </c>
      <c r="K796" s="65" t="str">
        <f t="shared" si="25"/>
        <v>⚠ Frozen Rate</v>
      </c>
      <c r="L796" s="65" t="str">
        <f>IFERROR(INDEX('Docketed Comments'!F:F,MATCH(A796,'Docketed Comments'!H:H,0)),"")</f>
        <v>Stop the proposed rate hikes</v>
      </c>
      <c r="M796" s="137" t="str">
        <f>IFERROR(HYPERLINK(INDEX('Docketed Comments'!G:G,MATCH(A796,'Docketed Comments'!H:H,0)),"📄 View Docket"),"")</f>
        <v>📄 View Docket</v>
      </c>
      <c r="N796" s="135" t="str">
        <f>IFERROR(INDEX('Docketed Comments'!N:N,MATCH(A796,'Docketed Comments'!H:H,0)),"")</f>
        <v>No</v>
      </c>
      <c r="O796" s="135" t="str">
        <f>IFERROR(INDEX('Docketed Comments'!L:L,MATCH(A796,'Docketed Comments'!H:H,0)),"")</f>
        <v>Frozen Rate</v>
      </c>
      <c r="P796" s="136">
        <f t="shared" si="24"/>
        <v>0</v>
      </c>
      <c r="Q796" s="140" t="s">
        <v>5809</v>
      </c>
      <c r="R796" s="144">
        <v>0</v>
      </c>
    </row>
    <row r="797" spans="1:18" ht="21.95" customHeight="1">
      <c r="A797" s="71" t="s">
        <v>5351</v>
      </c>
      <c r="B797" s="69"/>
      <c r="C797" s="70"/>
      <c r="D797" s="69"/>
      <c r="E797" s="69"/>
      <c r="F797" s="65"/>
      <c r="G797" s="65" t="s">
        <v>5811</v>
      </c>
      <c r="H797" s="65" t="str">
        <f>IFERROR(INDEX('Docketed Comments'!C:C,MATCH(A797,'Docketed Comments'!H:H,0))&amp;", "&amp;INDEX('Docketed Comments'!B:B,MATCH(A797,'Docketed Comments'!H:H,0)),"")</f>
        <v>Stephen, Nathan</v>
      </c>
      <c r="I797" s="65" t="str">
        <f>IFERROR(INDEX('Docketed Comments'!D:D,MATCH(A797,'Docketed Comments'!H:H,0)),"")</f>
        <v>Goodyear</v>
      </c>
      <c r="J797" s="65" t="str">
        <f>IFERROR(INDEX('Docketed Comments'!I:I,MATCH(A797,'Docketed Comments'!H:H,0)),"")</f>
        <v>R3-47</v>
      </c>
      <c r="K797" s="65" t="str">
        <f t="shared" si="25"/>
        <v>✅ On Best Plan</v>
      </c>
      <c r="L797" s="65" t="str">
        <f>IFERROR(INDEX('Docketed Comments'!F:F,MATCH(A797,'Docketed Comments'!H:H,0)),"")</f>
        <v>The proposed rate of increase on seniors is outrageous!</v>
      </c>
      <c r="M797" s="137" t="str">
        <f>IFERROR(HYPERLINK(INDEX('Docketed Comments'!G:G,MATCH(A797,'Docketed Comments'!H:H,0)),"📄 View Docket"),"")</f>
        <v>📄 View Docket</v>
      </c>
      <c r="N797" s="135" t="str">
        <f>IFERROR(INDEX('Docketed Comments'!N:N,MATCH(A797,'Docketed Comments'!H:H,0)),"")</f>
        <v>No</v>
      </c>
      <c r="O797" s="135" t="str">
        <f>IFERROR(INDEX('Docketed Comments'!L:L,MATCH(A797,'Docketed Comments'!H:H,0)),"")</f>
        <v>Yes</v>
      </c>
      <c r="P797" s="136">
        <f t="shared" si="24"/>
        <v>0</v>
      </c>
      <c r="Q797" s="140"/>
      <c r="R797" s="144">
        <v>1</v>
      </c>
    </row>
    <row r="798" spans="1:18" ht="21.95" customHeight="1">
      <c r="A798" s="71" t="s">
        <v>5352</v>
      </c>
      <c r="B798" s="69" t="s">
        <v>4887</v>
      </c>
      <c r="C798" s="70">
        <v>46067</v>
      </c>
      <c r="D798" s="69" t="s">
        <v>4888</v>
      </c>
      <c r="E798" s="69"/>
      <c r="F798" s="65" t="s">
        <v>4930</v>
      </c>
      <c r="G798" s="65"/>
      <c r="H798" s="65" t="str">
        <f>IFERROR(INDEX('Docketed Comments'!C:C,MATCH(A798,'Docketed Comments'!H:H,0))&amp;", "&amp;INDEX('Docketed Comments'!B:B,MATCH(A798,'Docketed Comments'!H:H,0)),"")</f>
        <v>Marla, Putnam</v>
      </c>
      <c r="I798" s="65" t="str">
        <f>IFERROR(INDEX('Docketed Comments'!D:D,MATCH(A798,'Docketed Comments'!H:H,0)),"")</f>
        <v>Peoria</v>
      </c>
      <c r="J798" s="65" t="str">
        <f>IFERROR(INDEX('Docketed Comments'!I:I,MATCH(A798,'Docketed Comments'!H:H,0)),"")</f>
        <v>RCPw/TOUE</v>
      </c>
      <c r="K798" s="65" t="str">
        <f t="shared" si="25"/>
        <v>✅ On Best Plan</v>
      </c>
      <c r="L798" s="65" t="str">
        <f>IFERROR(INDEX('Docketed Comments'!F:F,MATCH(A798,'Docketed Comments'!H:H,0)),"")</f>
        <v>The rates have steadily increased</v>
      </c>
      <c r="M798" s="137" t="str">
        <f>IFERROR(HYPERLINK(INDEX('Docketed Comments'!G:G,MATCH(A798,'Docketed Comments'!H:H,0)),"📄 View Docket"),"")</f>
        <v>📄 View Docket</v>
      </c>
      <c r="N798" s="135" t="str">
        <f>IFERROR(INDEX('Docketed Comments'!N:N,MATCH(A798,'Docketed Comments'!H:H,0)),"")</f>
        <v>No</v>
      </c>
      <c r="O798" s="135" t="str">
        <f>IFERROR(INDEX('Docketed Comments'!L:L,MATCH(A798,'Docketed Comments'!H:H,0)),"")</f>
        <v>Yes</v>
      </c>
      <c r="P798" s="136">
        <f t="shared" si="24"/>
        <v>0</v>
      </c>
      <c r="Q798" s="140" t="s">
        <v>5809</v>
      </c>
      <c r="R798" s="144">
        <v>0</v>
      </c>
    </row>
    <row r="799" spans="1:18" ht="21.95" customHeight="1">
      <c r="A799" s="71" t="s">
        <v>5353</v>
      </c>
      <c r="B799" s="69"/>
      <c r="C799" s="70"/>
      <c r="D799" s="69"/>
      <c r="E799" s="69"/>
      <c r="F799" s="65"/>
      <c r="G799" s="65" t="s">
        <v>5811</v>
      </c>
      <c r="H799" s="65" t="str">
        <f>IFERROR(INDEX('Docketed Comments'!C:C,MATCH(A799,'Docketed Comments'!H:H,0))&amp;", "&amp;INDEX('Docketed Comments'!B:B,MATCH(A799,'Docketed Comments'!H:H,0)),"")</f>
        <v>Melissa, Dowling</v>
      </c>
      <c r="I799" s="65" t="str">
        <f>IFERROR(INDEX('Docketed Comments'!D:D,MATCH(A799,'Docketed Comments'!H:H,0)),"")</f>
        <v>Sun City</v>
      </c>
      <c r="J799" s="65" t="str">
        <f>IFERROR(INDEX('Docketed Comments'!I:I,MATCH(A799,'Docketed Comments'!H:H,0)),"")</f>
        <v>R3-47</v>
      </c>
      <c r="K799" s="65" t="str">
        <f t="shared" si="25"/>
        <v>✅ On Best Plan</v>
      </c>
      <c r="L799" s="65" t="str">
        <f>IFERROR(INDEX('Docketed Comments'!F:F,MATCH(A799,'Docketed Comments'!H:H,0)),"")</f>
        <v>No more rate hikes</v>
      </c>
      <c r="M799" s="137" t="str">
        <f>IFERROR(HYPERLINK(INDEX('Docketed Comments'!G:G,MATCH(A799,'Docketed Comments'!H:H,0)),"📄 View Docket"),"")</f>
        <v>📄 View Docket</v>
      </c>
      <c r="N799" s="135" t="str">
        <f>IFERROR(INDEX('Docketed Comments'!N:N,MATCH(A799,'Docketed Comments'!H:H,0)),"")</f>
        <v>No</v>
      </c>
      <c r="O799" s="135" t="str">
        <f>IFERROR(INDEX('Docketed Comments'!L:L,MATCH(A799,'Docketed Comments'!H:H,0)),"")</f>
        <v>Yes</v>
      </c>
      <c r="P799" s="136">
        <f t="shared" si="24"/>
        <v>0</v>
      </c>
      <c r="Q799" s="140"/>
      <c r="R799" s="144">
        <v>1</v>
      </c>
    </row>
    <row r="800" spans="1:18" ht="21.95" customHeight="1">
      <c r="A800" s="71" t="s">
        <v>5354</v>
      </c>
      <c r="B800" s="69" t="s">
        <v>4887</v>
      </c>
      <c r="C800" s="70">
        <v>46060</v>
      </c>
      <c r="D800" s="69" t="s">
        <v>4865</v>
      </c>
      <c r="E800" s="69"/>
      <c r="F800" s="65" t="s">
        <v>5745</v>
      </c>
      <c r="G800" s="65"/>
      <c r="H800" s="65" t="str">
        <f>IFERROR(INDEX('Docketed Comments'!C:C,MATCH(A800,'Docketed Comments'!H:H,0))&amp;", "&amp;INDEX('Docketed Comments'!B:B,MATCH(A800,'Docketed Comments'!H:H,0)),"")</f>
        <v>Carol, Means</v>
      </c>
      <c r="I800" s="65" t="str">
        <f>IFERROR(INDEX('Docketed Comments'!D:D,MATCH(A800,'Docketed Comments'!H:H,0)),"")</f>
        <v>Goodyear</v>
      </c>
      <c r="J800" s="65" t="str">
        <f>IFERROR(INDEX('Docketed Comments'!I:I,MATCH(A800,'Docketed Comments'!H:H,0)),"")</f>
        <v>R3-47</v>
      </c>
      <c r="K800" s="65" t="str">
        <f t="shared" si="25"/>
        <v>✅ On Best Plan</v>
      </c>
      <c r="L800" s="65" t="str">
        <f>IFERROR(INDEX('Docketed Comments'!F:F,MATCH(A800,'Docketed Comments'!H:H,0)),"")</f>
        <v>Vote no</v>
      </c>
      <c r="M800" s="137" t="str">
        <f>IFERROR(HYPERLINK(INDEX('Docketed Comments'!G:G,MATCH(A800,'Docketed Comments'!H:H,0)),"📄 View Docket"),"")</f>
        <v>📄 View Docket</v>
      </c>
      <c r="N800" s="135" t="str">
        <f>IFERROR(INDEX('Docketed Comments'!N:N,MATCH(A800,'Docketed Comments'!H:H,0)),"")</f>
        <v>No</v>
      </c>
      <c r="O800" s="135" t="str">
        <f>IFERROR(INDEX('Docketed Comments'!L:L,MATCH(A800,'Docketed Comments'!H:H,0)),"")</f>
        <v>Yes</v>
      </c>
      <c r="P800" s="136">
        <f t="shared" si="24"/>
        <v>0</v>
      </c>
      <c r="Q800" s="140" t="s">
        <v>5809</v>
      </c>
      <c r="R800" s="144">
        <v>0</v>
      </c>
    </row>
    <row r="801" spans="1:18" ht="21.95" customHeight="1">
      <c r="A801" s="71" t="s">
        <v>5355</v>
      </c>
      <c r="B801" s="69"/>
      <c r="C801" s="70"/>
      <c r="D801" s="69"/>
      <c r="E801" s="69"/>
      <c r="F801" s="65"/>
      <c r="G801" s="65" t="s">
        <v>5811</v>
      </c>
      <c r="H801" s="65" t="str">
        <f>IFERROR(INDEX('Docketed Comments'!C:C,MATCH(A801,'Docketed Comments'!H:H,0))&amp;", "&amp;INDEX('Docketed Comments'!B:B,MATCH(A801,'Docketed Comments'!H:H,0)),"")</f>
        <v>Ken and JoAnn, Boontjer</v>
      </c>
      <c r="I801" s="65" t="str">
        <f>IFERROR(INDEX('Docketed Comments'!D:D,MATCH(A801,'Docketed Comments'!H:H,0)),"")</f>
        <v>Peoria</v>
      </c>
      <c r="J801" s="65" t="str">
        <f>IFERROR(INDEX('Docketed Comments'!I:I,MATCH(A801,'Docketed Comments'!H:H,0)),"")</f>
        <v>EPR6w/E-12</v>
      </c>
      <c r="K801" s="65" t="str">
        <f t="shared" si="25"/>
        <v>⚠ Frozen Rate</v>
      </c>
      <c r="L801" s="65" t="str">
        <f>IFERROR(INDEX('Docketed Comments'!F:F,MATCH(A801,'Docketed Comments'!H:H,0)),"")</f>
        <v>Research APS net zero plan, open Cholla</v>
      </c>
      <c r="M801" s="137" t="str">
        <f>IFERROR(HYPERLINK(INDEX('Docketed Comments'!G:G,MATCH(A801,'Docketed Comments'!H:H,0)),"📄 View Docket"),"")</f>
        <v>📄 View Docket</v>
      </c>
      <c r="N801" s="135" t="str">
        <f>IFERROR(INDEX('Docketed Comments'!N:N,MATCH(A801,'Docketed Comments'!H:H,0)),"")</f>
        <v>No</v>
      </c>
      <c r="O801" s="135" t="str">
        <f>IFERROR(INDEX('Docketed Comments'!L:L,MATCH(A801,'Docketed Comments'!H:H,0)),"")</f>
        <v>Frozen Rate</v>
      </c>
      <c r="P801" s="136">
        <f t="shared" si="24"/>
        <v>0</v>
      </c>
      <c r="Q801" s="140"/>
      <c r="R801" s="144">
        <v>1</v>
      </c>
    </row>
    <row r="802" spans="1:18" ht="21.95" customHeight="1">
      <c r="A802" s="71" t="s">
        <v>5356</v>
      </c>
      <c r="B802" s="69" t="s">
        <v>4887</v>
      </c>
      <c r="C802" s="70">
        <v>46060</v>
      </c>
      <c r="D802" s="69" t="s">
        <v>4888</v>
      </c>
      <c r="E802" s="69"/>
      <c r="F802" s="65" t="s">
        <v>4930</v>
      </c>
      <c r="G802" s="65"/>
      <c r="H802" s="65" t="str">
        <f>IFERROR(INDEX('Docketed Comments'!C:C,MATCH(A802,'Docketed Comments'!H:H,0))&amp;", "&amp;INDEX('Docketed Comments'!B:B,MATCH(A802,'Docketed Comments'!H:H,0)),"")</f>
        <v>Shari , Kissling</v>
      </c>
      <c r="I802" s="65" t="str">
        <f>IFERROR(INDEX('Docketed Comments'!D:D,MATCH(A802,'Docketed Comments'!H:H,0)),"")</f>
        <v>Surprise</v>
      </c>
      <c r="J802" s="65" t="str">
        <f>IFERROR(INDEX('Docketed Comments'!I:I,MATCH(A802,'Docketed Comments'!H:H,0)),"")</f>
        <v>R3-47</v>
      </c>
      <c r="K802" s="65" t="str">
        <f t="shared" si="25"/>
        <v>✅ On Best Plan</v>
      </c>
      <c r="L802" s="65" t="str">
        <f>IFERROR(INDEX('Docketed Comments'!F:F,MATCH(A802,'Docketed Comments'!H:H,0)),"")</f>
        <v>stop approving rate increases</v>
      </c>
      <c r="M802" s="137" t="str">
        <f>IFERROR(HYPERLINK(INDEX('Docketed Comments'!G:G,MATCH(A802,'Docketed Comments'!H:H,0)),"📄 View Docket"),"")</f>
        <v>📄 View Docket</v>
      </c>
      <c r="N802" s="135" t="str">
        <f>IFERROR(INDEX('Docketed Comments'!N:N,MATCH(A802,'Docketed Comments'!H:H,0)),"")</f>
        <v>No</v>
      </c>
      <c r="O802" s="135" t="str">
        <f>IFERROR(INDEX('Docketed Comments'!L:L,MATCH(A802,'Docketed Comments'!H:H,0)),"")</f>
        <v>Yes</v>
      </c>
      <c r="P802" s="136">
        <f t="shared" si="24"/>
        <v>0</v>
      </c>
      <c r="Q802" s="140" t="s">
        <v>5809</v>
      </c>
      <c r="R802" s="144">
        <v>0</v>
      </c>
    </row>
    <row r="803" spans="1:18" ht="21.95" customHeight="1">
      <c r="A803" s="71" t="s">
        <v>5357</v>
      </c>
      <c r="B803" s="69"/>
      <c r="C803" s="70"/>
      <c r="D803" s="69"/>
      <c r="E803" s="69"/>
      <c r="F803" s="65"/>
      <c r="G803" s="65" t="s">
        <v>5811</v>
      </c>
      <c r="H803" s="65" t="str">
        <f>IFERROR(INDEX('Docketed Comments'!C:C,MATCH(A803,'Docketed Comments'!H:H,0))&amp;", "&amp;INDEX('Docketed Comments'!B:B,MATCH(A803,'Docketed Comments'!H:H,0)),"")</f>
        <v>Justin, Logan</v>
      </c>
      <c r="I803" s="65" t="str">
        <f>IFERROR(INDEX('Docketed Comments'!D:D,MATCH(A803,'Docketed Comments'!H:H,0)),"")</f>
        <v>Surprise</v>
      </c>
      <c r="J803" s="65" t="str">
        <f>IFERROR(INDEX('Docketed Comments'!I:I,MATCH(A803,'Docketed Comments'!H:H,0)),"")</f>
        <v>R-2</v>
      </c>
      <c r="K803" s="65" t="str">
        <f t="shared" si="25"/>
        <v>⚠ Frozen Rate</v>
      </c>
      <c r="L803" s="65" t="str">
        <f>IFERROR(INDEX('Docketed Comments'!F:F,MATCH(A803,'Docketed Comments'!H:H,0)),"")</f>
        <v>Form Letter: For families like mine this is simply too much</v>
      </c>
      <c r="M803" s="137" t="str">
        <f>IFERROR(HYPERLINK(INDEX('Docketed Comments'!G:G,MATCH(A803,'Docketed Comments'!H:H,0)),"📄 View Docket"),"")</f>
        <v>📄 View Docket</v>
      </c>
      <c r="N803" s="135" t="str">
        <f>IFERROR(INDEX('Docketed Comments'!N:N,MATCH(A803,'Docketed Comments'!H:H,0)),"")</f>
        <v>No</v>
      </c>
      <c r="O803" s="135" t="str">
        <f>IFERROR(INDEX('Docketed Comments'!L:L,MATCH(A803,'Docketed Comments'!H:H,0)),"")</f>
        <v>Frozen Rate</v>
      </c>
      <c r="P803" s="136">
        <f t="shared" si="24"/>
        <v>0</v>
      </c>
      <c r="Q803" s="140"/>
      <c r="R803" s="144">
        <v>1</v>
      </c>
    </row>
    <row r="804" spans="1:18" ht="21.95" customHeight="1">
      <c r="A804" s="71" t="s">
        <v>5358</v>
      </c>
      <c r="B804" s="69" t="s">
        <v>4887</v>
      </c>
      <c r="C804" s="70">
        <v>46060</v>
      </c>
      <c r="D804" s="69" t="s">
        <v>4865</v>
      </c>
      <c r="E804" s="69" t="s">
        <v>4898</v>
      </c>
      <c r="F804" s="65"/>
      <c r="G804" s="65"/>
      <c r="H804" s="65" t="str">
        <f>IFERROR(INDEX('Docketed Comments'!C:C,MATCH(A804,'Docketed Comments'!H:H,0))&amp;", "&amp;INDEX('Docketed Comments'!B:B,MATCH(A804,'Docketed Comments'!H:H,0)),"")</f>
        <v>Sheri, Spence</v>
      </c>
      <c r="I804" s="65" t="str">
        <f>IFERROR(INDEX('Docketed Comments'!D:D,MATCH(A804,'Docketed Comments'!H:H,0)),"")</f>
        <v>Surprise</v>
      </c>
      <c r="J804" s="65" t="str">
        <f>IFERROR(INDEX('Docketed Comments'!I:I,MATCH(A804,'Docketed Comments'!H:H,0)),"")</f>
        <v>R3-47</v>
      </c>
      <c r="K804" s="65" t="str">
        <f t="shared" si="25"/>
        <v>✅ On Best Plan</v>
      </c>
      <c r="L804" s="65" t="str">
        <f>IFERROR(INDEX('Docketed Comments'!F:F,MATCH(A804,'Docketed Comments'!H:H,0)),"")</f>
        <v>Stop the price hike that APS is planning to impose.</v>
      </c>
      <c r="M804" s="137" t="str">
        <f>IFERROR(HYPERLINK(INDEX('Docketed Comments'!G:G,MATCH(A804,'Docketed Comments'!H:H,0)),"📄 View Docket"),"")</f>
        <v>📄 View Docket</v>
      </c>
      <c r="N804" s="135" t="str">
        <f>IFERROR(INDEX('Docketed Comments'!N:N,MATCH(A804,'Docketed Comments'!H:H,0)),"")</f>
        <v>No</v>
      </c>
      <c r="O804" s="135" t="str">
        <f>IFERROR(INDEX('Docketed Comments'!L:L,MATCH(A804,'Docketed Comments'!H:H,0)),"")</f>
        <v>Yes</v>
      </c>
      <c r="P804" s="136">
        <f t="shared" si="24"/>
        <v>0</v>
      </c>
      <c r="Q804" s="140" t="s">
        <v>5809</v>
      </c>
      <c r="R804" s="144">
        <v>0</v>
      </c>
    </row>
    <row r="805" spans="1:18" ht="21.95" customHeight="1">
      <c r="A805" s="71" t="s">
        <v>5359</v>
      </c>
      <c r="B805" s="69" t="s">
        <v>4887</v>
      </c>
      <c r="C805" s="70">
        <v>46067</v>
      </c>
      <c r="D805" s="69" t="s">
        <v>4865</v>
      </c>
      <c r="E805" s="69" t="s">
        <v>4898</v>
      </c>
      <c r="F805" s="65"/>
      <c r="G805" s="65"/>
      <c r="H805" s="65" t="str">
        <f>IFERROR(INDEX('Docketed Comments'!C:C,MATCH(A805,'Docketed Comments'!H:H,0))&amp;", "&amp;INDEX('Docketed Comments'!B:B,MATCH(A805,'Docketed Comments'!H:H,0)),"")</f>
        <v>Kurt, Wallach</v>
      </c>
      <c r="I805" s="65" t="str">
        <f>IFERROR(INDEX('Docketed Comments'!D:D,MATCH(A805,'Docketed Comments'!H:H,0)),"")</f>
        <v>Glendale</v>
      </c>
      <c r="J805" s="65" t="str">
        <f>IFERROR(INDEX('Docketed Comments'!I:I,MATCH(A805,'Docketed Comments'!H:H,0)),"")</f>
        <v>RCPw/R3-47</v>
      </c>
      <c r="K805" s="65" t="str">
        <f t="shared" si="25"/>
        <v>✅ On Best Plan</v>
      </c>
      <c r="L805" s="65" t="str">
        <f>IFERROR(INDEX('Docketed Comments'!F:F,MATCH(A805,'Docketed Comments'!H:H,0)),"")</f>
        <v xml:space="preserve">I am voicing concern over repeated rate requests from APS. </v>
      </c>
      <c r="M805" s="137" t="str">
        <f>IFERROR(HYPERLINK(INDEX('Docketed Comments'!G:G,MATCH(A805,'Docketed Comments'!H:H,0)),"📄 View Docket"),"")</f>
        <v>📄 View Docket</v>
      </c>
      <c r="N805" s="135" t="str">
        <f>IFERROR(INDEX('Docketed Comments'!N:N,MATCH(A805,'Docketed Comments'!H:H,0)),"")</f>
        <v>No</v>
      </c>
      <c r="O805" s="135" t="str">
        <f>IFERROR(INDEX('Docketed Comments'!L:L,MATCH(A805,'Docketed Comments'!H:H,0)),"")</f>
        <v>Yes</v>
      </c>
      <c r="P805" s="136">
        <f t="shared" si="24"/>
        <v>0</v>
      </c>
      <c r="Q805" s="140" t="s">
        <v>5809</v>
      </c>
      <c r="R805" s="144">
        <v>0</v>
      </c>
    </row>
    <row r="806" spans="1:18" ht="21.95" customHeight="1">
      <c r="A806" s="71" t="s">
        <v>5360</v>
      </c>
      <c r="B806" s="69"/>
      <c r="C806" s="70"/>
      <c r="D806" s="69"/>
      <c r="E806" s="69"/>
      <c r="F806" s="65"/>
      <c r="G806" s="65" t="s">
        <v>5811</v>
      </c>
      <c r="H806" s="65" t="str">
        <f>IFERROR(INDEX('Docketed Comments'!C:C,MATCH(A806,'Docketed Comments'!H:H,0))&amp;", "&amp;INDEX('Docketed Comments'!B:B,MATCH(A806,'Docketed Comments'!H:H,0)),"")</f>
        <v>Dawn, Hayes</v>
      </c>
      <c r="I806" s="65" t="str">
        <f>IFERROR(INDEX('Docketed Comments'!D:D,MATCH(A806,'Docketed Comments'!H:H,0)),"")</f>
        <v>Surprise</v>
      </c>
      <c r="J806" s="65" t="str">
        <f>IFERROR(INDEX('Docketed Comments'!I:I,MATCH(A806,'Docketed Comments'!H:H,0)),"")</f>
        <v>R3-47</v>
      </c>
      <c r="K806" s="65" t="str">
        <f t="shared" si="25"/>
        <v>✅ On Best Plan</v>
      </c>
      <c r="L806" s="65" t="str">
        <f>IFERROR(INDEX('Docketed Comments'!F:F,MATCH(A806,'Docketed Comments'!H:H,0)),"")</f>
        <v>There is no need to increase residential rates. we are already paying an all-time high</v>
      </c>
      <c r="M806" s="137" t="str">
        <f>IFERROR(HYPERLINK(INDEX('Docketed Comments'!G:G,MATCH(A806,'Docketed Comments'!H:H,0)),"📄 View Docket"),"")</f>
        <v>📄 View Docket</v>
      </c>
      <c r="N806" s="135" t="str">
        <f>IFERROR(INDEX('Docketed Comments'!N:N,MATCH(A806,'Docketed Comments'!H:H,0)),"")</f>
        <v>No</v>
      </c>
      <c r="O806" s="135" t="str">
        <f>IFERROR(INDEX('Docketed Comments'!L:L,MATCH(A806,'Docketed Comments'!H:H,0)),"")</f>
        <v>Yes</v>
      </c>
      <c r="P806" s="136">
        <f t="shared" si="24"/>
        <v>0</v>
      </c>
      <c r="Q806" s="140"/>
      <c r="R806" s="144">
        <v>1</v>
      </c>
    </row>
    <row r="807" spans="1:18" ht="21.95" customHeight="1">
      <c r="A807" s="71" t="s">
        <v>5361</v>
      </c>
      <c r="B807" s="69"/>
      <c r="C807" s="70"/>
      <c r="D807" s="69"/>
      <c r="E807" s="69"/>
      <c r="F807" s="65"/>
      <c r="G807" s="65" t="s">
        <v>5811</v>
      </c>
      <c r="H807" s="65" t="str">
        <f>IFERROR(INDEX('Docketed Comments'!C:C,MATCH(A807,'Docketed Comments'!H:H,0))&amp;", "&amp;INDEX('Docketed Comments'!B:B,MATCH(A807,'Docketed Comments'!H:H,0)),"")</f>
        <v>Cassandra, Jenkins</v>
      </c>
      <c r="I807" s="65" t="str">
        <f>IFERROR(INDEX('Docketed Comments'!D:D,MATCH(A807,'Docketed Comments'!H:H,0)),"")</f>
        <v>Buckeye</v>
      </c>
      <c r="J807" s="65" t="str">
        <f>IFERROR(INDEX('Docketed Comments'!I:I,MATCH(A807,'Docketed Comments'!H:H,0)),"")</f>
        <v>RCPw/RTOUE47</v>
      </c>
      <c r="K807" s="65" t="str">
        <f t="shared" si="25"/>
        <v>✅ On Best Plan</v>
      </c>
      <c r="L807" s="65" t="str">
        <f>IFERROR(INDEX('Docketed Comments'!F:F,MATCH(A807,'Docketed Comments'!H:H,0)),"")</f>
        <v>Opposed rate hike, increase solar buy back.</v>
      </c>
      <c r="M807" s="137" t="str">
        <f>IFERROR(HYPERLINK(INDEX('Docketed Comments'!G:G,MATCH(A807,'Docketed Comments'!H:H,0)),"📄 View Docket"),"")</f>
        <v>📄 View Docket</v>
      </c>
      <c r="N807" s="135" t="str">
        <f>IFERROR(INDEX('Docketed Comments'!N:N,MATCH(A807,'Docketed Comments'!H:H,0)),"")</f>
        <v>No</v>
      </c>
      <c r="O807" s="135" t="str">
        <f>IFERROR(INDEX('Docketed Comments'!L:L,MATCH(A807,'Docketed Comments'!H:H,0)),"")</f>
        <v>Yes</v>
      </c>
      <c r="P807" s="136">
        <f t="shared" si="24"/>
        <v>0</v>
      </c>
      <c r="Q807" s="140"/>
      <c r="R807" s="144">
        <v>1</v>
      </c>
    </row>
    <row r="808" spans="1:18" ht="21.95" customHeight="1">
      <c r="A808" s="71" t="s">
        <v>5362</v>
      </c>
      <c r="B808" s="69" t="s">
        <v>4887</v>
      </c>
      <c r="C808" s="70">
        <v>46067</v>
      </c>
      <c r="D808" s="69" t="s">
        <v>4865</v>
      </c>
      <c r="E808" s="69" t="s">
        <v>4898</v>
      </c>
      <c r="F808" s="65"/>
      <c r="G808" s="65"/>
      <c r="H808" s="65" t="str">
        <f>IFERROR(INDEX('Docketed Comments'!C:C,MATCH(A808,'Docketed Comments'!H:H,0))&amp;", "&amp;INDEX('Docketed Comments'!B:B,MATCH(A808,'Docketed Comments'!H:H,0)),"")</f>
        <v>Roger, Ghiardi</v>
      </c>
      <c r="I808" s="65" t="str">
        <f>IFERROR(INDEX('Docketed Comments'!D:D,MATCH(A808,'Docketed Comments'!H:H,0)),"")</f>
        <v>El Mirage</v>
      </c>
      <c r="J808" s="65" t="str">
        <f>IFERROR(INDEX('Docketed Comments'!I:I,MATCH(A808,'Docketed Comments'!H:H,0)),"")</f>
        <v>RCPw/RTOUE47</v>
      </c>
      <c r="K808" s="65" t="str">
        <f t="shared" si="25"/>
        <v>✅ On Best Plan</v>
      </c>
      <c r="L808" s="65" t="str">
        <f>IFERROR(INDEX('Docketed Comments'!F:F,MATCH(A808,'Docketed Comments'!H:H,0)),"")</f>
        <v>Opposed to rate hike and solar fee. Main lines going to data centers</v>
      </c>
      <c r="M808" s="137" t="str">
        <f>IFERROR(HYPERLINK(INDEX('Docketed Comments'!G:G,MATCH(A808,'Docketed Comments'!H:H,0)),"📄 View Docket"),"")</f>
        <v>📄 View Docket</v>
      </c>
      <c r="N808" s="135" t="str">
        <f>IFERROR(INDEX('Docketed Comments'!N:N,MATCH(A808,'Docketed Comments'!H:H,0)),"")</f>
        <v>No</v>
      </c>
      <c r="O808" s="135" t="str">
        <f>IFERROR(INDEX('Docketed Comments'!L:L,MATCH(A808,'Docketed Comments'!H:H,0)),"")</f>
        <v>Yes</v>
      </c>
      <c r="P808" s="136">
        <f t="shared" si="24"/>
        <v>0</v>
      </c>
      <c r="Q808" s="140" t="s">
        <v>5809</v>
      </c>
      <c r="R808" s="144">
        <v>0</v>
      </c>
    </row>
    <row r="809" spans="1:18" ht="21.95" customHeight="1">
      <c r="A809" s="71" t="s">
        <v>3424</v>
      </c>
      <c r="B809" s="69"/>
      <c r="C809" s="70"/>
      <c r="D809" s="69"/>
      <c r="E809" s="69"/>
      <c r="F809" s="65"/>
      <c r="G809" s="65" t="s">
        <v>5811</v>
      </c>
      <c r="H809" s="65" t="str">
        <f>IFERROR(INDEX('Docketed Comments'!C:C,MATCH(A809,'Docketed Comments'!H:H,0))&amp;", "&amp;INDEX('Docketed Comments'!B:B,MATCH(A809,'Docketed Comments'!H:H,0)),"")</f>
        <v>Philip and Vicky, Elleray</v>
      </c>
      <c r="I809" s="65" t="str">
        <f>IFERROR(INDEX('Docketed Comments'!D:D,MATCH(A809,'Docketed Comments'!H:H,0)),"")</f>
        <v>Peoria</v>
      </c>
      <c r="J809" s="65" t="str">
        <f>IFERROR(INDEX('Docketed Comments'!I:I,MATCH(A809,'Docketed Comments'!H:H,0)),"")</f>
        <v>R-BASIC</v>
      </c>
      <c r="K809" s="65" t="str">
        <f t="shared" si="25"/>
        <v>✅ On Best Plan</v>
      </c>
      <c r="L809" s="65" t="str">
        <f>IFERROR(INDEX('Docketed Comments'!F:F,MATCH(A809,'Docketed Comments'!H:H,0)),"")</f>
        <v xml:space="preserve"> For a retired person and disabled veteran, that is an excessive rate increase</v>
      </c>
      <c r="M809" s="137" t="str">
        <f>IFERROR(HYPERLINK(INDEX('Docketed Comments'!G:G,MATCH(A809,'Docketed Comments'!H:H,0)),"📄 View Docket"),"")</f>
        <v>📄 View Docket</v>
      </c>
      <c r="N809" s="135" t="str">
        <f>IFERROR(INDEX('Docketed Comments'!N:N,MATCH(A809,'Docketed Comments'!H:H,0)),"")</f>
        <v>No</v>
      </c>
      <c r="O809" s="135" t="str">
        <f>IFERROR(INDEX('Docketed Comments'!L:L,MATCH(A809,'Docketed Comments'!H:H,0)),"")</f>
        <v>Yes</v>
      </c>
      <c r="P809" s="136">
        <f t="shared" si="24"/>
        <v>0</v>
      </c>
      <c r="Q809" s="140"/>
      <c r="R809" s="144">
        <v>1</v>
      </c>
    </row>
    <row r="810" spans="1:18" ht="21.95" customHeight="1">
      <c r="A810" s="71" t="s">
        <v>3462</v>
      </c>
      <c r="B810" s="69"/>
      <c r="C810" s="70"/>
      <c r="D810" s="69"/>
      <c r="E810" s="69"/>
      <c r="F810" s="65"/>
      <c r="G810" s="65" t="s">
        <v>5811</v>
      </c>
      <c r="H810" s="65" t="str">
        <f>IFERROR(INDEX('Docketed Comments'!C:C,MATCH(A810,'Docketed Comments'!H:H,0))&amp;", "&amp;INDEX('Docketed Comments'!B:B,MATCH(A810,'Docketed Comments'!H:H,0)),"")</f>
        <v>Dorothy, Minnesota</v>
      </c>
      <c r="I810" s="65" t="str">
        <f>IFERROR(INDEX('Docketed Comments'!D:D,MATCH(A810,'Docketed Comments'!H:H,0)),"")</f>
        <v>Surprise</v>
      </c>
      <c r="J810" s="65" t="str">
        <f>IFERROR(INDEX('Docketed Comments'!I:I,MATCH(A810,'Docketed Comments'!H:H,0)),"")</f>
        <v>R3-47</v>
      </c>
      <c r="K810" s="65" t="str">
        <f t="shared" si="25"/>
        <v>✅ On Best Plan</v>
      </c>
      <c r="L810" s="65" t="str">
        <f>IFERROR(INDEX('Docketed Comments'!F:F,MATCH(A810,'Docketed Comments'!H:H,0)),"")</f>
        <v>Fixed income, my pay doesn't go up at this rate</v>
      </c>
      <c r="M810" s="137" t="str">
        <f>IFERROR(HYPERLINK(INDEX('Docketed Comments'!G:G,MATCH(A810,'Docketed Comments'!H:H,0)),"📄 View Docket"),"")</f>
        <v>📄 View Docket</v>
      </c>
      <c r="N810" s="135" t="str">
        <f>IFERROR(INDEX('Docketed Comments'!N:N,MATCH(A810,'Docketed Comments'!H:H,0)),"")</f>
        <v>No</v>
      </c>
      <c r="O810" s="135" t="str">
        <f>IFERROR(INDEX('Docketed Comments'!L:L,MATCH(A810,'Docketed Comments'!H:H,0)),"")</f>
        <v>Yes</v>
      </c>
      <c r="P810" s="136">
        <f t="shared" si="24"/>
        <v>0</v>
      </c>
      <c r="Q810" s="140"/>
      <c r="R810" s="144">
        <v>1</v>
      </c>
    </row>
    <row r="811" spans="1:18" ht="21.95" customHeight="1">
      <c r="A811" s="71" t="s">
        <v>3500</v>
      </c>
      <c r="B811" s="69"/>
      <c r="C811" s="70"/>
      <c r="D811" s="69"/>
      <c r="E811" s="69"/>
      <c r="F811" s="65"/>
      <c r="G811" s="65" t="s">
        <v>5811</v>
      </c>
      <c r="H811" s="65" t="str">
        <f>IFERROR(INDEX('Docketed Comments'!C:C,MATCH(A811,'Docketed Comments'!H:H,0))&amp;", "&amp;INDEX('Docketed Comments'!B:B,MATCH(A811,'Docketed Comments'!H:H,0)),"")</f>
        <v>Beth, Ballmann</v>
      </c>
      <c r="I811" s="65" t="str">
        <f>IFERROR(INDEX('Docketed Comments'!D:D,MATCH(A811,'Docketed Comments'!H:H,0)),"")</f>
        <v>Cave Creek</v>
      </c>
      <c r="J811" s="65" t="str">
        <f>IFERROR(INDEX('Docketed Comments'!I:I,MATCH(A811,'Docketed Comments'!H:H,0)),"")</f>
        <v>R3-47</v>
      </c>
      <c r="K811" s="65" t="str">
        <f t="shared" si="25"/>
        <v>✅ On Best Plan</v>
      </c>
      <c r="L811" s="65" t="str">
        <f>IFERROR(INDEX('Docketed Comments'!F:F,MATCH(A811,'Docketed Comments'!H:H,0)),"")</f>
        <v>Seek solutions that will lower rates for all of Arizona</v>
      </c>
      <c r="M811" s="137" t="str">
        <f>IFERROR(HYPERLINK(INDEX('Docketed Comments'!G:G,MATCH(A811,'Docketed Comments'!H:H,0)),"📄 View Docket"),"")</f>
        <v>📄 View Docket</v>
      </c>
      <c r="N811" s="135" t="str">
        <f>IFERROR(INDEX('Docketed Comments'!N:N,MATCH(A811,'Docketed Comments'!H:H,0)),"")</f>
        <v>No</v>
      </c>
      <c r="O811" s="135" t="str">
        <f>IFERROR(INDEX('Docketed Comments'!L:L,MATCH(A811,'Docketed Comments'!H:H,0)),"")</f>
        <v>Yes</v>
      </c>
      <c r="P811" s="136">
        <f t="shared" si="24"/>
        <v>0</v>
      </c>
      <c r="Q811" s="140"/>
      <c r="R811" s="144">
        <v>1</v>
      </c>
    </row>
    <row r="812" spans="1:18" ht="21.95" customHeight="1">
      <c r="A812" s="71" t="s">
        <v>3533</v>
      </c>
      <c r="B812" s="69"/>
      <c r="C812" s="70"/>
      <c r="D812" s="69"/>
      <c r="E812" s="69"/>
      <c r="F812" s="65"/>
      <c r="G812" s="65" t="s">
        <v>5811</v>
      </c>
      <c r="H812" s="65" t="str">
        <f>IFERROR(INDEX('Docketed Comments'!C:C,MATCH(A812,'Docketed Comments'!H:H,0))&amp;", "&amp;INDEX('Docketed Comments'!B:B,MATCH(A812,'Docketed Comments'!H:H,0)),"")</f>
        <v>Kamal, Ranchhod</v>
      </c>
      <c r="I812" s="65" t="str">
        <f>IFERROR(INDEX('Docketed Comments'!D:D,MATCH(A812,'Docketed Comments'!H:H,0)),"")</f>
        <v>Buckeye</v>
      </c>
      <c r="J812" s="65" t="str">
        <f>IFERROR(INDEX('Docketed Comments'!I:I,MATCH(A812,'Docketed Comments'!H:H,0)),"")</f>
        <v>RCPw/R3-47</v>
      </c>
      <c r="K812" s="65" t="str">
        <f t="shared" si="25"/>
        <v>✅ On Best Plan</v>
      </c>
      <c r="L812" s="65" t="str">
        <f>IFERROR(INDEX('Docketed Comments'!F:F,MATCH(A812,'Docketed Comments'!H:H,0)),"")</f>
        <v>Opposed: Retired on fixed income</v>
      </c>
      <c r="M812" s="137" t="str">
        <f>IFERROR(HYPERLINK(INDEX('Docketed Comments'!G:G,MATCH(A812,'Docketed Comments'!H:H,0)),"📄 View Docket"),"")</f>
        <v>📄 View Docket</v>
      </c>
      <c r="N812" s="135" t="str">
        <f>IFERROR(INDEX('Docketed Comments'!N:N,MATCH(A812,'Docketed Comments'!H:H,0)),"")</f>
        <v>No</v>
      </c>
      <c r="O812" s="135" t="str">
        <f>IFERROR(INDEX('Docketed Comments'!L:L,MATCH(A812,'Docketed Comments'!H:H,0)),"")</f>
        <v>Yes</v>
      </c>
      <c r="P812" s="136">
        <f t="shared" si="24"/>
        <v>0</v>
      </c>
      <c r="Q812" s="140"/>
      <c r="R812" s="144">
        <v>1</v>
      </c>
    </row>
    <row r="813" spans="1:18" ht="21.95" customHeight="1">
      <c r="A813" s="71" t="s">
        <v>3537</v>
      </c>
      <c r="B813" s="69" t="s">
        <v>4887</v>
      </c>
      <c r="C813" s="70">
        <v>46060</v>
      </c>
      <c r="D813" s="69" t="s">
        <v>4888</v>
      </c>
      <c r="E813" s="69"/>
      <c r="F813" s="65" t="s">
        <v>4930</v>
      </c>
      <c r="G813" s="65"/>
      <c r="H813" s="65" t="str">
        <f>IFERROR(INDEX('Docketed Comments'!C:C,MATCH(A813,'Docketed Comments'!H:H,0))&amp;", "&amp;INDEX('Docketed Comments'!B:B,MATCH(A813,'Docketed Comments'!H:H,0)),"")</f>
        <v>Elia, Saez</v>
      </c>
      <c r="I813" s="65" t="str">
        <f>IFERROR(INDEX('Docketed Comments'!D:D,MATCH(A813,'Docketed Comments'!H:H,0)),"")</f>
        <v>Buckeye</v>
      </c>
      <c r="J813" s="65" t="str">
        <f>IFERROR(INDEX('Docketed Comments'!I:I,MATCH(A813,'Docketed Comments'!H:H,0)),"")</f>
        <v>RCPw/TOUE-47</v>
      </c>
      <c r="K813" s="65" t="str">
        <f t="shared" si="25"/>
        <v>✅ On Best Plan</v>
      </c>
      <c r="L813" s="65" t="str">
        <f>IFERROR(INDEX('Docketed Comments'!F:F,MATCH(A813,'Docketed Comments'!H:H,0)),"")</f>
        <v>We need the ACC to stand up for Arizona households</v>
      </c>
      <c r="M813" s="137" t="str">
        <f>IFERROR(HYPERLINK(INDEX('Docketed Comments'!G:G,MATCH(A813,'Docketed Comments'!H:H,0)),"📄 View Docket"),"")</f>
        <v>📄 View Docket</v>
      </c>
      <c r="N813" s="135" t="str">
        <f>IFERROR(INDEX('Docketed Comments'!N:N,MATCH(A813,'Docketed Comments'!H:H,0)),"")</f>
        <v>No</v>
      </c>
      <c r="O813" s="135" t="str">
        <f>IFERROR(INDEX('Docketed Comments'!L:L,MATCH(A813,'Docketed Comments'!H:H,0)),"")</f>
        <v>Yes</v>
      </c>
      <c r="P813" s="136">
        <f t="shared" si="24"/>
        <v>0</v>
      </c>
      <c r="Q813" s="140" t="s">
        <v>5809</v>
      </c>
      <c r="R813" s="144">
        <v>0</v>
      </c>
    </row>
    <row r="814" spans="1:18" ht="21.95" customHeight="1">
      <c r="A814" s="71" t="s">
        <v>3541</v>
      </c>
      <c r="B814" s="69"/>
      <c r="C814" s="70"/>
      <c r="D814" s="69"/>
      <c r="E814" s="69"/>
      <c r="F814" s="65"/>
      <c r="G814" s="65" t="s">
        <v>5811</v>
      </c>
      <c r="H814" s="65" t="str">
        <f>IFERROR(INDEX('Docketed Comments'!C:C,MATCH(A814,'Docketed Comments'!H:H,0))&amp;", "&amp;INDEX('Docketed Comments'!B:B,MATCH(A814,'Docketed Comments'!H:H,0)),"")</f>
        <v>Thomas, Barrett</v>
      </c>
      <c r="I814" s="65" t="str">
        <f>IFERROR(INDEX('Docketed Comments'!D:D,MATCH(A814,'Docketed Comments'!H:H,0)),"")</f>
        <v>Buckeye</v>
      </c>
      <c r="J814" s="65" t="str">
        <f>IFERROR(INDEX('Docketed Comments'!I:I,MATCH(A814,'Docketed Comments'!H:H,0)),"")</f>
        <v>RCPw/R2</v>
      </c>
      <c r="K814" s="65" t="str">
        <f t="shared" si="25"/>
        <v>⚠ Frozen Plan</v>
      </c>
      <c r="L814" s="65" t="str">
        <f>IFERROR(INDEX('Docketed Comments'!F:F,MATCH(A814,'Docketed Comments'!H:H,0)),"")</f>
        <v>On a fixed income- this rate increase is unjustified</v>
      </c>
      <c r="M814" s="137" t="str">
        <f>IFERROR(HYPERLINK(INDEX('Docketed Comments'!G:G,MATCH(A814,'Docketed Comments'!H:H,0)),"📄 View Docket"),"")</f>
        <v>📄 View Docket</v>
      </c>
      <c r="N814" s="135" t="str">
        <f>IFERROR(INDEX('Docketed Comments'!N:N,MATCH(A814,'Docketed Comments'!H:H,0)),"")</f>
        <v>No</v>
      </c>
      <c r="O814" s="135" t="str">
        <f>IFERROR(INDEX('Docketed Comments'!L:L,MATCH(A814,'Docketed Comments'!H:H,0)),"")</f>
        <v>Frozen Plan</v>
      </c>
      <c r="P814" s="136">
        <f t="shared" si="24"/>
        <v>0</v>
      </c>
      <c r="Q814" s="140"/>
      <c r="R814" s="144">
        <v>1</v>
      </c>
    </row>
    <row r="815" spans="1:18" ht="21.95" customHeight="1">
      <c r="A815" s="71" t="s">
        <v>3547</v>
      </c>
      <c r="B815" s="69" t="s">
        <v>4887</v>
      </c>
      <c r="C815" s="70">
        <v>46060</v>
      </c>
      <c r="D815" s="69" t="s">
        <v>4888</v>
      </c>
      <c r="E815" s="69"/>
      <c r="F815" s="65" t="s">
        <v>4930</v>
      </c>
      <c r="G815" s="65"/>
      <c r="H815" s="65" t="str">
        <f>IFERROR(INDEX('Docketed Comments'!C:C,MATCH(A815,'Docketed Comments'!H:H,0))&amp;", "&amp;INDEX('Docketed Comments'!B:B,MATCH(A815,'Docketed Comments'!H:H,0)),"")</f>
        <v>Michael, Jones</v>
      </c>
      <c r="I815" s="65" t="str">
        <f>IFERROR(INDEX('Docketed Comments'!D:D,MATCH(A815,'Docketed Comments'!H:H,0)),"")</f>
        <v>Chino Valley</v>
      </c>
      <c r="J815" s="65" t="str">
        <f>IFERROR(INDEX('Docketed Comments'!I:I,MATCH(A815,'Docketed Comments'!H:H,0)),"")</f>
        <v>R-BASIC</v>
      </c>
      <c r="K815" s="65" t="str">
        <f t="shared" si="25"/>
        <v>✅ On Best Plan</v>
      </c>
      <c r="L815" s="65" t="str">
        <f>IFERROR(INDEX('Docketed Comments'!F:F,MATCH(A815,'Docketed Comments'!H:H,0)),"")</f>
        <v>Opposed - against solar and wind, only reliable sources are nuclear, hydro-electric, natural gas and coal.</v>
      </c>
      <c r="M815" s="137" t="str">
        <f>IFERROR(HYPERLINK(INDEX('Docketed Comments'!G:G,MATCH(A815,'Docketed Comments'!H:H,0)),"📄 View Docket"),"")</f>
        <v>📄 View Docket</v>
      </c>
      <c r="N815" s="135" t="str">
        <f>IFERROR(INDEX('Docketed Comments'!N:N,MATCH(A815,'Docketed Comments'!H:H,0)),"")</f>
        <v>No</v>
      </c>
      <c r="O815" s="135" t="str">
        <f>IFERROR(INDEX('Docketed Comments'!L:L,MATCH(A815,'Docketed Comments'!H:H,0)),"")</f>
        <v>Yes</v>
      </c>
      <c r="P815" s="136">
        <f t="shared" si="24"/>
        <v>0</v>
      </c>
      <c r="Q815" s="140" t="s">
        <v>5809</v>
      </c>
      <c r="R815" s="144">
        <v>0</v>
      </c>
    </row>
    <row r="816" spans="1:18" ht="21.95" customHeight="1">
      <c r="A816" s="71" t="s">
        <v>5363</v>
      </c>
      <c r="B816" s="69"/>
      <c r="C816" s="70"/>
      <c r="D816" s="69"/>
      <c r="E816" s="69"/>
      <c r="F816" s="65"/>
      <c r="G816" s="65" t="s">
        <v>5811</v>
      </c>
      <c r="H816" s="65" t="str">
        <f>IFERROR(INDEX('Docketed Comments'!C:C,MATCH(A816,'Docketed Comments'!H:H,0))&amp;", "&amp;INDEX('Docketed Comments'!B:B,MATCH(A816,'Docketed Comments'!H:H,0)),"")</f>
        <v>Marc, Arvizu</v>
      </c>
      <c r="I816" s="65" t="str">
        <f>IFERROR(INDEX('Docketed Comments'!D:D,MATCH(A816,'Docketed Comments'!H:H,0)),"")</f>
        <v>Phoenix</v>
      </c>
      <c r="J816" s="65" t="str">
        <f>IFERROR(INDEX('Docketed Comments'!I:I,MATCH(A816,'Docketed Comments'!H:H,0)),"")</f>
        <v>R-BASIC</v>
      </c>
      <c r="K816" s="65" t="str">
        <f t="shared" si="25"/>
        <v>✅ On Best Plan</v>
      </c>
      <c r="L816" s="65" t="str">
        <f>IFERROR(INDEX('Docketed Comments'!F:F,MATCH(A816,'Docketed Comments'!H:H,0)),"")</f>
        <v>Form Letter: Enough is enough! You must reject the latest 14% rate hikes by APS e TEP</v>
      </c>
      <c r="M816" s="137" t="str">
        <f>IFERROR(HYPERLINK(INDEX('Docketed Comments'!G:G,MATCH(A816,'Docketed Comments'!H:H,0)),"📄 View Docket"),"")</f>
        <v>📄 View Docket</v>
      </c>
      <c r="N816" s="135" t="str">
        <f>IFERROR(INDEX('Docketed Comments'!N:N,MATCH(A816,'Docketed Comments'!H:H,0)),"")</f>
        <v>No</v>
      </c>
      <c r="O816" s="135" t="str">
        <f>IFERROR(INDEX('Docketed Comments'!L:L,MATCH(A816,'Docketed Comments'!H:H,0)),"")</f>
        <v>Yes</v>
      </c>
      <c r="P816" s="136">
        <f t="shared" si="24"/>
        <v>0</v>
      </c>
      <c r="Q816" s="140"/>
      <c r="R816" s="144">
        <v>1</v>
      </c>
    </row>
    <row r="817" spans="1:18" ht="21.95" customHeight="1">
      <c r="A817" s="71" t="s">
        <v>3575</v>
      </c>
      <c r="B817" s="69" t="s">
        <v>4887</v>
      </c>
      <c r="C817" s="70">
        <v>46060</v>
      </c>
      <c r="D817" s="69" t="s">
        <v>4888</v>
      </c>
      <c r="E817" s="69"/>
      <c r="F817" s="65" t="s">
        <v>4930</v>
      </c>
      <c r="G817" s="65"/>
      <c r="H817" s="65" t="str">
        <f>IFERROR(INDEX('Docketed Comments'!C:C,MATCH(A817,'Docketed Comments'!H:H,0))&amp;", "&amp;INDEX('Docketed Comments'!B:B,MATCH(A817,'Docketed Comments'!H:H,0)),"")</f>
        <v>Audrey, Jones</v>
      </c>
      <c r="I817" s="65" t="str">
        <f>IFERROR(INDEX('Docketed Comments'!D:D,MATCH(A817,'Docketed Comments'!H:H,0)),"")</f>
        <v>New River</v>
      </c>
      <c r="J817" s="65" t="str">
        <f>IFERROR(INDEX('Docketed Comments'!I:I,MATCH(A817,'Docketed Comments'!H:H,0)),"")</f>
        <v>RCPw/TOUE-47</v>
      </c>
      <c r="K817" s="65" t="str">
        <f t="shared" si="25"/>
        <v>✅ On Best Plan</v>
      </c>
      <c r="L817" s="65" t="str">
        <f>IFERROR(INDEX('Docketed Comments'!F:F,MATCH(A817,'Docketed Comments'!H:H,0)),"")</f>
        <v>Form Letter: Enough is enough! You must reject the latest 14% rate hikes by APS e TEP</v>
      </c>
      <c r="M817" s="137" t="str">
        <f>IFERROR(HYPERLINK(INDEX('Docketed Comments'!G:G,MATCH(A817,'Docketed Comments'!H:H,0)),"📄 View Docket"),"")</f>
        <v>📄 View Docket</v>
      </c>
      <c r="N817" s="135" t="str">
        <f>IFERROR(INDEX('Docketed Comments'!N:N,MATCH(A817,'Docketed Comments'!H:H,0)),"")</f>
        <v>No</v>
      </c>
      <c r="O817" s="135" t="str">
        <f>IFERROR(INDEX('Docketed Comments'!L:L,MATCH(A817,'Docketed Comments'!H:H,0)),"")</f>
        <v>Yes</v>
      </c>
      <c r="P817" s="136">
        <f t="shared" si="24"/>
        <v>0</v>
      </c>
      <c r="Q817" s="140" t="s">
        <v>5809</v>
      </c>
      <c r="R817" s="144">
        <v>0</v>
      </c>
    </row>
    <row r="818" spans="1:18" ht="21.95" customHeight="1">
      <c r="A818" s="71" t="s">
        <v>3588</v>
      </c>
      <c r="B818" s="69"/>
      <c r="C818" s="70"/>
      <c r="D818" s="69"/>
      <c r="E818" s="69"/>
      <c r="F818" s="65"/>
      <c r="G818" s="65" t="s">
        <v>5811</v>
      </c>
      <c r="H818" s="65" t="str">
        <f>IFERROR(INDEX('Docketed Comments'!C:C,MATCH(A818,'Docketed Comments'!H:H,0))&amp;", "&amp;INDEX('Docketed Comments'!B:B,MATCH(A818,'Docketed Comments'!H:H,0)),"")</f>
        <v>Wade, Lengele</v>
      </c>
      <c r="I818" s="65" t="str">
        <f>IFERROR(INDEX('Docketed Comments'!D:D,MATCH(A818,'Docketed Comments'!H:H,0)),"")</f>
        <v>Phoenix</v>
      </c>
      <c r="J818" s="65" t="str">
        <f>IFERROR(INDEX('Docketed Comments'!I:I,MATCH(A818,'Docketed Comments'!H:H,0)),"")</f>
        <v>R3-47</v>
      </c>
      <c r="K818" s="65" t="str">
        <f t="shared" si="25"/>
        <v>✅ On Best Plan</v>
      </c>
      <c r="L818" s="65" t="str">
        <f>IFERROR(INDEX('Docketed Comments'!F:F,MATCH(A818,'Docketed Comments'!H:H,0)),"")</f>
        <v>Opposed to any rate increase request that subsidize costs associated with infrastructure for industrial custoemrs/data centers</v>
      </c>
      <c r="M818" s="137" t="str">
        <f>IFERROR(HYPERLINK(INDEX('Docketed Comments'!G:G,MATCH(A818,'Docketed Comments'!H:H,0)),"📄 View Docket"),"")</f>
        <v>📄 View Docket</v>
      </c>
      <c r="N818" s="135" t="str">
        <f>IFERROR(INDEX('Docketed Comments'!N:N,MATCH(A818,'Docketed Comments'!H:H,0)),"")</f>
        <v>No</v>
      </c>
      <c r="O818" s="135" t="str">
        <f>IFERROR(INDEX('Docketed Comments'!L:L,MATCH(A818,'Docketed Comments'!H:H,0)),"")</f>
        <v>Yes</v>
      </c>
      <c r="P818" s="136">
        <f t="shared" si="24"/>
        <v>0</v>
      </c>
      <c r="Q818" s="140"/>
      <c r="R818" s="144">
        <v>1</v>
      </c>
    </row>
    <row r="819" spans="1:18" ht="21.95" customHeight="1">
      <c r="A819" s="71" t="s">
        <v>3592</v>
      </c>
      <c r="B819" s="69"/>
      <c r="C819" s="70"/>
      <c r="D819" s="69"/>
      <c r="E819" s="69"/>
      <c r="F819" s="65"/>
      <c r="G819" s="65" t="s">
        <v>5811</v>
      </c>
      <c r="H819" s="65" t="str">
        <f>IFERROR(INDEX('Docketed Comments'!C:C,MATCH(A819,'Docketed Comments'!H:H,0))&amp;", "&amp;INDEX('Docketed Comments'!B:B,MATCH(A819,'Docketed Comments'!H:H,0)),"")</f>
        <v>Glenda, Krause</v>
      </c>
      <c r="I819" s="65" t="str">
        <f>IFERROR(INDEX('Docketed Comments'!D:D,MATCH(A819,'Docketed Comments'!H:H,0)),"")</f>
        <v>Phoenix</v>
      </c>
      <c r="J819" s="65" t="str">
        <f>IFERROR(INDEX('Docketed Comments'!I:I,MATCH(A819,'Docketed Comments'!H:H,0)),"")</f>
        <v>R-BASIC</v>
      </c>
      <c r="K819" s="65" t="str">
        <f t="shared" si="25"/>
        <v>✅ On Best Plan</v>
      </c>
      <c r="L819" s="65" t="str">
        <f>IFERROR(INDEX('Docketed Comments'!F:F,MATCH(A819,'Docketed Comments'!H:H,0)),"")</f>
        <v>Form Letter: Enough is enough! You must reject the latest 14% rate hikes by APS e TEP</v>
      </c>
      <c r="M819" s="137" t="str">
        <f>IFERROR(HYPERLINK(INDEX('Docketed Comments'!G:G,MATCH(A819,'Docketed Comments'!H:H,0)),"📄 View Docket"),"")</f>
        <v>📄 View Docket</v>
      </c>
      <c r="N819" s="135" t="str">
        <f>IFERROR(INDEX('Docketed Comments'!N:N,MATCH(A819,'Docketed Comments'!H:H,0)),"")</f>
        <v>No</v>
      </c>
      <c r="O819" s="135" t="str">
        <f>IFERROR(INDEX('Docketed Comments'!L:L,MATCH(A819,'Docketed Comments'!H:H,0)),"")</f>
        <v>Yes</v>
      </c>
      <c r="P819" s="136">
        <f t="shared" si="24"/>
        <v>0</v>
      </c>
      <c r="Q819" s="140"/>
      <c r="R819" s="144">
        <v>1</v>
      </c>
    </row>
    <row r="820" spans="1:18" ht="21.95" customHeight="1">
      <c r="A820" s="71" t="s">
        <v>3594</v>
      </c>
      <c r="B820" s="69"/>
      <c r="C820" s="70"/>
      <c r="D820" s="69"/>
      <c r="E820" s="69"/>
      <c r="F820" s="65"/>
      <c r="G820" s="65" t="s">
        <v>5811</v>
      </c>
      <c r="H820" s="65" t="str">
        <f>IFERROR(INDEX('Docketed Comments'!C:C,MATCH(A820,'Docketed Comments'!H:H,0))&amp;", "&amp;INDEX('Docketed Comments'!B:B,MATCH(A820,'Docketed Comments'!H:H,0)),"")</f>
        <v>William, Kendrick</v>
      </c>
      <c r="I820" s="65" t="str">
        <f>IFERROR(INDEX('Docketed Comments'!D:D,MATCH(A820,'Docketed Comments'!H:H,0)),"")</f>
        <v>Peoria</v>
      </c>
      <c r="J820" s="65" t="str">
        <f>IFERROR(INDEX('Docketed Comments'!I:I,MATCH(A820,'Docketed Comments'!H:H,0)),"")</f>
        <v>R3-47</v>
      </c>
      <c r="K820" s="65" t="str">
        <f t="shared" si="25"/>
        <v>✅ On Best Plan</v>
      </c>
      <c r="L820" s="65" t="str">
        <f>IFERROR(INDEX('Docketed Comments'!F:F,MATCH(A820,'Docketed Comments'!H:H,0)),"")</f>
        <v>Form Letter: Enough is enough! You must reject the latest 14% rate hikes by APS e TEP</v>
      </c>
      <c r="M820" s="137" t="str">
        <f>IFERROR(HYPERLINK(INDEX('Docketed Comments'!G:G,MATCH(A820,'Docketed Comments'!H:H,0)),"📄 View Docket"),"")</f>
        <v>📄 View Docket</v>
      </c>
      <c r="N820" s="135" t="str">
        <f>IFERROR(INDEX('Docketed Comments'!N:N,MATCH(A820,'Docketed Comments'!H:H,0)),"")</f>
        <v>No</v>
      </c>
      <c r="O820" s="135" t="str">
        <f>IFERROR(INDEX('Docketed Comments'!L:L,MATCH(A820,'Docketed Comments'!H:H,0)),"")</f>
        <v>Yes</v>
      </c>
      <c r="P820" s="136">
        <f t="shared" si="24"/>
        <v>0</v>
      </c>
      <c r="Q820" s="140"/>
      <c r="R820" s="144">
        <v>1</v>
      </c>
    </row>
    <row r="821" spans="1:18" ht="21.95" customHeight="1">
      <c r="A821" s="71" t="s">
        <v>3596</v>
      </c>
      <c r="B821" s="69"/>
      <c r="C821" s="70"/>
      <c r="D821" s="69"/>
      <c r="E821" s="69"/>
      <c r="F821" s="65"/>
      <c r="G821" s="65" t="s">
        <v>5811</v>
      </c>
      <c r="H821" s="65" t="str">
        <f>IFERROR(INDEX('Docketed Comments'!C:C,MATCH(A821,'Docketed Comments'!H:H,0))&amp;", "&amp;INDEX('Docketed Comments'!B:B,MATCH(A821,'Docketed Comments'!H:H,0)),"")</f>
        <v>James, Vastbinder</v>
      </c>
      <c r="I821" s="65" t="str">
        <f>IFERROR(INDEX('Docketed Comments'!D:D,MATCH(A821,'Docketed Comments'!H:H,0)),"")</f>
        <v>Phoenix</v>
      </c>
      <c r="J821" s="65" t="str">
        <f>IFERROR(INDEX('Docketed Comments'!I:I,MATCH(A821,'Docketed Comments'!H:H,0)),"")</f>
        <v>RCPw/TOUE-47</v>
      </c>
      <c r="K821" s="65" t="str">
        <f t="shared" si="25"/>
        <v>✅ On Best Plan</v>
      </c>
      <c r="L821" s="65" t="str">
        <f>IFERROR(INDEX('Docketed Comments'!F:F,MATCH(A821,'Docketed Comments'!H:H,0)),"")</f>
        <v>Form Letter: Enough is enough! You must reject the latest 14% rate hikes by APS e TEP</v>
      </c>
      <c r="M821" s="137" t="str">
        <f>IFERROR(HYPERLINK(INDEX('Docketed Comments'!G:G,MATCH(A821,'Docketed Comments'!H:H,0)),"📄 View Docket"),"")</f>
        <v>📄 View Docket</v>
      </c>
      <c r="N821" s="135" t="str">
        <f>IFERROR(INDEX('Docketed Comments'!N:N,MATCH(A821,'Docketed Comments'!H:H,0)),"")</f>
        <v>No</v>
      </c>
      <c r="O821" s="135" t="str">
        <f>IFERROR(INDEX('Docketed Comments'!L:L,MATCH(A821,'Docketed Comments'!H:H,0)),"")</f>
        <v>Yes</v>
      </c>
      <c r="P821" s="136">
        <f t="shared" si="24"/>
        <v>0</v>
      </c>
      <c r="Q821" s="140"/>
      <c r="R821" s="144">
        <v>1</v>
      </c>
    </row>
    <row r="822" spans="1:18" ht="21.95" customHeight="1">
      <c r="A822" s="71" t="s">
        <v>3690</v>
      </c>
      <c r="B822" s="69"/>
      <c r="C822" s="70"/>
      <c r="D822" s="69"/>
      <c r="E822" s="69"/>
      <c r="F822" s="65"/>
      <c r="G822" s="65" t="s">
        <v>5811</v>
      </c>
      <c r="H822" s="65" t="str">
        <f>IFERROR(INDEX('Docketed Comments'!C:C,MATCH(A822,'Docketed Comments'!H:H,0))&amp;", "&amp;INDEX('Docketed Comments'!B:B,MATCH(A822,'Docketed Comments'!H:H,0)),"")</f>
        <v>Davina, White</v>
      </c>
      <c r="I822" s="65" t="str">
        <f>IFERROR(INDEX('Docketed Comments'!D:D,MATCH(A822,'Docketed Comments'!H:H,0)),"")</f>
        <v>Peoria</v>
      </c>
      <c r="J822" s="65" t="str">
        <f>IFERROR(INDEX('Docketed Comments'!I:I,MATCH(A822,'Docketed Comments'!H:H,0)),"")</f>
        <v>R3-47</v>
      </c>
      <c r="K822" s="65" t="str">
        <f t="shared" si="25"/>
        <v>✅ On Best Plan</v>
      </c>
      <c r="L822" s="65" t="str">
        <f>IFERROR(INDEX('Docketed Comments'!F:F,MATCH(A822,'Docketed Comments'!H:H,0)),"")</f>
        <v>Opposed: I don't belileve residents should have to foot the bill for data centers</v>
      </c>
      <c r="M822" s="137" t="str">
        <f>IFERROR(HYPERLINK(INDEX('Docketed Comments'!G:G,MATCH(A822,'Docketed Comments'!H:H,0)),"📄 View Docket"),"")</f>
        <v>📄 View Docket</v>
      </c>
      <c r="N822" s="135" t="str">
        <f>IFERROR(INDEX('Docketed Comments'!N:N,MATCH(A822,'Docketed Comments'!H:H,0)),"")</f>
        <v>No</v>
      </c>
      <c r="O822" s="135" t="str">
        <f>IFERROR(INDEX('Docketed Comments'!L:L,MATCH(A822,'Docketed Comments'!H:H,0)),"")</f>
        <v>Yes</v>
      </c>
      <c r="P822" s="136">
        <f t="shared" si="24"/>
        <v>0</v>
      </c>
      <c r="Q822" s="140"/>
      <c r="R822" s="144">
        <v>1</v>
      </c>
    </row>
    <row r="823" spans="1:18" ht="21.95" customHeight="1">
      <c r="A823" s="71" t="s">
        <v>5364</v>
      </c>
      <c r="B823" s="69"/>
      <c r="C823" s="70"/>
      <c r="D823" s="69"/>
      <c r="E823" s="69"/>
      <c r="F823" s="65"/>
      <c r="G823" s="65" t="s">
        <v>5811</v>
      </c>
      <c r="H823" s="65" t="str">
        <f>IFERROR(INDEX('Docketed Comments'!C:C,MATCH(A823,'Docketed Comments'!H:H,0))&amp;", "&amp;INDEX('Docketed Comments'!B:B,MATCH(A823,'Docketed Comments'!H:H,0)),"")</f>
        <v>Robyn, Rieger</v>
      </c>
      <c r="I823" s="65" t="str">
        <f>IFERROR(INDEX('Docketed Comments'!D:D,MATCH(A823,'Docketed Comments'!H:H,0)),"")</f>
        <v>Scottsdale</v>
      </c>
      <c r="J823" s="65" t="str">
        <f>IFERROR(INDEX('Docketed Comments'!I:I,MATCH(A823,'Docketed Comments'!H:H,0)),"")</f>
        <v>R-XS</v>
      </c>
      <c r="K823" s="65" t="str">
        <f t="shared" si="25"/>
        <v>✅ On Best Plan</v>
      </c>
      <c r="L823" s="65" t="str">
        <f>IFERROR(INDEX('Docketed Comments'!F:F,MATCH(A823,'Docketed Comments'!H:H,0)),"")</f>
        <v>Form Letter: Enough is enough! You must reject the latest 14% rate hikes by APS e TEP</v>
      </c>
      <c r="M823" s="137" t="str">
        <f>IFERROR(HYPERLINK(INDEX('Docketed Comments'!G:G,MATCH(A823,'Docketed Comments'!H:H,0)),"📄 View Docket"),"")</f>
        <v>📄 View Docket</v>
      </c>
      <c r="N823" s="135" t="str">
        <f>IFERROR(INDEX('Docketed Comments'!N:N,MATCH(A823,'Docketed Comments'!H:H,0)),"")</f>
        <v>No</v>
      </c>
      <c r="O823" s="135" t="str">
        <f>IFERROR(INDEX('Docketed Comments'!L:L,MATCH(A823,'Docketed Comments'!H:H,0)),"")</f>
        <v>Yes</v>
      </c>
      <c r="P823" s="136">
        <f t="shared" si="24"/>
        <v>0</v>
      </c>
      <c r="Q823" s="140"/>
      <c r="R823" s="144">
        <v>1</v>
      </c>
    </row>
    <row r="824" spans="1:18" ht="21.95" customHeight="1">
      <c r="A824" s="71" t="s">
        <v>3606</v>
      </c>
      <c r="B824" s="69"/>
      <c r="C824" s="70"/>
      <c r="D824" s="69"/>
      <c r="E824" s="69"/>
      <c r="F824" s="65"/>
      <c r="G824" s="65" t="s">
        <v>5811</v>
      </c>
      <c r="H824" s="65" t="str">
        <f>IFERROR(INDEX('Docketed Comments'!C:C,MATCH(A824,'Docketed Comments'!H:H,0))&amp;", "&amp;INDEX('Docketed Comments'!B:B,MATCH(A824,'Docketed Comments'!H:H,0)),"")</f>
        <v>Taunia, Loveland</v>
      </c>
      <c r="I824" s="65" t="str">
        <f>IFERROR(INDEX('Docketed Comments'!D:D,MATCH(A824,'Docketed Comments'!H:H,0)),"")</f>
        <v>Phoenix</v>
      </c>
      <c r="J824" s="65" t="str">
        <f>IFERROR(INDEX('Docketed Comments'!I:I,MATCH(A824,'Docketed Comments'!H:H,0)),"")</f>
        <v>R3-47</v>
      </c>
      <c r="K824" s="65" t="str">
        <f t="shared" si="25"/>
        <v>✅ On Best Plan</v>
      </c>
      <c r="L824" s="65" t="str">
        <f>IFERROR(INDEX('Docketed Comments'!F:F,MATCH(A824,'Docketed Comments'!H:H,0)),"")</f>
        <v>Form Letter: Enough is enough! You must reject the latest 14% rate hikes by APS e TEP</v>
      </c>
      <c r="M824" s="137" t="str">
        <f>IFERROR(HYPERLINK(INDEX('Docketed Comments'!G:G,MATCH(A824,'Docketed Comments'!H:H,0)),"📄 View Docket"),"")</f>
        <v>📄 View Docket</v>
      </c>
      <c r="N824" s="135" t="str">
        <f>IFERROR(INDEX('Docketed Comments'!N:N,MATCH(A824,'Docketed Comments'!H:H,0)),"")</f>
        <v>No</v>
      </c>
      <c r="O824" s="135" t="str">
        <f>IFERROR(INDEX('Docketed Comments'!L:L,MATCH(A824,'Docketed Comments'!H:H,0)),"")</f>
        <v>Yes</v>
      </c>
      <c r="P824" s="136">
        <f t="shared" si="24"/>
        <v>0</v>
      </c>
      <c r="Q824" s="140"/>
      <c r="R824" s="144">
        <v>1</v>
      </c>
    </row>
    <row r="825" spans="1:18" ht="21.95" customHeight="1">
      <c r="A825" s="71" t="s">
        <v>3617</v>
      </c>
      <c r="B825" s="69"/>
      <c r="C825" s="70"/>
      <c r="D825" s="69"/>
      <c r="E825" s="69"/>
      <c r="F825" s="65"/>
      <c r="G825" s="65" t="s">
        <v>5811</v>
      </c>
      <c r="H825" s="65" t="str">
        <f>IFERROR(INDEX('Docketed Comments'!C:C,MATCH(A825,'Docketed Comments'!H:H,0))&amp;", "&amp;INDEX('Docketed Comments'!B:B,MATCH(A825,'Docketed Comments'!H:H,0)),"")</f>
        <v>Tom, Shaw</v>
      </c>
      <c r="I825" s="65" t="str">
        <f>IFERROR(INDEX('Docketed Comments'!D:D,MATCH(A825,'Docketed Comments'!H:H,0)),"")</f>
        <v>Phoenix</v>
      </c>
      <c r="J825" s="65" t="str">
        <f>IFERROR(INDEX('Docketed Comments'!I:I,MATCH(A825,'Docketed Comments'!H:H,0)),"")</f>
        <v>EPR-6w/ET-1</v>
      </c>
      <c r="K825" s="65" t="str">
        <f t="shared" si="25"/>
        <v>⚠ Frozen Plan</v>
      </c>
      <c r="L825" s="65" t="str">
        <f>IFERROR(INDEX('Docketed Comments'!F:F,MATCH(A825,'Docketed Comments'!H:H,0)),"")</f>
        <v>Form Letter: Enough is enough! You must reject the latest 14% rate hikes by APS e TEP</v>
      </c>
      <c r="M825" s="137" t="str">
        <f>IFERROR(HYPERLINK(INDEX('Docketed Comments'!G:G,MATCH(A825,'Docketed Comments'!H:H,0)),"📄 View Docket"),"")</f>
        <v>📄 View Docket</v>
      </c>
      <c r="N825" s="135" t="str">
        <f>IFERROR(INDEX('Docketed Comments'!N:N,MATCH(A825,'Docketed Comments'!H:H,0)),"")</f>
        <v>No</v>
      </c>
      <c r="O825" s="135" t="str">
        <f>IFERROR(INDEX('Docketed Comments'!L:L,MATCH(A825,'Docketed Comments'!H:H,0)),"")</f>
        <v>Frozen Plan</v>
      </c>
      <c r="P825" s="136">
        <f t="shared" si="24"/>
        <v>0</v>
      </c>
      <c r="Q825" s="140"/>
      <c r="R825" s="144">
        <v>1</v>
      </c>
    </row>
    <row r="826" spans="1:18" ht="21.95" customHeight="1">
      <c r="A826" s="71" t="s">
        <v>3619</v>
      </c>
      <c r="B826" s="69"/>
      <c r="C826" s="70"/>
      <c r="D826" s="69"/>
      <c r="E826" s="69"/>
      <c r="F826" s="65"/>
      <c r="G826" s="65" t="s">
        <v>5811</v>
      </c>
      <c r="H826" s="65" t="str">
        <f>IFERROR(INDEX('Docketed Comments'!C:C,MATCH(A826,'Docketed Comments'!H:H,0))&amp;", "&amp;INDEX('Docketed Comments'!B:B,MATCH(A826,'Docketed Comments'!H:H,0)),"")</f>
        <v>Susan, Mayberry</v>
      </c>
      <c r="I826" s="65" t="str">
        <f>IFERROR(INDEX('Docketed Comments'!D:D,MATCH(A826,'Docketed Comments'!H:H,0)),"")</f>
        <v>Prescott Valley</v>
      </c>
      <c r="J826" s="65" t="str">
        <f>IFERROR(INDEX('Docketed Comments'!I:I,MATCH(A826,'Docketed Comments'!H:H,0)),"")</f>
        <v>RTOUE47</v>
      </c>
      <c r="K826" s="65" t="str">
        <f t="shared" si="25"/>
        <v>✅ On Best Plan</v>
      </c>
      <c r="L826" s="65" t="str">
        <f>IFERROR(INDEX('Docketed Comments'!F:F,MATCH(A826,'Docketed Comments'!H:H,0)),"")</f>
        <v>Form Letter: Enough is enough! You must reject the latest 14% rate hikes by APS e TEP</v>
      </c>
      <c r="M826" s="137" t="str">
        <f>IFERROR(HYPERLINK(INDEX('Docketed Comments'!G:G,MATCH(A826,'Docketed Comments'!H:H,0)),"📄 View Docket"),"")</f>
        <v>📄 View Docket</v>
      </c>
      <c r="N826" s="135" t="str">
        <f>IFERROR(INDEX('Docketed Comments'!N:N,MATCH(A826,'Docketed Comments'!H:H,0)),"")</f>
        <v>No</v>
      </c>
      <c r="O826" s="135" t="str">
        <f>IFERROR(INDEX('Docketed Comments'!L:L,MATCH(A826,'Docketed Comments'!H:H,0)),"")</f>
        <v>Yes</v>
      </c>
      <c r="P826" s="136">
        <f t="shared" si="24"/>
        <v>0</v>
      </c>
      <c r="Q826" s="140"/>
      <c r="R826" s="144">
        <v>1</v>
      </c>
    </row>
    <row r="827" spans="1:18" ht="21.95" customHeight="1">
      <c r="A827" s="71" t="s">
        <v>3627</v>
      </c>
      <c r="B827" s="69"/>
      <c r="C827" s="70"/>
      <c r="D827" s="69"/>
      <c r="E827" s="69"/>
      <c r="F827" s="65"/>
      <c r="G827" s="65" t="s">
        <v>5811</v>
      </c>
      <c r="H827" s="65" t="str">
        <f>IFERROR(INDEX('Docketed Comments'!C:C,MATCH(A827,'Docketed Comments'!H:H,0))&amp;", "&amp;INDEX('Docketed Comments'!B:B,MATCH(A827,'Docketed Comments'!H:H,0)),"")</f>
        <v>Brandon, Brady</v>
      </c>
      <c r="I827" s="65" t="str">
        <f>IFERROR(INDEX('Docketed Comments'!D:D,MATCH(A827,'Docketed Comments'!H:H,0)),"")</f>
        <v>Phoenix</v>
      </c>
      <c r="J827" s="65" t="str">
        <f>IFERROR(INDEX('Docketed Comments'!I:I,MATCH(A827,'Docketed Comments'!H:H,0)),"")</f>
        <v>R3-47</v>
      </c>
      <c r="K827" s="65" t="str">
        <f t="shared" si="25"/>
        <v>✅ On Best Plan</v>
      </c>
      <c r="L827" s="65" t="str">
        <f>IFERROR(INDEX('Docketed Comments'!F:F,MATCH(A827,'Docketed Comments'!H:H,0)),"")</f>
        <v>Form Letter: Enough is enough! You must reject the latest 14% rate hikes by APS e TEP</v>
      </c>
      <c r="M827" s="137" t="str">
        <f>IFERROR(HYPERLINK(INDEX('Docketed Comments'!G:G,MATCH(A827,'Docketed Comments'!H:H,0)),"📄 View Docket"),"")</f>
        <v>📄 View Docket</v>
      </c>
      <c r="N827" s="135" t="str">
        <f>IFERROR(INDEX('Docketed Comments'!N:N,MATCH(A827,'Docketed Comments'!H:H,0)),"")</f>
        <v>No</v>
      </c>
      <c r="O827" s="135" t="str">
        <f>IFERROR(INDEX('Docketed Comments'!L:L,MATCH(A827,'Docketed Comments'!H:H,0)),"")</f>
        <v>Yes</v>
      </c>
      <c r="P827" s="136">
        <f t="shared" si="24"/>
        <v>0</v>
      </c>
      <c r="Q827" s="140"/>
      <c r="R827" s="144">
        <v>1</v>
      </c>
    </row>
    <row r="828" spans="1:18" ht="21.95" customHeight="1">
      <c r="A828" s="71" t="s">
        <v>3634</v>
      </c>
      <c r="B828" s="69"/>
      <c r="C828" s="70"/>
      <c r="D828" s="69"/>
      <c r="E828" s="69"/>
      <c r="F828" s="65"/>
      <c r="G828" s="65" t="s">
        <v>5811</v>
      </c>
      <c r="H828" s="65" t="str">
        <f>IFERROR(INDEX('Docketed Comments'!C:C,MATCH(A828,'Docketed Comments'!H:H,0))&amp;", "&amp;INDEX('Docketed Comments'!B:B,MATCH(A828,'Docketed Comments'!H:H,0)),"")</f>
        <v>Brian, LaBarbera</v>
      </c>
      <c r="I828" s="65" t="str">
        <f>IFERROR(INDEX('Docketed Comments'!D:D,MATCH(A828,'Docketed Comments'!H:H,0)),"")</f>
        <v>Phoenix</v>
      </c>
      <c r="J828" s="65" t="str">
        <f>IFERROR(INDEX('Docketed Comments'!I:I,MATCH(A828,'Docketed Comments'!H:H,0)),"")</f>
        <v>R-2</v>
      </c>
      <c r="K828" s="65" t="str">
        <f t="shared" si="25"/>
        <v>⚠ Frozen Plan</v>
      </c>
      <c r="L828" s="65" t="str">
        <f>IFERROR(INDEX('Docketed Comments'!F:F,MATCH(A828,'Docketed Comments'!H:H,0)),"")</f>
        <v>Form Letter: Enough is enough! You must reject the latest 14% rate hikes by APS e TEP</v>
      </c>
      <c r="M828" s="137" t="str">
        <f>IFERROR(HYPERLINK(INDEX('Docketed Comments'!G:G,MATCH(A828,'Docketed Comments'!H:H,0)),"📄 View Docket"),"")</f>
        <v>📄 View Docket</v>
      </c>
      <c r="N828" s="135" t="str">
        <f>IFERROR(INDEX('Docketed Comments'!N:N,MATCH(A828,'Docketed Comments'!H:H,0)),"")</f>
        <v>No</v>
      </c>
      <c r="O828" s="135" t="str">
        <f>IFERROR(INDEX('Docketed Comments'!L:L,MATCH(A828,'Docketed Comments'!H:H,0)),"")</f>
        <v>Frozen Plan</v>
      </c>
      <c r="P828" s="136">
        <f t="shared" si="24"/>
        <v>0</v>
      </c>
      <c r="Q828" s="140"/>
      <c r="R828" s="144">
        <v>1</v>
      </c>
    </row>
    <row r="829" spans="1:18" ht="21.95" customHeight="1">
      <c r="A829" s="71" t="s">
        <v>3641</v>
      </c>
      <c r="B829" s="69"/>
      <c r="C829" s="70"/>
      <c r="D829" s="69"/>
      <c r="E829" s="69"/>
      <c r="F829" s="65"/>
      <c r="G829" s="65" t="s">
        <v>5811</v>
      </c>
      <c r="H829" s="65" t="str">
        <f>IFERROR(INDEX('Docketed Comments'!C:C,MATCH(A829,'Docketed Comments'!H:H,0))&amp;", "&amp;INDEX('Docketed Comments'!B:B,MATCH(A829,'Docketed Comments'!H:H,0)),"")</f>
        <v>Sandra, Anderson</v>
      </c>
      <c r="I829" s="65" t="str">
        <f>IFERROR(INDEX('Docketed Comments'!D:D,MATCH(A829,'Docketed Comments'!H:H,0)),"")</f>
        <v>Florence</v>
      </c>
      <c r="J829" s="65" t="str">
        <f>IFERROR(INDEX('Docketed Comments'!I:I,MATCH(A829,'Docketed Comments'!H:H,0)),"")</f>
        <v>RCPw/R-2</v>
      </c>
      <c r="K829" s="65" t="str">
        <f t="shared" si="25"/>
        <v>⚠ Frozen Plan</v>
      </c>
      <c r="L829" s="65" t="str">
        <f>IFERROR(INDEX('Docketed Comments'!F:F,MATCH(A829,'Docketed Comments'!H:H,0)),"")</f>
        <v>Form Letter: Enough is enough! You must reject the latest 14% rate hikes by APS e TEP</v>
      </c>
      <c r="M829" s="137" t="str">
        <f>IFERROR(HYPERLINK(INDEX('Docketed Comments'!G:G,MATCH(A829,'Docketed Comments'!H:H,0)),"📄 View Docket"),"")</f>
        <v>📄 View Docket</v>
      </c>
      <c r="N829" s="135" t="str">
        <f>IFERROR(INDEX('Docketed Comments'!N:N,MATCH(A829,'Docketed Comments'!H:H,0)),"")</f>
        <v>No</v>
      </c>
      <c r="O829" s="135" t="str">
        <f>IFERROR(INDEX('Docketed Comments'!L:L,MATCH(A829,'Docketed Comments'!H:H,0)),"")</f>
        <v>Frozen Plan</v>
      </c>
      <c r="P829" s="136">
        <f t="shared" si="24"/>
        <v>0</v>
      </c>
      <c r="Q829" s="140"/>
      <c r="R829" s="144">
        <v>1</v>
      </c>
    </row>
    <row r="830" spans="1:18" ht="21.95" customHeight="1">
      <c r="A830" s="71" t="s">
        <v>3646</v>
      </c>
      <c r="B830" s="69"/>
      <c r="C830" s="70"/>
      <c r="D830" s="69"/>
      <c r="E830" s="69"/>
      <c r="F830" s="65"/>
      <c r="G830" s="65" t="s">
        <v>5811</v>
      </c>
      <c r="H830" s="65" t="str">
        <f>IFERROR(INDEX('Docketed Comments'!C:C,MATCH(A830,'Docketed Comments'!H:H,0))&amp;", "&amp;INDEX('Docketed Comments'!B:B,MATCH(A830,'Docketed Comments'!H:H,0)),"")</f>
        <v>Walter, Walewski</v>
      </c>
      <c r="I830" s="65" t="str">
        <f>IFERROR(INDEX('Docketed Comments'!D:D,MATCH(A830,'Docketed Comments'!H:H,0)),"")</f>
        <v>Phoenix</v>
      </c>
      <c r="J830" s="65" t="str">
        <f>IFERROR(INDEX('Docketed Comments'!I:I,MATCH(A830,'Docketed Comments'!H:H,0)),"")</f>
        <v>R3-47</v>
      </c>
      <c r="K830" s="65" t="str">
        <f t="shared" si="25"/>
        <v>✅ On Best Plan</v>
      </c>
      <c r="L830" s="65" t="str">
        <f>IFERROR(INDEX('Docketed Comments'!F:F,MATCH(A830,'Docketed Comments'!H:H,0)),"")</f>
        <v>Form Letter: Enough is enough! You must reject the latest 14% rate hikes by APS e TEP</v>
      </c>
      <c r="M830" s="137" t="str">
        <f>IFERROR(HYPERLINK(INDEX('Docketed Comments'!G:G,MATCH(A830,'Docketed Comments'!H:H,0)),"📄 View Docket"),"")</f>
        <v>📄 View Docket</v>
      </c>
      <c r="N830" s="135" t="str">
        <f>IFERROR(INDEX('Docketed Comments'!N:N,MATCH(A830,'Docketed Comments'!H:H,0)),"")</f>
        <v>No</v>
      </c>
      <c r="O830" s="135" t="str">
        <f>IFERROR(INDEX('Docketed Comments'!L:L,MATCH(A830,'Docketed Comments'!H:H,0)),"")</f>
        <v>Yes</v>
      </c>
      <c r="P830" s="136">
        <f t="shared" si="24"/>
        <v>0</v>
      </c>
      <c r="Q830" s="140"/>
      <c r="R830" s="144">
        <v>1</v>
      </c>
    </row>
    <row r="831" spans="1:18" ht="21.95" customHeight="1">
      <c r="A831" s="71" t="s">
        <v>3651</v>
      </c>
      <c r="B831" s="69"/>
      <c r="C831" s="70"/>
      <c r="D831" s="69"/>
      <c r="E831" s="69"/>
      <c r="F831" s="65"/>
      <c r="G831" s="65" t="s">
        <v>5811</v>
      </c>
      <c r="H831" s="65" t="str">
        <f>IFERROR(INDEX('Docketed Comments'!C:C,MATCH(A831,'Docketed Comments'!H:H,0))&amp;", "&amp;INDEX('Docketed Comments'!B:B,MATCH(A831,'Docketed Comments'!H:H,0)),"")</f>
        <v>Karen, Nelson</v>
      </c>
      <c r="I831" s="65" t="str">
        <f>IFERROR(INDEX('Docketed Comments'!D:D,MATCH(A831,'Docketed Comments'!H:H,0)),"")</f>
        <v>Flagstaff</v>
      </c>
      <c r="J831" s="65" t="str">
        <f>IFERROR(INDEX('Docketed Comments'!I:I,MATCH(A831,'Docketed Comments'!H:H,0)),"")</f>
        <v>R3-47</v>
      </c>
      <c r="K831" s="65" t="str">
        <f t="shared" si="25"/>
        <v>✅ On Best Plan</v>
      </c>
      <c r="L831" s="65" t="str">
        <f>IFERROR(INDEX('Docketed Comments'!F:F,MATCH(A831,'Docketed Comments'!H:H,0)),"")</f>
        <v>Form Letter: Enough is enough! You must reject the latest 14% rate hikes by APS e TEP</v>
      </c>
      <c r="M831" s="137" t="str">
        <f>IFERROR(HYPERLINK(INDEX('Docketed Comments'!G:G,MATCH(A831,'Docketed Comments'!H:H,0)),"📄 View Docket"),"")</f>
        <v>📄 View Docket</v>
      </c>
      <c r="N831" s="135" t="str">
        <f>IFERROR(INDEX('Docketed Comments'!N:N,MATCH(A831,'Docketed Comments'!H:H,0)),"")</f>
        <v>No</v>
      </c>
      <c r="O831" s="135" t="str">
        <f>IFERROR(INDEX('Docketed Comments'!L:L,MATCH(A831,'Docketed Comments'!H:H,0)),"")</f>
        <v>Yes</v>
      </c>
      <c r="P831" s="136">
        <f t="shared" si="24"/>
        <v>0</v>
      </c>
      <c r="Q831" s="140"/>
      <c r="R831" s="144">
        <v>1</v>
      </c>
    </row>
    <row r="832" spans="1:18" ht="21.95" customHeight="1">
      <c r="A832" s="71" t="s">
        <v>5365</v>
      </c>
      <c r="B832" s="69"/>
      <c r="C832" s="70"/>
      <c r="D832" s="69"/>
      <c r="E832" s="69"/>
      <c r="F832" s="65"/>
      <c r="G832" s="65" t="s">
        <v>5811</v>
      </c>
      <c r="H832" s="65" t="str">
        <f>IFERROR(INDEX('Docketed Comments'!C:C,MATCH(A832,'Docketed Comments'!H:H,0))&amp;", "&amp;INDEX('Docketed Comments'!B:B,MATCH(A832,'Docketed Comments'!H:H,0)),"")</f>
        <v>Elaine, Williamson</v>
      </c>
      <c r="I832" s="65" t="str">
        <f>IFERROR(INDEX('Docketed Comments'!D:D,MATCH(A832,'Docketed Comments'!H:H,0)),"")</f>
        <v>Peoria</v>
      </c>
      <c r="J832" s="65" t="str">
        <f>IFERROR(INDEX('Docketed Comments'!I:I,MATCH(A832,'Docketed Comments'!H:H,0)),"")</f>
        <v>R3-47</v>
      </c>
      <c r="K832" s="65" t="str">
        <f t="shared" si="25"/>
        <v>✅ On Best Plan</v>
      </c>
      <c r="L832" s="65" t="str">
        <f>IFERROR(INDEX('Docketed Comments'!F:F,MATCH(A832,'Docketed Comments'!H:H,0)),"")</f>
        <v>Form Letter: Enough is enough! You must reject the latest 14% rate hikes by APS e TEP</v>
      </c>
      <c r="M832" s="137" t="str">
        <f>IFERROR(HYPERLINK(INDEX('Docketed Comments'!G:G,MATCH(A832,'Docketed Comments'!H:H,0)),"📄 View Docket"),"")</f>
        <v>📄 View Docket</v>
      </c>
      <c r="N832" s="135" t="str">
        <f>IFERROR(INDEX('Docketed Comments'!N:N,MATCH(A832,'Docketed Comments'!H:H,0)),"")</f>
        <v>No</v>
      </c>
      <c r="O832" s="135" t="str">
        <f>IFERROR(INDEX('Docketed Comments'!L:L,MATCH(A832,'Docketed Comments'!H:H,0)),"")</f>
        <v>Yes</v>
      </c>
      <c r="P832" s="136">
        <f t="shared" si="24"/>
        <v>0</v>
      </c>
      <c r="Q832" s="140"/>
      <c r="R832" s="144">
        <v>1</v>
      </c>
    </row>
    <row r="833" spans="1:18" ht="21.95" customHeight="1">
      <c r="A833" s="71" t="s">
        <v>3661</v>
      </c>
      <c r="B833" s="69"/>
      <c r="C833" s="70"/>
      <c r="D833" s="69"/>
      <c r="E833" s="69"/>
      <c r="F833" s="65"/>
      <c r="G833" s="65" t="s">
        <v>5811</v>
      </c>
      <c r="H833" s="65" t="str">
        <f>IFERROR(INDEX('Docketed Comments'!C:C,MATCH(A833,'Docketed Comments'!H:H,0))&amp;", "&amp;INDEX('Docketed Comments'!B:B,MATCH(A833,'Docketed Comments'!H:H,0)),"")</f>
        <v>Judy, Furlong</v>
      </c>
      <c r="I833" s="65" t="str">
        <f>IFERROR(INDEX('Docketed Comments'!D:D,MATCH(A833,'Docketed Comments'!H:H,0)),"")</f>
        <v>Phoenix</v>
      </c>
      <c r="J833" s="65" t="str">
        <f>IFERROR(INDEX('Docketed Comments'!I:I,MATCH(A833,'Docketed Comments'!H:H,0)),"")</f>
        <v>R3-47</v>
      </c>
      <c r="K833" s="65" t="str">
        <f t="shared" si="25"/>
        <v>✅ On Best Plan</v>
      </c>
      <c r="L833" s="65" t="str">
        <f>IFERROR(INDEX('Docketed Comments'!F:F,MATCH(A833,'Docketed Comments'!H:H,0)),"")</f>
        <v>Form Letter: Enough is enough! You must reject the latest 14% rate hikes by APS e TEP</v>
      </c>
      <c r="M833" s="137" t="str">
        <f>IFERROR(HYPERLINK(INDEX('Docketed Comments'!G:G,MATCH(A833,'Docketed Comments'!H:H,0)),"📄 View Docket"),"")</f>
        <v>📄 View Docket</v>
      </c>
      <c r="N833" s="135" t="str">
        <f>IFERROR(INDEX('Docketed Comments'!N:N,MATCH(A833,'Docketed Comments'!H:H,0)),"")</f>
        <v>No</v>
      </c>
      <c r="O833" s="135" t="str">
        <f>IFERROR(INDEX('Docketed Comments'!L:L,MATCH(A833,'Docketed Comments'!H:H,0)),"")</f>
        <v>Yes</v>
      </c>
      <c r="P833" s="136">
        <f t="shared" si="24"/>
        <v>0</v>
      </c>
      <c r="Q833" s="140"/>
      <c r="R833" s="144">
        <v>1</v>
      </c>
    </row>
    <row r="834" spans="1:18" ht="21.95" customHeight="1">
      <c r="A834" s="71" t="s">
        <v>3663</v>
      </c>
      <c r="B834" s="69"/>
      <c r="C834" s="70"/>
      <c r="D834" s="69"/>
      <c r="E834" s="69"/>
      <c r="F834" s="65"/>
      <c r="G834" s="65" t="s">
        <v>5811</v>
      </c>
      <c r="H834" s="65" t="str">
        <f>IFERROR(INDEX('Docketed Comments'!C:C,MATCH(A834,'Docketed Comments'!H:H,0))&amp;", "&amp;INDEX('Docketed Comments'!B:B,MATCH(A834,'Docketed Comments'!H:H,0)),"")</f>
        <v>Sandra, Aycock</v>
      </c>
      <c r="I834" s="65" t="str">
        <f>IFERROR(INDEX('Docketed Comments'!D:D,MATCH(A834,'Docketed Comments'!H:H,0)),"")</f>
        <v>Glendale</v>
      </c>
      <c r="J834" s="65" t="str">
        <f>IFERROR(INDEX('Docketed Comments'!I:I,MATCH(A834,'Docketed Comments'!H:H,0)),"")</f>
        <v>R3-47</v>
      </c>
      <c r="K834" s="65" t="str">
        <f t="shared" si="25"/>
        <v>✅ On Best Plan</v>
      </c>
      <c r="L834" s="65" t="str">
        <f>IFERROR(INDEX('Docketed Comments'!F:F,MATCH(A834,'Docketed Comments'!H:H,0)),"")</f>
        <v>Form Letter: Enough is enough! You must reject the latest 14% rate hikes by APS e TEP</v>
      </c>
      <c r="M834" s="137" t="str">
        <f>IFERROR(HYPERLINK(INDEX('Docketed Comments'!G:G,MATCH(A834,'Docketed Comments'!H:H,0)),"📄 View Docket"),"")</f>
        <v>📄 View Docket</v>
      </c>
      <c r="N834" s="135" t="str">
        <f>IFERROR(INDEX('Docketed Comments'!N:N,MATCH(A834,'Docketed Comments'!H:H,0)),"")</f>
        <v>No</v>
      </c>
      <c r="O834" s="135" t="str">
        <f>IFERROR(INDEX('Docketed Comments'!L:L,MATCH(A834,'Docketed Comments'!H:H,0)),"")</f>
        <v>Yes</v>
      </c>
      <c r="P834" s="136">
        <f t="shared" ref="P834:P897" si="26">IFERROR(IF(ISNUMBER(SEARCH("$",O834)),VALUE(SUBSTITUTE(SUBSTITUTE(MID(O834,FIND("$",O834)+1,FIND(")",O834)-FIND("$",O834)-1),",","")," ","")),VALUE(SUBSTITUTE(SUBSTITUTE(MID(O834,FIND("(",O834)+1,FIND(")",O834)-FIND("(",O834)-1),",","")," ",""))),0)</f>
        <v>0</v>
      </c>
      <c r="Q834" s="140"/>
      <c r="R834" s="144">
        <v>1</v>
      </c>
    </row>
    <row r="835" spans="1:18" ht="21.95" customHeight="1">
      <c r="A835" s="71" t="s">
        <v>3668</v>
      </c>
      <c r="B835" s="69"/>
      <c r="C835" s="70"/>
      <c r="D835" s="69"/>
      <c r="E835" s="69"/>
      <c r="F835" s="65"/>
      <c r="G835" s="65" t="s">
        <v>5811</v>
      </c>
      <c r="H835" s="65" t="str">
        <f>IFERROR(INDEX('Docketed Comments'!C:C,MATCH(A835,'Docketed Comments'!H:H,0))&amp;", "&amp;INDEX('Docketed Comments'!B:B,MATCH(A835,'Docketed Comments'!H:H,0)),"")</f>
        <v>Jason, Sise</v>
      </c>
      <c r="I835" s="65" t="str">
        <f>IFERROR(INDEX('Docketed Comments'!D:D,MATCH(A835,'Docketed Comments'!H:H,0)),"")</f>
        <v>Phoenix</v>
      </c>
      <c r="J835" s="65" t="str">
        <f>IFERROR(INDEX('Docketed Comments'!I:I,MATCH(A835,'Docketed Comments'!H:H,0)),"")</f>
        <v>R3-47</v>
      </c>
      <c r="K835" s="65" t="str">
        <f t="shared" ref="K835:K898" si="27">IFERROR(IF(OR(LEFT(O835,2)="No",LEFT(O835,3)="Not"),"❌ Not on Best Plan",IF(OR(O835="Yes",O835="Y",O835="Yes "),"✅ On Best Plan","⚠ "&amp;O835)),"")</f>
        <v>✅ On Best Plan</v>
      </c>
      <c r="L835" s="65" t="str">
        <f>IFERROR(INDEX('Docketed Comments'!F:F,MATCH(A835,'Docketed Comments'!H:H,0)),"")</f>
        <v>Form Letter: Enough is enough! You must reject the latest 14% rate hikes by APS e TEP</v>
      </c>
      <c r="M835" s="137" t="str">
        <f>IFERROR(HYPERLINK(INDEX('Docketed Comments'!G:G,MATCH(A835,'Docketed Comments'!H:H,0)),"📄 View Docket"),"")</f>
        <v>📄 View Docket</v>
      </c>
      <c r="N835" s="135" t="str">
        <f>IFERROR(INDEX('Docketed Comments'!N:N,MATCH(A835,'Docketed Comments'!H:H,0)),"")</f>
        <v>No</v>
      </c>
      <c r="O835" s="135" t="str">
        <f>IFERROR(INDEX('Docketed Comments'!L:L,MATCH(A835,'Docketed Comments'!H:H,0)),"")</f>
        <v>Yes</v>
      </c>
      <c r="P835" s="136">
        <f t="shared" si="26"/>
        <v>0</v>
      </c>
      <c r="Q835" s="140"/>
      <c r="R835" s="144">
        <v>1</v>
      </c>
    </row>
    <row r="836" spans="1:18" ht="21.95" customHeight="1">
      <c r="A836" s="71" t="s">
        <v>3671</v>
      </c>
      <c r="B836" s="69"/>
      <c r="C836" s="70"/>
      <c r="D836" s="69"/>
      <c r="E836" s="69"/>
      <c r="F836" s="65"/>
      <c r="G836" s="65" t="s">
        <v>5811</v>
      </c>
      <c r="H836" s="65" t="str">
        <f>IFERROR(INDEX('Docketed Comments'!C:C,MATCH(A836,'Docketed Comments'!H:H,0))&amp;", "&amp;INDEX('Docketed Comments'!B:B,MATCH(A836,'Docketed Comments'!H:H,0)),"")</f>
        <v>Leslie, Cummings</v>
      </c>
      <c r="I836" s="65" t="str">
        <f>IFERROR(INDEX('Docketed Comments'!D:D,MATCH(A836,'Docketed Comments'!H:H,0)),"")</f>
        <v>Phoenix</v>
      </c>
      <c r="J836" s="65" t="str">
        <f>IFERROR(INDEX('Docketed Comments'!I:I,MATCH(A836,'Docketed Comments'!H:H,0)),"")</f>
        <v>R-XS</v>
      </c>
      <c r="K836" s="65" t="str">
        <f t="shared" si="27"/>
        <v>✅ On Best Plan</v>
      </c>
      <c r="L836" s="65" t="str">
        <f>IFERROR(INDEX('Docketed Comments'!F:F,MATCH(A836,'Docketed Comments'!H:H,0)),"")</f>
        <v>Opposed: Data Centers are causing the issue; vote for the people not the corporations</v>
      </c>
      <c r="M836" s="137" t="str">
        <f>IFERROR(HYPERLINK(INDEX('Docketed Comments'!G:G,MATCH(A836,'Docketed Comments'!H:H,0)),"📄 View Docket"),"")</f>
        <v>📄 View Docket</v>
      </c>
      <c r="N836" s="135" t="str">
        <f>IFERROR(INDEX('Docketed Comments'!N:N,MATCH(A836,'Docketed Comments'!H:H,0)),"")</f>
        <v>No</v>
      </c>
      <c r="O836" s="135" t="str">
        <f>IFERROR(INDEX('Docketed Comments'!L:L,MATCH(A836,'Docketed Comments'!H:H,0)),"")</f>
        <v>Yes</v>
      </c>
      <c r="P836" s="136">
        <f t="shared" si="26"/>
        <v>0</v>
      </c>
      <c r="Q836" s="140"/>
      <c r="R836" s="144">
        <v>1</v>
      </c>
    </row>
    <row r="837" spans="1:18" ht="21.95" customHeight="1">
      <c r="A837" s="71" t="s">
        <v>3675</v>
      </c>
      <c r="B837" s="69"/>
      <c r="C837" s="70"/>
      <c r="D837" s="69"/>
      <c r="E837" s="69"/>
      <c r="F837" s="65"/>
      <c r="G837" s="65" t="s">
        <v>5811</v>
      </c>
      <c r="H837" s="65" t="str">
        <f>IFERROR(INDEX('Docketed Comments'!C:C,MATCH(A837,'Docketed Comments'!H:H,0))&amp;", "&amp;INDEX('Docketed Comments'!B:B,MATCH(A837,'Docketed Comments'!H:H,0)),"")</f>
        <v>Marcie, Patrovich</v>
      </c>
      <c r="I837" s="65" t="str">
        <f>IFERROR(INDEX('Docketed Comments'!D:D,MATCH(A837,'Docketed Comments'!H:H,0)),"")</f>
        <v>Goodyear</v>
      </c>
      <c r="J837" s="65" t="str">
        <f>IFERROR(INDEX('Docketed Comments'!I:I,MATCH(A837,'Docketed Comments'!H:H,0)),"")</f>
        <v>EPR6w/ET-2</v>
      </c>
      <c r="K837" s="65" t="str">
        <f t="shared" si="27"/>
        <v>⚠ Frozen Plan</v>
      </c>
      <c r="L837" s="65" t="str">
        <f>IFERROR(INDEX('Docketed Comments'!F:F,MATCH(A837,'Docketed Comments'!H:H,0)),"")</f>
        <v>Opposed: Too many fees, deny the rate increase</v>
      </c>
      <c r="M837" s="137" t="str">
        <f>IFERROR(HYPERLINK(INDEX('Docketed Comments'!G:G,MATCH(A837,'Docketed Comments'!H:H,0)),"📄 View Docket"),"")</f>
        <v>📄 View Docket</v>
      </c>
      <c r="N837" s="135" t="str">
        <f>IFERROR(INDEX('Docketed Comments'!N:N,MATCH(A837,'Docketed Comments'!H:H,0)),"")</f>
        <v>No</v>
      </c>
      <c r="O837" s="135" t="str">
        <f>IFERROR(INDEX('Docketed Comments'!L:L,MATCH(A837,'Docketed Comments'!H:H,0)),"")</f>
        <v>Frozen Plan</v>
      </c>
      <c r="P837" s="136">
        <f t="shared" si="26"/>
        <v>0</v>
      </c>
      <c r="Q837" s="140"/>
      <c r="R837" s="144">
        <v>1</v>
      </c>
    </row>
    <row r="838" spans="1:18" ht="21.95" customHeight="1">
      <c r="A838" s="71" t="s">
        <v>3681</v>
      </c>
      <c r="B838" s="69"/>
      <c r="C838" s="70"/>
      <c r="D838" s="69"/>
      <c r="E838" s="69"/>
      <c r="F838" s="65"/>
      <c r="G838" s="65" t="s">
        <v>5811</v>
      </c>
      <c r="H838" s="65" t="str">
        <f>IFERROR(INDEX('Docketed Comments'!C:C,MATCH(A838,'Docketed Comments'!H:H,0))&amp;", "&amp;INDEX('Docketed Comments'!B:B,MATCH(A838,'Docketed Comments'!H:H,0)),"")</f>
        <v>Marlene, Macek</v>
      </c>
      <c r="I838" s="65" t="str">
        <f>IFERROR(INDEX('Docketed Comments'!D:D,MATCH(A838,'Docketed Comments'!H:H,0)),"")</f>
        <v>Sedona</v>
      </c>
      <c r="J838" s="65" t="str">
        <f>IFERROR(INDEX('Docketed Comments'!I:I,MATCH(A838,'Docketed Comments'!H:H,0)),"")</f>
        <v>EPR6w/ET-2</v>
      </c>
      <c r="K838" s="65" t="str">
        <f t="shared" si="27"/>
        <v>⚠ Frozen Plan</v>
      </c>
      <c r="L838" s="65" t="str">
        <f>IFERROR(INDEX('Docketed Comments'!F:F,MATCH(A838,'Docketed Comments'!H:H,0)),"")</f>
        <v>Opposed: APS is highly profitable. What about APS's expenses and spending?</v>
      </c>
      <c r="M838" s="137" t="str">
        <f>IFERROR(HYPERLINK(INDEX('Docketed Comments'!G:G,MATCH(A838,'Docketed Comments'!H:H,0)),"📄 View Docket"),"")</f>
        <v>📄 View Docket</v>
      </c>
      <c r="N838" s="135" t="str">
        <f>IFERROR(INDEX('Docketed Comments'!N:N,MATCH(A838,'Docketed Comments'!H:H,0)),"")</f>
        <v>No</v>
      </c>
      <c r="O838" s="135" t="str">
        <f>IFERROR(INDEX('Docketed Comments'!L:L,MATCH(A838,'Docketed Comments'!H:H,0)),"")</f>
        <v>Frozen Plan</v>
      </c>
      <c r="P838" s="136">
        <f t="shared" si="26"/>
        <v>0</v>
      </c>
      <c r="Q838" s="140"/>
      <c r="R838" s="144">
        <v>1</v>
      </c>
    </row>
    <row r="839" spans="1:18" ht="21.95" customHeight="1">
      <c r="A839" s="71" t="s">
        <v>3687</v>
      </c>
      <c r="B839" s="69"/>
      <c r="C839" s="70"/>
      <c r="D839" s="69"/>
      <c r="E839" s="69"/>
      <c r="F839" s="65"/>
      <c r="G839" s="65" t="s">
        <v>5811</v>
      </c>
      <c r="H839" s="65" t="str">
        <f>IFERROR(INDEX('Docketed Comments'!C:C,MATCH(A839,'Docketed Comments'!H:H,0))&amp;", "&amp;INDEX('Docketed Comments'!B:B,MATCH(A839,'Docketed Comments'!H:H,0)),"")</f>
        <v>Marie, Palowoda</v>
      </c>
      <c r="I839" s="65" t="str">
        <f>IFERROR(INDEX('Docketed Comments'!D:D,MATCH(A839,'Docketed Comments'!H:H,0)),"")</f>
        <v>Cottonwood</v>
      </c>
      <c r="J839" s="65" t="str">
        <f>IFERROR(INDEX('Docketed Comments'!I:I,MATCH(A839,'Docketed Comments'!H:H,0)),"")</f>
        <v>R-XS</v>
      </c>
      <c r="K839" s="65" t="str">
        <f t="shared" si="27"/>
        <v>✅ On Best Plan</v>
      </c>
      <c r="L839" s="65" t="str">
        <f>IFERROR(INDEX('Docketed Comments'!F:F,MATCH(A839,'Docketed Comments'!H:H,0)),"")</f>
        <v>APS just had a rate increase and $600 M in neet income. Prices are drive up becuase of EV charging ad Data Centers.</v>
      </c>
      <c r="M839" s="137" t="str">
        <f>IFERROR(HYPERLINK(INDEX('Docketed Comments'!G:G,MATCH(A839,'Docketed Comments'!H:H,0)),"📄 View Docket"),"")</f>
        <v>📄 View Docket</v>
      </c>
      <c r="N839" s="135" t="str">
        <f>IFERROR(INDEX('Docketed Comments'!N:N,MATCH(A839,'Docketed Comments'!H:H,0)),"")</f>
        <v>No</v>
      </c>
      <c r="O839" s="135" t="str">
        <f>IFERROR(INDEX('Docketed Comments'!L:L,MATCH(A839,'Docketed Comments'!H:H,0)),"")</f>
        <v>Yes</v>
      </c>
      <c r="P839" s="136">
        <f t="shared" si="26"/>
        <v>0</v>
      </c>
      <c r="Q839" s="140"/>
      <c r="R839" s="144">
        <v>1</v>
      </c>
    </row>
    <row r="840" spans="1:18" ht="21.95" customHeight="1">
      <c r="A840" s="71" t="s">
        <v>3690</v>
      </c>
      <c r="B840" s="69"/>
      <c r="C840" s="70"/>
      <c r="D840" s="69"/>
      <c r="E840" s="69"/>
      <c r="F840" s="65"/>
      <c r="G840" s="65" t="s">
        <v>5811</v>
      </c>
      <c r="H840" s="65" t="str">
        <f>IFERROR(INDEX('Docketed Comments'!C:C,MATCH(A840,'Docketed Comments'!H:H,0))&amp;", "&amp;INDEX('Docketed Comments'!B:B,MATCH(A840,'Docketed Comments'!H:H,0)),"")</f>
        <v>Davina, White</v>
      </c>
      <c r="I840" s="65" t="str">
        <f>IFERROR(INDEX('Docketed Comments'!D:D,MATCH(A840,'Docketed Comments'!H:H,0)),"")</f>
        <v>Peoria</v>
      </c>
      <c r="J840" s="65" t="str">
        <f>IFERROR(INDEX('Docketed Comments'!I:I,MATCH(A840,'Docketed Comments'!H:H,0)),"")</f>
        <v>R3-47</v>
      </c>
      <c r="K840" s="65" t="str">
        <f t="shared" si="27"/>
        <v>✅ On Best Plan</v>
      </c>
      <c r="L840" s="65" t="str">
        <f>IFERROR(INDEX('Docketed Comments'!F:F,MATCH(A840,'Docketed Comments'!H:H,0)),"")</f>
        <v>Opposed: I don't belileve residents should have to foot the bill for data centers</v>
      </c>
      <c r="M840" s="137" t="str">
        <f>IFERROR(HYPERLINK(INDEX('Docketed Comments'!G:G,MATCH(A840,'Docketed Comments'!H:H,0)),"📄 View Docket"),"")</f>
        <v>📄 View Docket</v>
      </c>
      <c r="N840" s="135" t="str">
        <f>IFERROR(INDEX('Docketed Comments'!N:N,MATCH(A840,'Docketed Comments'!H:H,0)),"")</f>
        <v>No</v>
      </c>
      <c r="O840" s="135" t="str">
        <f>IFERROR(INDEX('Docketed Comments'!L:L,MATCH(A840,'Docketed Comments'!H:H,0)),"")</f>
        <v>Yes</v>
      </c>
      <c r="P840" s="136">
        <f t="shared" si="26"/>
        <v>0</v>
      </c>
      <c r="Q840" s="140"/>
      <c r="R840" s="144">
        <v>1</v>
      </c>
    </row>
    <row r="841" spans="1:18" ht="21.95" customHeight="1">
      <c r="A841" s="71" t="s">
        <v>3694</v>
      </c>
      <c r="B841" s="69"/>
      <c r="C841" s="70"/>
      <c r="D841" s="69"/>
      <c r="E841" s="69"/>
      <c r="F841" s="65"/>
      <c r="G841" s="65" t="s">
        <v>5811</v>
      </c>
      <c r="H841" s="65" t="str">
        <f>IFERROR(INDEX('Docketed Comments'!C:C,MATCH(A841,'Docketed Comments'!H:H,0))&amp;", "&amp;INDEX('Docketed Comments'!B:B,MATCH(A841,'Docketed Comments'!H:H,0)),"")</f>
        <v>Carol (Phil), Hatler</v>
      </c>
      <c r="I841" s="65" t="str">
        <f>IFERROR(INDEX('Docketed Comments'!D:D,MATCH(A841,'Docketed Comments'!H:H,0)),"")</f>
        <v>Sun City</v>
      </c>
      <c r="J841" s="65" t="str">
        <f>IFERROR(INDEX('Docketed Comments'!I:I,MATCH(A841,'Docketed Comments'!H:H,0)),"")</f>
        <v>RTOUE47</v>
      </c>
      <c r="K841" s="65" t="str">
        <f t="shared" si="27"/>
        <v>✅ On Best Plan</v>
      </c>
      <c r="L841" s="65" t="str">
        <f>IFERROR(INDEX('Docketed Comments'!F:F,MATCH(A841,'Docketed Comments'!H:H,0)),"")</f>
        <v>Deny rate increase: quoting Kris Mayes</v>
      </c>
      <c r="M841" s="137" t="str">
        <f>IFERROR(HYPERLINK(INDEX('Docketed Comments'!G:G,MATCH(A841,'Docketed Comments'!H:H,0)),"📄 View Docket"),"")</f>
        <v>📄 View Docket</v>
      </c>
      <c r="N841" s="135" t="str">
        <f>IFERROR(INDEX('Docketed Comments'!N:N,MATCH(A841,'Docketed Comments'!H:H,0)),"")</f>
        <v>No</v>
      </c>
      <c r="O841" s="135" t="str">
        <f>IFERROR(INDEX('Docketed Comments'!L:L,MATCH(A841,'Docketed Comments'!H:H,0)),"")</f>
        <v>Yes</v>
      </c>
      <c r="P841" s="136">
        <f t="shared" si="26"/>
        <v>0</v>
      </c>
      <c r="Q841" s="140"/>
      <c r="R841" s="144">
        <v>1</v>
      </c>
    </row>
    <row r="842" spans="1:18" ht="21.95" customHeight="1">
      <c r="A842" s="71" t="s">
        <v>3705</v>
      </c>
      <c r="B842" s="69"/>
      <c r="C842" s="70"/>
      <c r="D842" s="69"/>
      <c r="E842" s="69"/>
      <c r="F842" s="65"/>
      <c r="G842" s="65" t="s">
        <v>5811</v>
      </c>
      <c r="H842" s="65" t="str">
        <f>IFERROR(INDEX('Docketed Comments'!C:C,MATCH(A842,'Docketed Comments'!H:H,0))&amp;", "&amp;INDEX('Docketed Comments'!B:B,MATCH(A842,'Docketed Comments'!H:H,0)),"")</f>
        <v>Debra, Alger</v>
      </c>
      <c r="I842" s="65" t="str">
        <f>IFERROR(INDEX('Docketed Comments'!D:D,MATCH(A842,'Docketed Comments'!H:H,0)),"")</f>
        <v>Phoenix</v>
      </c>
      <c r="J842" s="65" t="str">
        <f>IFERROR(INDEX('Docketed Comments'!I:I,MATCH(A842,'Docketed Comments'!H:H,0)),"")</f>
        <v>R3-47</v>
      </c>
      <c r="K842" s="65" t="str">
        <f t="shared" si="27"/>
        <v>✅ On Best Plan</v>
      </c>
      <c r="L842" s="65" t="str">
        <f>IFERROR(INDEX('Docketed Comments'!F:F,MATCH(A842,'Docketed Comments'!H:H,0)),"")</f>
        <v>Widow on a very fixed income. Supporting data centers bulit on my back. APS has never been honest or transparent</v>
      </c>
      <c r="M842" s="137" t="str">
        <f>IFERROR(HYPERLINK(INDEX('Docketed Comments'!G:G,MATCH(A842,'Docketed Comments'!H:H,0)),"📄 View Docket"),"")</f>
        <v>📄 View Docket</v>
      </c>
      <c r="N842" s="135" t="str">
        <f>IFERROR(INDEX('Docketed Comments'!N:N,MATCH(A842,'Docketed Comments'!H:H,0)),"")</f>
        <v>No</v>
      </c>
      <c r="O842" s="135" t="str">
        <f>IFERROR(INDEX('Docketed Comments'!L:L,MATCH(A842,'Docketed Comments'!H:H,0)),"")</f>
        <v>Yes</v>
      </c>
      <c r="P842" s="136">
        <f t="shared" si="26"/>
        <v>0</v>
      </c>
      <c r="Q842" s="140"/>
      <c r="R842" s="144">
        <v>1</v>
      </c>
    </row>
    <row r="843" spans="1:18" ht="21.95" customHeight="1">
      <c r="A843" s="71" t="s">
        <v>5366</v>
      </c>
      <c r="B843" s="69"/>
      <c r="C843" s="70"/>
      <c r="D843" s="69"/>
      <c r="E843" s="69"/>
      <c r="F843" s="65"/>
      <c r="G843" s="65" t="s">
        <v>5811</v>
      </c>
      <c r="H843" s="65" t="str">
        <f>IFERROR(INDEX('Docketed Comments'!C:C,MATCH(A843,'Docketed Comments'!H:H,0))&amp;", "&amp;INDEX('Docketed Comments'!B:B,MATCH(A843,'Docketed Comments'!H:H,0)),"")</f>
        <v>Sally, Dunn</v>
      </c>
      <c r="I843" s="65" t="str">
        <f>IFERROR(INDEX('Docketed Comments'!D:D,MATCH(A843,'Docketed Comments'!H:H,0)),"")</f>
        <v>Prescott</v>
      </c>
      <c r="J843" s="65" t="str">
        <f>IFERROR(INDEX('Docketed Comments'!I:I,MATCH(A843,'Docketed Comments'!H:H,0)),"")</f>
        <v>R-BASIC</v>
      </c>
      <c r="K843" s="65" t="str">
        <f t="shared" si="27"/>
        <v>✅ On Best Plan</v>
      </c>
      <c r="L843" s="65" t="str">
        <f>IFERROR(INDEX('Docketed Comments'!F:F,MATCH(A843,'Docketed Comments'!H:H,0)),"")</f>
        <v>Put a stop to this kind of spending and stop inflation. Enough is enough.</v>
      </c>
      <c r="M843" s="137" t="str">
        <f>IFERROR(HYPERLINK(INDEX('Docketed Comments'!G:G,MATCH(A843,'Docketed Comments'!H:H,0)),"📄 View Docket"),"")</f>
        <v>📄 View Docket</v>
      </c>
      <c r="N843" s="135" t="str">
        <f>IFERROR(INDEX('Docketed Comments'!N:N,MATCH(A843,'Docketed Comments'!H:H,0)),"")</f>
        <v>No</v>
      </c>
      <c r="O843" s="135" t="str">
        <f>IFERROR(INDEX('Docketed Comments'!L:L,MATCH(A843,'Docketed Comments'!H:H,0)),"")</f>
        <v>Yes</v>
      </c>
      <c r="P843" s="136">
        <f t="shared" si="26"/>
        <v>0</v>
      </c>
      <c r="Q843" s="140"/>
      <c r="R843" s="144">
        <v>1</v>
      </c>
    </row>
    <row r="844" spans="1:18" ht="21.95" customHeight="1">
      <c r="A844" s="71" t="s">
        <v>5367</v>
      </c>
      <c r="B844" s="69"/>
      <c r="C844" s="70"/>
      <c r="D844" s="69"/>
      <c r="E844" s="69"/>
      <c r="F844" s="65"/>
      <c r="G844" s="65" t="s">
        <v>5811</v>
      </c>
      <c r="H844" s="65" t="str">
        <f>IFERROR(INDEX('Docketed Comments'!C:C,MATCH(A844,'Docketed Comments'!H:H,0))&amp;", "&amp;INDEX('Docketed Comments'!B:B,MATCH(A844,'Docketed Comments'!H:H,0)),"")</f>
        <v>Catherine, Elliott</v>
      </c>
      <c r="I844" s="65" t="str">
        <f>IFERROR(INDEX('Docketed Comments'!D:D,MATCH(A844,'Docketed Comments'!H:H,0)),"")</f>
        <v>Litchfield Park</v>
      </c>
      <c r="J844" s="65" t="str">
        <f>IFERROR(INDEX('Docketed Comments'!I:I,MATCH(A844,'Docketed Comments'!H:H,0)),"")</f>
        <v>R3-47</v>
      </c>
      <c r="K844" s="65" t="str">
        <f t="shared" si="27"/>
        <v>✅ On Best Plan</v>
      </c>
      <c r="L844" s="65" t="str">
        <f>IFERROR(INDEX('Docketed Comments'!F:F,MATCH(A844,'Docketed Comments'!H:H,0)),"")</f>
        <v>APS has deep enough pockets to cover these costs. We don't.</v>
      </c>
      <c r="M844" s="137" t="str">
        <f>IFERROR(HYPERLINK(INDEX('Docketed Comments'!G:G,MATCH(A844,'Docketed Comments'!H:H,0)),"📄 View Docket"),"")</f>
        <v>📄 View Docket</v>
      </c>
      <c r="N844" s="135" t="str">
        <f>IFERROR(INDEX('Docketed Comments'!N:N,MATCH(A844,'Docketed Comments'!H:H,0)),"")</f>
        <v>No</v>
      </c>
      <c r="O844" s="135" t="str">
        <f>IFERROR(INDEX('Docketed Comments'!L:L,MATCH(A844,'Docketed Comments'!H:H,0)),"")</f>
        <v>Yes</v>
      </c>
      <c r="P844" s="136">
        <f t="shared" si="26"/>
        <v>0</v>
      </c>
      <c r="Q844" s="140"/>
      <c r="R844" s="144">
        <v>1</v>
      </c>
    </row>
    <row r="845" spans="1:18" ht="21.95" customHeight="1">
      <c r="A845" s="71" t="s">
        <v>5368</v>
      </c>
      <c r="B845" s="69"/>
      <c r="C845" s="70"/>
      <c r="D845" s="69"/>
      <c r="E845" s="69"/>
      <c r="F845" s="65"/>
      <c r="G845" s="65" t="s">
        <v>5811</v>
      </c>
      <c r="H845" s="65" t="str">
        <f>IFERROR(INDEX('Docketed Comments'!C:C,MATCH(A845,'Docketed Comments'!H:H,0))&amp;", "&amp;INDEX('Docketed Comments'!B:B,MATCH(A845,'Docketed Comments'!H:H,0)),"")</f>
        <v>Ernest, Pouncy</v>
      </c>
      <c r="I845" s="65" t="str">
        <f>IFERROR(INDEX('Docketed Comments'!D:D,MATCH(A845,'Docketed Comments'!H:H,0)),"")</f>
        <v>Buckeye</v>
      </c>
      <c r="J845" s="65" t="str">
        <f>IFERROR(INDEX('Docketed Comments'!I:I,MATCH(A845,'Docketed Comments'!H:H,0)),"")</f>
        <v>R-2</v>
      </c>
      <c r="K845" s="65" t="str">
        <f t="shared" si="27"/>
        <v>⚠ Frozen Plan</v>
      </c>
      <c r="L845" s="65" t="str">
        <f>IFERROR(INDEX('Docketed Comments'!F:F,MATCH(A845,'Docketed Comments'!H:H,0)),"")</f>
        <v xml:space="preserve">Retired on a fixed income. On-peak hours should change. Unfair, APS had a rate  hike two years ago. </v>
      </c>
      <c r="M845" s="137" t="str">
        <f>IFERROR(HYPERLINK(INDEX('Docketed Comments'!G:G,MATCH(A845,'Docketed Comments'!H:H,0)),"📄 View Docket"),"")</f>
        <v>📄 View Docket</v>
      </c>
      <c r="N845" s="135" t="str">
        <f>IFERROR(INDEX('Docketed Comments'!N:N,MATCH(A845,'Docketed Comments'!H:H,0)),"")</f>
        <v>No</v>
      </c>
      <c r="O845" s="135" t="str">
        <f>IFERROR(INDEX('Docketed Comments'!L:L,MATCH(A845,'Docketed Comments'!H:H,0)),"")</f>
        <v>Frozen Plan</v>
      </c>
      <c r="P845" s="136">
        <f t="shared" si="26"/>
        <v>0</v>
      </c>
      <c r="Q845" s="140"/>
      <c r="R845" s="144">
        <v>1</v>
      </c>
    </row>
    <row r="846" spans="1:18" ht="21.95" customHeight="1">
      <c r="A846" s="71" t="s">
        <v>5369</v>
      </c>
      <c r="B846" s="69"/>
      <c r="C846" s="70"/>
      <c r="D846" s="69"/>
      <c r="E846" s="69"/>
      <c r="F846" s="65"/>
      <c r="G846" s="65" t="s">
        <v>5811</v>
      </c>
      <c r="H846" s="65" t="str">
        <f>IFERROR(INDEX('Docketed Comments'!C:C,MATCH(A846,'Docketed Comments'!H:H,0))&amp;", "&amp;INDEX('Docketed Comments'!B:B,MATCH(A846,'Docketed Comments'!H:H,0)),"")</f>
        <v>Jordan, Filice</v>
      </c>
      <c r="I846" s="65" t="str">
        <f>IFERROR(INDEX('Docketed Comments'!D:D,MATCH(A846,'Docketed Comments'!H:H,0)),"")</f>
        <v>Peoria</v>
      </c>
      <c r="J846" s="65" t="str">
        <f>IFERROR(INDEX('Docketed Comments'!I:I,MATCH(A846,'Docketed Comments'!H:H,0)),"")</f>
        <v>RCPw/R-2</v>
      </c>
      <c r="K846" s="65" t="str">
        <f t="shared" si="27"/>
        <v>⚠ Frozen Plan</v>
      </c>
      <c r="L846" s="65" t="str">
        <f>IFERROR(INDEX('Docketed Comments'!F:F,MATCH(A846,'Docketed Comments'!H:H,0)),"")</f>
        <v>Ridiculous, 22% increase in 3 years. People are struggling. Reject the rate increase.</v>
      </c>
      <c r="M846" s="137" t="str">
        <f>IFERROR(HYPERLINK(INDEX('Docketed Comments'!G:G,MATCH(A846,'Docketed Comments'!H:H,0)),"📄 View Docket"),"")</f>
        <v>📄 View Docket</v>
      </c>
      <c r="N846" s="135" t="str">
        <f>IFERROR(INDEX('Docketed Comments'!N:N,MATCH(A846,'Docketed Comments'!H:H,0)),"")</f>
        <v>No</v>
      </c>
      <c r="O846" s="135" t="str">
        <f>IFERROR(INDEX('Docketed Comments'!L:L,MATCH(A846,'Docketed Comments'!H:H,0)),"")</f>
        <v>Frozen Plan</v>
      </c>
      <c r="P846" s="136">
        <f t="shared" si="26"/>
        <v>0</v>
      </c>
      <c r="Q846" s="140"/>
      <c r="R846" s="144">
        <v>1</v>
      </c>
    </row>
    <row r="847" spans="1:18" ht="21.95" customHeight="1">
      <c r="A847" s="71" t="s">
        <v>5124</v>
      </c>
      <c r="B847" s="69"/>
      <c r="C847" s="70"/>
      <c r="D847" s="69"/>
      <c r="E847" s="69"/>
      <c r="F847" s="65"/>
      <c r="G847" s="65" t="s">
        <v>5811</v>
      </c>
      <c r="H847" s="65" t="str">
        <f>IFERROR(INDEX('Docketed Comments'!C:C,MATCH(A847,'Docketed Comments'!H:H,0))&amp;", "&amp;INDEX('Docketed Comments'!B:B,MATCH(A847,'Docketed Comments'!H:H,0)),"")</f>
        <v>Cathy, Hozian</v>
      </c>
      <c r="I847" s="65" t="str">
        <f>IFERROR(INDEX('Docketed Comments'!D:D,MATCH(A847,'Docketed Comments'!H:H,0)),"")</f>
        <v>Goodyear</v>
      </c>
      <c r="J847" s="65" t="str">
        <f>IFERROR(INDEX('Docketed Comments'!I:I,MATCH(A847,'Docketed Comments'!H:H,0)),"")</f>
        <v>R3-47</v>
      </c>
      <c r="K847" s="65" t="str">
        <f t="shared" si="27"/>
        <v>✅ On Best Plan</v>
      </c>
      <c r="L847" s="65" t="str">
        <f>IFERROR(INDEX('Docketed Comments'!F:F,MATCH(A847,'Docketed Comments'!H:H,0)),"")</f>
        <v>APS is greedy and evil</v>
      </c>
      <c r="M847" s="137" t="str">
        <f>IFERROR(HYPERLINK(INDEX('Docketed Comments'!G:G,MATCH(A847,'Docketed Comments'!H:H,0)),"📄 View Docket"),"")</f>
        <v>📄 View Docket</v>
      </c>
      <c r="N847" s="135" t="str">
        <f>IFERROR(INDEX('Docketed Comments'!N:N,MATCH(A847,'Docketed Comments'!H:H,0)),"")</f>
        <v>No</v>
      </c>
      <c r="O847" s="135" t="str">
        <f>IFERROR(INDEX('Docketed Comments'!L:L,MATCH(A847,'Docketed Comments'!H:H,0)),"")</f>
        <v>Yes</v>
      </c>
      <c r="P847" s="136">
        <f t="shared" si="26"/>
        <v>0</v>
      </c>
      <c r="Q847" s="140"/>
      <c r="R847" s="144">
        <v>1</v>
      </c>
    </row>
    <row r="848" spans="1:18" ht="21.95" customHeight="1">
      <c r="A848" s="71" t="s">
        <v>5370</v>
      </c>
      <c r="B848" s="69"/>
      <c r="C848" s="70"/>
      <c r="D848" s="69"/>
      <c r="E848" s="69"/>
      <c r="F848" s="65"/>
      <c r="G848" s="65" t="s">
        <v>5811</v>
      </c>
      <c r="H848" s="65" t="str">
        <f>IFERROR(INDEX('Docketed Comments'!C:C,MATCH(A848,'Docketed Comments'!H:H,0))&amp;", "&amp;INDEX('Docketed Comments'!B:B,MATCH(A848,'Docketed Comments'!H:H,0)),"")</f>
        <v>Daniel, Furnas</v>
      </c>
      <c r="I848" s="65" t="str">
        <f>IFERROR(INDEX('Docketed Comments'!D:D,MATCH(A848,'Docketed Comments'!H:H,0)),"")</f>
        <v>Kirkland</v>
      </c>
      <c r="J848" s="65" t="str">
        <f>IFERROR(INDEX('Docketed Comments'!I:I,MATCH(A848,'Docketed Comments'!H:H,0)),"")</f>
        <v>R-XS</v>
      </c>
      <c r="K848" s="65" t="str">
        <f t="shared" si="27"/>
        <v>✅ On Best Plan</v>
      </c>
      <c r="L848" s="65" t="str">
        <f>IFERROR(INDEX('Docketed Comments'!F:F,MATCH(A848,'Docketed Comments'!H:H,0)),"")</f>
        <v>yearly reduction of export rates for the past 5 years on solar systems supplying the grid. Non-solar customers have paid the difference</v>
      </c>
      <c r="M848" s="137" t="str">
        <f>IFERROR(HYPERLINK(INDEX('Docketed Comments'!G:G,MATCH(A848,'Docketed Comments'!H:H,0)),"📄 View Docket"),"")</f>
        <v>📄 View Docket</v>
      </c>
      <c r="N848" s="135" t="str">
        <f>IFERROR(INDEX('Docketed Comments'!N:N,MATCH(A848,'Docketed Comments'!H:H,0)),"")</f>
        <v>No</v>
      </c>
      <c r="O848" s="135" t="str">
        <f>IFERROR(INDEX('Docketed Comments'!L:L,MATCH(A848,'Docketed Comments'!H:H,0)),"")</f>
        <v>Yes</v>
      </c>
      <c r="P848" s="136">
        <f t="shared" si="26"/>
        <v>0</v>
      </c>
      <c r="Q848" s="140"/>
      <c r="R848" s="144">
        <v>1</v>
      </c>
    </row>
    <row r="849" spans="1:18" ht="21.95" customHeight="1">
      <c r="A849" s="71" t="s">
        <v>5371</v>
      </c>
      <c r="B849" s="69"/>
      <c r="C849" s="70"/>
      <c r="D849" s="69"/>
      <c r="E849" s="69"/>
      <c r="F849" s="65"/>
      <c r="G849" s="65" t="s">
        <v>5811</v>
      </c>
      <c r="H849" s="65" t="str">
        <f>IFERROR(INDEX('Docketed Comments'!C:C,MATCH(A849,'Docketed Comments'!H:H,0))&amp;", "&amp;INDEX('Docketed Comments'!B:B,MATCH(A849,'Docketed Comments'!H:H,0)),"")</f>
        <v>Dennis, Chesney</v>
      </c>
      <c r="I849" s="65" t="str">
        <f>IFERROR(INDEX('Docketed Comments'!D:D,MATCH(A849,'Docketed Comments'!H:H,0)),"")</f>
        <v>Peoria</v>
      </c>
      <c r="J849" s="65" t="str">
        <f>IFERROR(INDEX('Docketed Comments'!I:I,MATCH(A849,'Docketed Comments'!H:H,0)),"")</f>
        <v>RCPw/RTOUE47</v>
      </c>
      <c r="K849" s="65" t="str">
        <f t="shared" si="27"/>
        <v>✅ On Best Plan</v>
      </c>
      <c r="L849" s="65" t="str">
        <f>IFERROR(INDEX('Docketed Comments'!F:F,MATCH(A849,'Docketed Comments'!H:H,0)),"")</f>
        <v>16% for residential on top of the previous 8% is crippling as a retired person; with solar.</v>
      </c>
      <c r="M849" s="137" t="str">
        <f>IFERROR(HYPERLINK(INDEX('Docketed Comments'!G:G,MATCH(A849,'Docketed Comments'!H:H,0)),"📄 View Docket"),"")</f>
        <v>📄 View Docket</v>
      </c>
      <c r="N849" s="135" t="str">
        <f>IFERROR(INDEX('Docketed Comments'!N:N,MATCH(A849,'Docketed Comments'!H:H,0)),"")</f>
        <v>No</v>
      </c>
      <c r="O849" s="135" t="str">
        <f>IFERROR(INDEX('Docketed Comments'!L:L,MATCH(A849,'Docketed Comments'!H:H,0)),"")</f>
        <v>Yes</v>
      </c>
      <c r="P849" s="136">
        <f t="shared" si="26"/>
        <v>0</v>
      </c>
      <c r="Q849" s="140"/>
      <c r="R849" s="144">
        <v>1</v>
      </c>
    </row>
    <row r="850" spans="1:18" ht="21.95" customHeight="1">
      <c r="A850" s="71" t="s">
        <v>5326</v>
      </c>
      <c r="B850" s="69"/>
      <c r="C850" s="70"/>
      <c r="D850" s="69"/>
      <c r="E850" s="69"/>
      <c r="F850" s="65"/>
      <c r="G850" s="65" t="s">
        <v>5811</v>
      </c>
      <c r="H850" s="65" t="str">
        <f>IFERROR(INDEX('Docketed Comments'!C:C,MATCH(A850,'Docketed Comments'!H:H,0))&amp;", "&amp;INDEX('Docketed Comments'!B:B,MATCH(A850,'Docketed Comments'!H:H,0)),"")</f>
        <v>Haley, Mccann</v>
      </c>
      <c r="I850" s="65" t="str">
        <f>IFERROR(INDEX('Docketed Comments'!D:D,MATCH(A850,'Docketed Comments'!H:H,0)),"")</f>
        <v>Surprise</v>
      </c>
      <c r="J850" s="65" t="str">
        <f>IFERROR(INDEX('Docketed Comments'!I:I,MATCH(A850,'Docketed Comments'!H:H,0)),"")</f>
        <v>R3-47</v>
      </c>
      <c r="K850" s="65" t="str">
        <f t="shared" si="27"/>
        <v>✅ On Best Plan</v>
      </c>
      <c r="L850" s="65" t="str">
        <f>IFERROR(INDEX('Docketed Comments'!F:F,MATCH(A850,'Docketed Comments'!H:H,0)),"")</f>
        <v xml:space="preserve">People can barely afford electricity as is now </v>
      </c>
      <c r="M850" s="137" t="str">
        <f>IFERROR(HYPERLINK(INDEX('Docketed Comments'!G:G,MATCH(A850,'Docketed Comments'!H:H,0)),"📄 View Docket"),"")</f>
        <v>📄 View Docket</v>
      </c>
      <c r="N850" s="135" t="str">
        <f>IFERROR(INDEX('Docketed Comments'!N:N,MATCH(A850,'Docketed Comments'!H:H,0)),"")</f>
        <v>No</v>
      </c>
      <c r="O850" s="135" t="str">
        <f>IFERROR(INDEX('Docketed Comments'!L:L,MATCH(A850,'Docketed Comments'!H:H,0)),"")</f>
        <v>Yes</v>
      </c>
      <c r="P850" s="136">
        <f t="shared" si="26"/>
        <v>0</v>
      </c>
      <c r="Q850" s="140"/>
      <c r="R850" s="144">
        <v>1</v>
      </c>
    </row>
    <row r="851" spans="1:18" ht="21.95" customHeight="1">
      <c r="A851" s="71" t="s">
        <v>5372</v>
      </c>
      <c r="B851" s="69"/>
      <c r="C851" s="70"/>
      <c r="D851" s="69"/>
      <c r="E851" s="69"/>
      <c r="F851" s="65"/>
      <c r="G851" s="65" t="s">
        <v>5811</v>
      </c>
      <c r="H851" s="65" t="str">
        <f>IFERROR(INDEX('Docketed Comments'!C:C,MATCH(A851,'Docketed Comments'!H:H,0))&amp;", "&amp;INDEX('Docketed Comments'!B:B,MATCH(A851,'Docketed Comments'!H:H,0)),"")</f>
        <v>Gary, Lindmark</v>
      </c>
      <c r="I851" s="65" t="str">
        <f>IFERROR(INDEX('Docketed Comments'!D:D,MATCH(A851,'Docketed Comments'!H:H,0)),"")</f>
        <v>Phoenix</v>
      </c>
      <c r="J851" s="65" t="str">
        <f>IFERROR(INDEX('Docketed Comments'!I:I,MATCH(A851,'Docketed Comments'!H:H,0)),"")</f>
        <v>R3-47</v>
      </c>
      <c r="K851" s="65" t="str">
        <f t="shared" si="27"/>
        <v>✅ On Best Plan</v>
      </c>
      <c r="L851" s="65" t="str">
        <f>IFERROR(INDEX('Docketed Comments'!F:F,MATCH(A851,'Docketed Comments'!H:H,0)),"")</f>
        <v>Commission sides with the Developers and Utility Companies; when are you going to side with the people?</v>
      </c>
      <c r="M851" s="137" t="str">
        <f>IFERROR(HYPERLINK(INDEX('Docketed Comments'!G:G,MATCH(A851,'Docketed Comments'!H:H,0)),"📄 View Docket"),"")</f>
        <v>📄 View Docket</v>
      </c>
      <c r="N851" s="135" t="str">
        <f>IFERROR(INDEX('Docketed Comments'!N:N,MATCH(A851,'Docketed Comments'!H:H,0)),"")</f>
        <v>No</v>
      </c>
      <c r="O851" s="135" t="str">
        <f>IFERROR(INDEX('Docketed Comments'!L:L,MATCH(A851,'Docketed Comments'!H:H,0)),"")</f>
        <v>Yes</v>
      </c>
      <c r="P851" s="136">
        <f t="shared" si="26"/>
        <v>0</v>
      </c>
      <c r="Q851" s="140"/>
      <c r="R851" s="144">
        <v>1</v>
      </c>
    </row>
    <row r="852" spans="1:18" ht="21.95" customHeight="1">
      <c r="A852" s="71" t="s">
        <v>5373</v>
      </c>
      <c r="B852" s="69"/>
      <c r="C852" s="70"/>
      <c r="D852" s="69"/>
      <c r="E852" s="69"/>
      <c r="F852" s="65"/>
      <c r="G852" s="65" t="s">
        <v>5811</v>
      </c>
      <c r="H852" s="65" t="str">
        <f>IFERROR(INDEX('Docketed Comments'!C:C,MATCH(A852,'Docketed Comments'!H:H,0))&amp;", "&amp;INDEX('Docketed Comments'!B:B,MATCH(A852,'Docketed Comments'!H:H,0)),"")</f>
        <v>Kathryn, Salazar</v>
      </c>
      <c r="I852" s="65" t="str">
        <f>IFERROR(INDEX('Docketed Comments'!D:D,MATCH(A852,'Docketed Comments'!H:H,0)),"")</f>
        <v>Scottsdale</v>
      </c>
      <c r="J852" s="65" t="str">
        <f>IFERROR(INDEX('Docketed Comments'!I:I,MATCH(A852,'Docketed Comments'!H:H,0)),"")</f>
        <v>R-2</v>
      </c>
      <c r="K852" s="65" t="str">
        <f t="shared" si="27"/>
        <v>⚠ Frozen Plan</v>
      </c>
      <c r="L852" s="65" t="str">
        <f>IFERROR(INDEX('Docketed Comments'!F:F,MATCH(A852,'Docketed Comments'!H:H,0)),"")</f>
        <v xml:space="preserve">Cumulative 23% increase in just over 2 years. Arizona are already struggling. </v>
      </c>
      <c r="M852" s="137" t="str">
        <f>IFERROR(HYPERLINK(INDEX('Docketed Comments'!G:G,MATCH(A852,'Docketed Comments'!H:H,0)),"📄 View Docket"),"")</f>
        <v>📄 View Docket</v>
      </c>
      <c r="N852" s="135" t="str">
        <f>IFERROR(INDEX('Docketed Comments'!N:N,MATCH(A852,'Docketed Comments'!H:H,0)),"")</f>
        <v>No</v>
      </c>
      <c r="O852" s="135" t="str">
        <f>IFERROR(INDEX('Docketed Comments'!L:L,MATCH(A852,'Docketed Comments'!H:H,0)),"")</f>
        <v>Frozen Plan</v>
      </c>
      <c r="P852" s="136">
        <f t="shared" si="26"/>
        <v>0</v>
      </c>
      <c r="Q852" s="140"/>
      <c r="R852" s="144">
        <v>1</v>
      </c>
    </row>
    <row r="853" spans="1:18" ht="21.95" customHeight="1">
      <c r="A853" s="71" t="s">
        <v>5316</v>
      </c>
      <c r="B853" s="69"/>
      <c r="C853" s="70"/>
      <c r="D853" s="69"/>
      <c r="E853" s="69"/>
      <c r="F853" s="65"/>
      <c r="G853" s="65" t="s">
        <v>5811</v>
      </c>
      <c r="H853" s="65" t="str">
        <f>IFERROR(INDEX('Docketed Comments'!C:C,MATCH(A853,'Docketed Comments'!H:H,0))&amp;", "&amp;INDEX('Docketed Comments'!B:B,MATCH(A853,'Docketed Comments'!H:H,0)),"")</f>
        <v>Christopher, Houck</v>
      </c>
      <c r="I853" s="65" t="str">
        <f>IFERROR(INDEX('Docketed Comments'!D:D,MATCH(A853,'Docketed Comments'!H:H,0)),"")</f>
        <v>Goodyear</v>
      </c>
      <c r="J853" s="65" t="str">
        <f>IFERROR(INDEX('Docketed Comments'!I:I,MATCH(A853,'Docketed Comments'!H:H,0)),"")</f>
        <v>R3-47</v>
      </c>
      <c r="K853" s="65" t="str">
        <f t="shared" si="27"/>
        <v>✅ On Best Plan</v>
      </c>
      <c r="L853" s="65" t="str">
        <f>IFERROR(INDEX('Docketed Comments'!F:F,MATCH(A853,'Docketed Comments'!H:H,0)),"")</f>
        <v>Opposed-APS sis 25% higher than SRP</v>
      </c>
      <c r="M853" s="137" t="str">
        <f>IFERROR(HYPERLINK(INDEX('Docketed Comments'!G:G,MATCH(A853,'Docketed Comments'!H:H,0)),"📄 View Docket"),"")</f>
        <v>📄 View Docket</v>
      </c>
      <c r="N853" s="135" t="str">
        <f>IFERROR(INDEX('Docketed Comments'!N:N,MATCH(A853,'Docketed Comments'!H:H,0)),"")</f>
        <v>No</v>
      </c>
      <c r="O853" s="135" t="str">
        <f>IFERROR(INDEX('Docketed Comments'!L:L,MATCH(A853,'Docketed Comments'!H:H,0)),"")</f>
        <v>Yes</v>
      </c>
      <c r="P853" s="136">
        <f t="shared" si="26"/>
        <v>0</v>
      </c>
      <c r="Q853" s="140"/>
      <c r="R853" s="144">
        <v>1</v>
      </c>
    </row>
    <row r="854" spans="1:18" ht="21.95" customHeight="1">
      <c r="A854" s="71" t="s">
        <v>5374</v>
      </c>
      <c r="B854" s="69"/>
      <c r="C854" s="70"/>
      <c r="D854" s="69"/>
      <c r="E854" s="69"/>
      <c r="F854" s="65"/>
      <c r="G854" s="65" t="s">
        <v>5811</v>
      </c>
      <c r="H854" s="65" t="str">
        <f>IFERROR(INDEX('Docketed Comments'!C:C,MATCH(A854,'Docketed Comments'!H:H,0))&amp;", "&amp;INDEX('Docketed Comments'!B:B,MATCH(A854,'Docketed Comments'!H:H,0)),"")</f>
        <v>Eli, Gruber</v>
      </c>
      <c r="I854" s="65" t="str">
        <f>IFERROR(INDEX('Docketed Comments'!D:D,MATCH(A854,'Docketed Comments'!H:H,0)),"")</f>
        <v>Scottsdale</v>
      </c>
      <c r="J854" s="65" t="str">
        <f>IFERROR(INDEX('Docketed Comments'!I:I,MATCH(A854,'Docketed Comments'!H:H,0)),"")</f>
        <v>R-BASIC</v>
      </c>
      <c r="K854" s="65" t="str">
        <f t="shared" si="27"/>
        <v>✅ On Best Plan</v>
      </c>
      <c r="L854" s="65" t="str">
        <f>IFERROR(INDEX('Docketed Comments'!F:F,MATCH(A854,'Docketed Comments'!H:H,0)),"")</f>
        <v>Fixed rate criteria must be updated to reflect hotter climate.</v>
      </c>
      <c r="M854" s="137" t="str">
        <f>IFERROR(HYPERLINK(INDEX('Docketed Comments'!G:G,MATCH(A854,'Docketed Comments'!H:H,0)),"📄 View Docket"),"")</f>
        <v>📄 View Docket</v>
      </c>
      <c r="N854" s="135" t="str">
        <f>IFERROR(INDEX('Docketed Comments'!N:N,MATCH(A854,'Docketed Comments'!H:H,0)),"")</f>
        <v>No</v>
      </c>
      <c r="O854" s="135" t="str">
        <f>IFERROR(INDEX('Docketed Comments'!L:L,MATCH(A854,'Docketed Comments'!H:H,0)),"")</f>
        <v>Yes</v>
      </c>
      <c r="P854" s="136">
        <f t="shared" si="26"/>
        <v>0</v>
      </c>
      <c r="Q854" s="140"/>
      <c r="R854" s="144">
        <v>1</v>
      </c>
    </row>
    <row r="855" spans="1:18" ht="21.95" customHeight="1">
      <c r="A855" s="71" t="s">
        <v>5375</v>
      </c>
      <c r="B855" s="69"/>
      <c r="C855" s="70"/>
      <c r="D855" s="69"/>
      <c r="E855" s="69"/>
      <c r="F855" s="65"/>
      <c r="G855" s="65" t="s">
        <v>5811</v>
      </c>
      <c r="H855" s="65" t="str">
        <f>IFERROR(INDEX('Docketed Comments'!C:C,MATCH(A855,'Docketed Comments'!H:H,0))&amp;", "&amp;INDEX('Docketed Comments'!B:B,MATCH(A855,'Docketed Comments'!H:H,0)),"")</f>
        <v>Marianne, Culligan</v>
      </c>
      <c r="I855" s="65" t="str">
        <f>IFERROR(INDEX('Docketed Comments'!D:D,MATCH(A855,'Docketed Comments'!H:H,0)),"")</f>
        <v>Sun City West</v>
      </c>
      <c r="J855" s="65" t="str">
        <f>IFERROR(INDEX('Docketed Comments'!I:I,MATCH(A855,'Docketed Comments'!H:H,0)),"")</f>
        <v>R-2</v>
      </c>
      <c r="K855" s="65" t="str">
        <f t="shared" si="27"/>
        <v>⚠ Frozen Plan</v>
      </c>
      <c r="L855" s="65" t="str">
        <f>IFERROR(INDEX('Docketed Comments'!F:F,MATCH(A855,'Docketed Comments'!H:H,0)),"")</f>
        <v>Huge chip plant - costs should not be shouldered by homeowners/renters and those with solar shoulder an additional monthly fee</v>
      </c>
      <c r="M855" s="137" t="str">
        <f>IFERROR(HYPERLINK(INDEX('Docketed Comments'!G:G,MATCH(A855,'Docketed Comments'!H:H,0)),"📄 View Docket"),"")</f>
        <v>📄 View Docket</v>
      </c>
      <c r="N855" s="135" t="str">
        <f>IFERROR(INDEX('Docketed Comments'!N:N,MATCH(A855,'Docketed Comments'!H:H,0)),"")</f>
        <v>No</v>
      </c>
      <c r="O855" s="135" t="str">
        <f>IFERROR(INDEX('Docketed Comments'!L:L,MATCH(A855,'Docketed Comments'!H:H,0)),"")</f>
        <v>Frozen Plan</v>
      </c>
      <c r="P855" s="136">
        <f t="shared" si="26"/>
        <v>0</v>
      </c>
      <c r="Q855" s="140"/>
      <c r="R855" s="144">
        <v>1</v>
      </c>
    </row>
    <row r="856" spans="1:18" ht="21.95" customHeight="1">
      <c r="A856" s="71" t="s">
        <v>5376</v>
      </c>
      <c r="B856" s="69"/>
      <c r="C856" s="70"/>
      <c r="D856" s="69"/>
      <c r="E856" s="69"/>
      <c r="F856" s="65"/>
      <c r="G856" s="65" t="s">
        <v>5811</v>
      </c>
      <c r="H856" s="65" t="str">
        <f>IFERROR(INDEX('Docketed Comments'!C:C,MATCH(A856,'Docketed Comments'!H:H,0))&amp;", "&amp;INDEX('Docketed Comments'!B:B,MATCH(A856,'Docketed Comments'!H:H,0)),"")</f>
        <v>Karen, Yates-Reiser</v>
      </c>
      <c r="I856" s="65" t="str">
        <f>IFERROR(INDEX('Docketed Comments'!D:D,MATCH(A856,'Docketed Comments'!H:H,0)),"")</f>
        <v>Phoenix</v>
      </c>
      <c r="J856" s="65" t="str">
        <f>IFERROR(INDEX('Docketed Comments'!I:I,MATCH(A856,'Docketed Comments'!H:H,0)),"")</f>
        <v>RCPw/RTOUE47</v>
      </c>
      <c r="K856" s="65" t="str">
        <f t="shared" si="27"/>
        <v>✅ On Best Plan</v>
      </c>
      <c r="L856" s="65" t="str">
        <f>IFERROR(INDEX('Docketed Comments'!F:F,MATCH(A856,'Docketed Comments'!H:H,0)),"")</f>
        <v xml:space="preserve">Seen bill  jump from $122 to over $300 after solar panel lease. Fighting to get onto the off-peak plan. </v>
      </c>
      <c r="M856" s="137" t="str">
        <f>IFERROR(HYPERLINK(INDEX('Docketed Comments'!G:G,MATCH(A856,'Docketed Comments'!H:H,0)),"📄 View Docket"),"")</f>
        <v>📄 View Docket</v>
      </c>
      <c r="N856" s="135" t="str">
        <f>IFERROR(INDEX('Docketed Comments'!N:N,MATCH(A856,'Docketed Comments'!H:H,0)),"")</f>
        <v>No</v>
      </c>
      <c r="O856" s="135" t="str">
        <f>IFERROR(INDEX('Docketed Comments'!L:L,MATCH(A856,'Docketed Comments'!H:H,0)),"")</f>
        <v>Yes</v>
      </c>
      <c r="P856" s="136">
        <f t="shared" si="26"/>
        <v>0</v>
      </c>
      <c r="Q856" s="140"/>
      <c r="R856" s="144">
        <v>1</v>
      </c>
    </row>
    <row r="857" spans="1:18" ht="21.95" customHeight="1">
      <c r="A857" s="71" t="s">
        <v>5377</v>
      </c>
      <c r="B857" s="69"/>
      <c r="C857" s="70"/>
      <c r="D857" s="69"/>
      <c r="E857" s="69"/>
      <c r="F857" s="65"/>
      <c r="G857" s="65" t="s">
        <v>5811</v>
      </c>
      <c r="H857" s="65" t="str">
        <f>IFERROR(INDEX('Docketed Comments'!C:C,MATCH(A857,'Docketed Comments'!H:H,0))&amp;", "&amp;INDEX('Docketed Comments'!B:B,MATCH(A857,'Docketed Comments'!H:H,0)),"")</f>
        <v>Michael, Dzezinski</v>
      </c>
      <c r="I857" s="65" t="str">
        <f>IFERROR(INDEX('Docketed Comments'!D:D,MATCH(A857,'Docketed Comments'!H:H,0)),"")</f>
        <v>Phoenix</v>
      </c>
      <c r="J857" s="65" t="str">
        <f>IFERROR(INDEX('Docketed Comments'!I:I,MATCH(A857,'Docketed Comments'!H:H,0)),"")</f>
        <v>RCPw/RTOUE47</v>
      </c>
      <c r="K857" s="65" t="str">
        <f t="shared" si="27"/>
        <v>✅ On Best Plan</v>
      </c>
      <c r="L857" s="65" t="str">
        <f>IFERROR(INDEX('Docketed Comments'!F:F,MATCH(A857,'Docketed Comments'!H:H,0)),"")</f>
        <v>APS's greed is asking for another hike less than 2  years after the last increase is borderline criminal.</v>
      </c>
      <c r="M857" s="137" t="str">
        <f>IFERROR(HYPERLINK(INDEX('Docketed Comments'!G:G,MATCH(A857,'Docketed Comments'!H:H,0)),"📄 View Docket"),"")</f>
        <v>📄 View Docket</v>
      </c>
      <c r="N857" s="135" t="str">
        <f>IFERROR(INDEX('Docketed Comments'!N:N,MATCH(A857,'Docketed Comments'!H:H,0)),"")</f>
        <v>No</v>
      </c>
      <c r="O857" s="135" t="str">
        <f>IFERROR(INDEX('Docketed Comments'!L:L,MATCH(A857,'Docketed Comments'!H:H,0)),"")</f>
        <v>Yes</v>
      </c>
      <c r="P857" s="136">
        <f t="shared" si="26"/>
        <v>0</v>
      </c>
      <c r="Q857" s="140"/>
      <c r="R857" s="144">
        <v>1</v>
      </c>
    </row>
    <row r="858" spans="1:18" ht="21.95" customHeight="1">
      <c r="A858" s="71" t="s">
        <v>5378</v>
      </c>
      <c r="B858" s="69"/>
      <c r="C858" s="70"/>
      <c r="D858" s="69"/>
      <c r="E858" s="69"/>
      <c r="F858" s="65"/>
      <c r="G858" s="65" t="s">
        <v>5811</v>
      </c>
      <c r="H858" s="65" t="str">
        <f>IFERROR(INDEX('Docketed Comments'!C:C,MATCH(A858,'Docketed Comments'!H:H,0))&amp;", "&amp;INDEX('Docketed Comments'!B:B,MATCH(A858,'Docketed Comments'!H:H,0)),"")</f>
        <v>Brandon, Ollis</v>
      </c>
      <c r="I858" s="65" t="str">
        <f>IFERROR(INDEX('Docketed Comments'!D:D,MATCH(A858,'Docketed Comments'!H:H,0)),"")</f>
        <v>Goodyear</v>
      </c>
      <c r="J858" s="65" t="str">
        <f>IFERROR(INDEX('Docketed Comments'!I:I,MATCH(A858,'Docketed Comments'!H:H,0)),"")</f>
        <v>RCPw/R-2</v>
      </c>
      <c r="K858" s="65" t="str">
        <f t="shared" si="27"/>
        <v>⚠ Frozen Plan</v>
      </c>
      <c r="L858" s="65" t="str">
        <f>IFERROR(INDEX('Docketed Comments'!F:F,MATCH(A858,'Docketed Comments'!H:H,0)),"")</f>
        <v>Cannot attend the public comment meeting. Monopoly, $483M profits, Their solar reimbursement program is a scam</v>
      </c>
      <c r="M858" s="137" t="str">
        <f>IFERROR(HYPERLINK(INDEX('Docketed Comments'!G:G,MATCH(A858,'Docketed Comments'!H:H,0)),"📄 View Docket"),"")</f>
        <v>📄 View Docket</v>
      </c>
      <c r="N858" s="135" t="str">
        <f>IFERROR(INDEX('Docketed Comments'!N:N,MATCH(A858,'Docketed Comments'!H:H,0)),"")</f>
        <v>No</v>
      </c>
      <c r="O858" s="135" t="str">
        <f>IFERROR(INDEX('Docketed Comments'!L:L,MATCH(A858,'Docketed Comments'!H:H,0)),"")</f>
        <v>Frozen Plan</v>
      </c>
      <c r="P858" s="136">
        <f t="shared" si="26"/>
        <v>0</v>
      </c>
      <c r="Q858" s="140"/>
      <c r="R858" s="144">
        <v>1</v>
      </c>
    </row>
    <row r="859" spans="1:18" ht="21.95" customHeight="1">
      <c r="A859" s="71" t="s">
        <v>5379</v>
      </c>
      <c r="B859" s="69"/>
      <c r="C859" s="70"/>
      <c r="D859" s="69"/>
      <c r="E859" s="69"/>
      <c r="F859" s="65"/>
      <c r="G859" s="65" t="s">
        <v>5811</v>
      </c>
      <c r="H859" s="65" t="str">
        <f>IFERROR(INDEX('Docketed Comments'!C:C,MATCH(A859,'Docketed Comments'!H:H,0))&amp;", "&amp;INDEX('Docketed Comments'!B:B,MATCH(A859,'Docketed Comments'!H:H,0)),"")</f>
        <v>Greg, Ciasnocha</v>
      </c>
      <c r="I859" s="65" t="str">
        <f>IFERROR(INDEX('Docketed Comments'!D:D,MATCH(A859,'Docketed Comments'!H:H,0)),"")</f>
        <v>Buckeye</v>
      </c>
      <c r="J859" s="65" t="str">
        <f>IFERROR(INDEX('Docketed Comments'!I:I,MATCH(A859,'Docketed Comments'!H:H,0)),"")</f>
        <v>EPR6w/ET-2</v>
      </c>
      <c r="K859" s="65" t="str">
        <f t="shared" si="27"/>
        <v>⚠ Frozen Plan</v>
      </c>
      <c r="L859" s="65" t="str">
        <f>IFERROR(INDEX('Docketed Comments'!F:F,MATCH(A859,'Docketed Comments'!H:H,0)),"")</f>
        <v>Opposed, another increase after an 8% increase just 2 y ears ago, punishing solar, alarming FRM, quoting AG</v>
      </c>
      <c r="M859" s="137" t="str">
        <f>IFERROR(HYPERLINK(INDEX('Docketed Comments'!G:G,MATCH(A859,'Docketed Comments'!H:H,0)),"📄 View Docket"),"")</f>
        <v>📄 View Docket</v>
      </c>
      <c r="N859" s="135" t="str">
        <f>IFERROR(INDEX('Docketed Comments'!N:N,MATCH(A859,'Docketed Comments'!H:H,0)),"")</f>
        <v>No</v>
      </c>
      <c r="O859" s="135" t="str">
        <f>IFERROR(INDEX('Docketed Comments'!L:L,MATCH(A859,'Docketed Comments'!H:H,0)),"")</f>
        <v>Frozen Plan</v>
      </c>
      <c r="P859" s="136">
        <f t="shared" si="26"/>
        <v>0</v>
      </c>
      <c r="Q859" s="140"/>
      <c r="R859" s="144">
        <v>1</v>
      </c>
    </row>
    <row r="860" spans="1:18" ht="21.95" customHeight="1">
      <c r="A860" s="71" t="s">
        <v>5380</v>
      </c>
      <c r="B860" s="69"/>
      <c r="C860" s="70"/>
      <c r="D860" s="69"/>
      <c r="E860" s="69"/>
      <c r="F860" s="65"/>
      <c r="G860" s="65" t="s">
        <v>5811</v>
      </c>
      <c r="H860" s="65" t="str">
        <f>IFERROR(INDEX('Docketed Comments'!C:C,MATCH(A860,'Docketed Comments'!H:H,0))&amp;", "&amp;INDEX('Docketed Comments'!B:B,MATCH(A860,'Docketed Comments'!H:H,0)),"")</f>
        <v>Doris, Freeman</v>
      </c>
      <c r="I860" s="65" t="str">
        <f>IFERROR(INDEX('Docketed Comments'!D:D,MATCH(A860,'Docketed Comments'!H:H,0)),"")</f>
        <v>Phoenix</v>
      </c>
      <c r="J860" s="65" t="str">
        <f>IFERROR(INDEX('Docketed Comments'!I:I,MATCH(A860,'Docketed Comments'!H:H,0)),"")</f>
        <v>R3-47</v>
      </c>
      <c r="K860" s="65" t="str">
        <f t="shared" si="27"/>
        <v>✅ On Best Plan</v>
      </c>
      <c r="L860" s="65" t="str">
        <f>IFERROR(INDEX('Docketed Comments'!F:F,MATCH(A860,'Docketed Comments'!H:H,0)),"")</f>
        <v>They just got a 16% rate increase and now those greedy people demand more?</v>
      </c>
      <c r="M860" s="137" t="str">
        <f>IFERROR(HYPERLINK(INDEX('Docketed Comments'!G:G,MATCH(A860,'Docketed Comments'!H:H,0)),"📄 View Docket"),"")</f>
        <v>📄 View Docket</v>
      </c>
      <c r="N860" s="135" t="str">
        <f>IFERROR(INDEX('Docketed Comments'!N:N,MATCH(A860,'Docketed Comments'!H:H,0)),"")</f>
        <v>No</v>
      </c>
      <c r="O860" s="135" t="str">
        <f>IFERROR(INDEX('Docketed Comments'!L:L,MATCH(A860,'Docketed Comments'!H:H,0)),"")</f>
        <v>Yes</v>
      </c>
      <c r="P860" s="136">
        <f t="shared" si="26"/>
        <v>0</v>
      </c>
      <c r="Q860" s="140"/>
      <c r="R860" s="144">
        <v>1</v>
      </c>
    </row>
    <row r="861" spans="1:18" ht="21.95" customHeight="1">
      <c r="A861" s="71" t="s">
        <v>5381</v>
      </c>
      <c r="B861" s="69"/>
      <c r="C861" s="70"/>
      <c r="D861" s="69"/>
      <c r="E861" s="69"/>
      <c r="F861" s="65"/>
      <c r="G861" s="65" t="s">
        <v>5811</v>
      </c>
      <c r="H861" s="65" t="str">
        <f>IFERROR(INDEX('Docketed Comments'!C:C,MATCH(A861,'Docketed Comments'!H:H,0))&amp;", "&amp;INDEX('Docketed Comments'!B:B,MATCH(A861,'Docketed Comments'!H:H,0)),"")</f>
        <v>Blake, Lister</v>
      </c>
      <c r="I861" s="65" t="str">
        <f>IFERROR(INDEX('Docketed Comments'!D:D,MATCH(A861,'Docketed Comments'!H:H,0)),"")</f>
        <v>Glendale</v>
      </c>
      <c r="J861" s="65" t="str">
        <f>IFERROR(INDEX('Docketed Comments'!I:I,MATCH(A861,'Docketed Comments'!H:H,0)),"")</f>
        <v>R-BASIC</v>
      </c>
      <c r="K861" s="65" t="str">
        <f t="shared" si="27"/>
        <v>✅ On Best Plan</v>
      </c>
      <c r="L861" s="65" t="str">
        <f>IFERROR(INDEX('Docketed Comments'!F:F,MATCH(A861,'Docketed Comments'!H:H,0)),"")</f>
        <v xml:space="preserve">Thank you for the opportunity to testify today. Representing Opportunity Arizona. Quotes 12News for data center growth make up energy demand. </v>
      </c>
      <c r="M861" s="137" t="str">
        <f>IFERROR(HYPERLINK(INDEX('Docketed Comments'!G:G,MATCH(A861,'Docketed Comments'!H:H,0)),"📄 View Docket"),"")</f>
        <v>📄 View Docket</v>
      </c>
      <c r="N861" s="135" t="str">
        <f>IFERROR(INDEX('Docketed Comments'!N:N,MATCH(A861,'Docketed Comments'!H:H,0)),"")</f>
        <v>No</v>
      </c>
      <c r="O861" s="135" t="str">
        <f>IFERROR(INDEX('Docketed Comments'!L:L,MATCH(A861,'Docketed Comments'!H:H,0)),"")</f>
        <v>Yes</v>
      </c>
      <c r="P861" s="136">
        <f t="shared" si="26"/>
        <v>0</v>
      </c>
      <c r="Q861" s="140"/>
      <c r="R861" s="144">
        <v>1</v>
      </c>
    </row>
    <row r="862" spans="1:18" ht="21.95" customHeight="1">
      <c r="A862" s="71" t="s">
        <v>5382</v>
      </c>
      <c r="B862" s="69"/>
      <c r="C862" s="70"/>
      <c r="D862" s="69"/>
      <c r="E862" s="69"/>
      <c r="F862" s="65"/>
      <c r="G862" s="65" t="s">
        <v>5811</v>
      </c>
      <c r="H862" s="65" t="str">
        <f>IFERROR(INDEX('Docketed Comments'!C:C,MATCH(A862,'Docketed Comments'!H:H,0))&amp;", "&amp;INDEX('Docketed Comments'!B:B,MATCH(A862,'Docketed Comments'!H:H,0)),"")</f>
        <v>Cheryl, Welch</v>
      </c>
      <c r="I862" s="65" t="str">
        <f>IFERROR(INDEX('Docketed Comments'!D:D,MATCH(A862,'Docketed Comments'!H:H,0)),"")</f>
        <v>Scottsdale</v>
      </c>
      <c r="J862" s="65" t="str">
        <f>IFERROR(INDEX('Docketed Comments'!I:I,MATCH(A862,'Docketed Comments'!H:H,0)),"")</f>
        <v>R3-47</v>
      </c>
      <c r="K862" s="65" t="str">
        <f t="shared" si="27"/>
        <v>✅ On Best Plan</v>
      </c>
      <c r="L862" s="65" t="str">
        <f>IFERROR(INDEX('Docketed Comments'!F:F,MATCH(A862,'Docketed Comments'!H:H,0)),"")</f>
        <v>My bill in the winter was almost $300 last month, and the heat and air were never used - that is criminal.</v>
      </c>
      <c r="M862" s="137" t="str">
        <f>IFERROR(HYPERLINK(INDEX('Docketed Comments'!G:G,MATCH(A862,'Docketed Comments'!H:H,0)),"📄 View Docket"),"")</f>
        <v>📄 View Docket</v>
      </c>
      <c r="N862" s="135" t="str">
        <f>IFERROR(INDEX('Docketed Comments'!N:N,MATCH(A862,'Docketed Comments'!H:H,0)),"")</f>
        <v>No</v>
      </c>
      <c r="O862" s="135" t="str">
        <f>IFERROR(INDEX('Docketed Comments'!L:L,MATCH(A862,'Docketed Comments'!H:H,0)),"")</f>
        <v>Yes</v>
      </c>
      <c r="P862" s="136">
        <f t="shared" si="26"/>
        <v>0</v>
      </c>
      <c r="Q862" s="140"/>
      <c r="R862" s="144">
        <v>1</v>
      </c>
    </row>
    <row r="863" spans="1:18" ht="21.95" customHeight="1">
      <c r="A863" s="71" t="s">
        <v>5383</v>
      </c>
      <c r="B863" s="69"/>
      <c r="C863" s="70"/>
      <c r="D863" s="69"/>
      <c r="E863" s="69"/>
      <c r="F863" s="65"/>
      <c r="G863" s="65" t="s">
        <v>5811</v>
      </c>
      <c r="H863" s="65" t="str">
        <f>IFERROR(INDEX('Docketed Comments'!C:C,MATCH(A863,'Docketed Comments'!H:H,0))&amp;", "&amp;INDEX('Docketed Comments'!B:B,MATCH(A863,'Docketed Comments'!H:H,0)),"")</f>
        <v>Yijeng, Liu</v>
      </c>
      <c r="I863" s="65" t="str">
        <f>IFERROR(INDEX('Docketed Comments'!D:D,MATCH(A863,'Docketed Comments'!H:H,0)),"")</f>
        <v>Scottsdale</v>
      </c>
      <c r="J863" s="65" t="str">
        <f>IFERROR(INDEX('Docketed Comments'!I:I,MATCH(A863,'Docketed Comments'!H:H,0)),"")</f>
        <v>EPR6w/ET-1</v>
      </c>
      <c r="K863" s="65" t="str">
        <f t="shared" si="27"/>
        <v>⚠ Frozen Plan</v>
      </c>
      <c r="L863" s="65" t="str">
        <f>IFERROR(INDEX('Docketed Comments'!F:F,MATCH(A863,'Docketed Comments'!H:H,0)),"")</f>
        <v>Why do residents have to pay APS shareholders' dividends more and more each year?</v>
      </c>
      <c r="M863" s="137" t="str">
        <f>IFERROR(HYPERLINK(INDEX('Docketed Comments'!G:G,MATCH(A863,'Docketed Comments'!H:H,0)),"📄 View Docket"),"")</f>
        <v>📄 View Docket</v>
      </c>
      <c r="N863" s="135" t="str">
        <f>IFERROR(INDEX('Docketed Comments'!N:N,MATCH(A863,'Docketed Comments'!H:H,0)),"")</f>
        <v>No</v>
      </c>
      <c r="O863" s="135" t="str">
        <f>IFERROR(INDEX('Docketed Comments'!L:L,MATCH(A863,'Docketed Comments'!H:H,0)),"")</f>
        <v>Frozen Plan</v>
      </c>
      <c r="P863" s="136">
        <f t="shared" si="26"/>
        <v>0</v>
      </c>
      <c r="Q863" s="140"/>
      <c r="R863" s="144">
        <v>1</v>
      </c>
    </row>
    <row r="864" spans="1:18" ht="21.95" customHeight="1">
      <c r="A864" s="71" t="s">
        <v>5384</v>
      </c>
      <c r="B864" s="69"/>
      <c r="C864" s="70"/>
      <c r="D864" s="69"/>
      <c r="E864" s="69"/>
      <c r="F864" s="65"/>
      <c r="G864" s="65" t="s">
        <v>5811</v>
      </c>
      <c r="H864" s="65" t="str">
        <f>IFERROR(INDEX('Docketed Comments'!C:C,MATCH(A864,'Docketed Comments'!H:H,0))&amp;", "&amp;INDEX('Docketed Comments'!B:B,MATCH(A864,'Docketed Comments'!H:H,0)),"")</f>
        <v>Barbara, Lucas</v>
      </c>
      <c r="I864" s="65" t="str">
        <f>IFERROR(INDEX('Docketed Comments'!D:D,MATCH(A864,'Docketed Comments'!H:H,0)),"")</f>
        <v>New River</v>
      </c>
      <c r="J864" s="65" t="str">
        <f>IFERROR(INDEX('Docketed Comments'!I:I,MATCH(A864,'Docketed Comments'!H:H,0)),"")</f>
        <v>R3-47</v>
      </c>
      <c r="K864" s="65" t="str">
        <f t="shared" si="27"/>
        <v>✅ On Best Plan</v>
      </c>
      <c r="L864" s="65" t="str">
        <f>IFERROR(INDEX('Docketed Comments'!F:F,MATCH(A864,'Docketed Comments'!H:H,0)),"")</f>
        <v xml:space="preserve">For families like mine, this is simply too much... customers should not be expected to absorb constant hikes whiles APS continues to report healthy returns. </v>
      </c>
      <c r="M864" s="137" t="str">
        <f>IFERROR(HYPERLINK(INDEX('Docketed Comments'!G:G,MATCH(A864,'Docketed Comments'!H:H,0)),"📄 View Docket"),"")</f>
        <v>📄 View Docket</v>
      </c>
      <c r="N864" s="135" t="str">
        <f>IFERROR(INDEX('Docketed Comments'!N:N,MATCH(A864,'Docketed Comments'!H:H,0)),"")</f>
        <v>No</v>
      </c>
      <c r="O864" s="135" t="str">
        <f>IFERROR(INDEX('Docketed Comments'!L:L,MATCH(A864,'Docketed Comments'!H:H,0)),"")</f>
        <v>Yes</v>
      </c>
      <c r="P864" s="136">
        <f t="shared" si="26"/>
        <v>0</v>
      </c>
      <c r="Q864" s="140"/>
      <c r="R864" s="144">
        <v>1</v>
      </c>
    </row>
    <row r="865" spans="1:18" ht="21.95" customHeight="1">
      <c r="A865" s="71" t="s">
        <v>5385</v>
      </c>
      <c r="B865" s="69"/>
      <c r="C865" s="70"/>
      <c r="D865" s="69"/>
      <c r="E865" s="69"/>
      <c r="F865" s="65"/>
      <c r="G865" s="65" t="s">
        <v>5811</v>
      </c>
      <c r="H865" s="65" t="str">
        <f>IFERROR(INDEX('Docketed Comments'!C:C,MATCH(A865,'Docketed Comments'!H:H,0))&amp;", "&amp;INDEX('Docketed Comments'!B:B,MATCH(A865,'Docketed Comments'!H:H,0)),"")</f>
        <v>Ross, Simon</v>
      </c>
      <c r="I865" s="65" t="str">
        <f>IFERROR(INDEX('Docketed Comments'!D:D,MATCH(A865,'Docketed Comments'!H:H,0)),"")</f>
        <v>Phoenix</v>
      </c>
      <c r="J865" s="65" t="str">
        <f>IFERROR(INDEX('Docketed Comments'!I:I,MATCH(A865,'Docketed Comments'!H:H,0)),"")</f>
        <v>RCPw/TOUE47</v>
      </c>
      <c r="K865" s="65" t="str">
        <f t="shared" si="27"/>
        <v>✅ On Best Plan</v>
      </c>
      <c r="L865" s="65" t="str">
        <f>IFERROR(INDEX('Docketed Comments'!F:F,MATCH(A865,'Docketed Comments'!H:H,0)),"")</f>
        <v xml:space="preserve">Approving yet another rate ncrease-especially one that penalizes solar adoption and inflates transmission costs-would violate your duty. </v>
      </c>
      <c r="M865" s="137" t="str">
        <f>IFERROR(HYPERLINK(INDEX('Docketed Comments'!G:G,MATCH(A865,'Docketed Comments'!H:H,0)),"📄 View Docket"),"")</f>
        <v>📄 View Docket</v>
      </c>
      <c r="N865" s="135" t="str">
        <f>IFERROR(INDEX('Docketed Comments'!N:N,MATCH(A865,'Docketed Comments'!H:H,0)),"")</f>
        <v>No</v>
      </c>
      <c r="O865" s="135" t="str">
        <f>IFERROR(INDEX('Docketed Comments'!L:L,MATCH(A865,'Docketed Comments'!H:H,0)),"")</f>
        <v>Yes</v>
      </c>
      <c r="P865" s="136">
        <f t="shared" si="26"/>
        <v>0</v>
      </c>
      <c r="Q865" s="140"/>
      <c r="R865" s="144">
        <v>1</v>
      </c>
    </row>
    <row r="866" spans="1:18" ht="21.95" customHeight="1">
      <c r="A866" s="71" t="s">
        <v>5386</v>
      </c>
      <c r="B866" s="69"/>
      <c r="C866" s="70"/>
      <c r="D866" s="69"/>
      <c r="E866" s="69"/>
      <c r="F866" s="65"/>
      <c r="G866" s="65" t="s">
        <v>5811</v>
      </c>
      <c r="H866" s="65" t="str">
        <f>IFERROR(INDEX('Docketed Comments'!C:C,MATCH(A866,'Docketed Comments'!H:H,0))&amp;", "&amp;INDEX('Docketed Comments'!B:B,MATCH(A866,'Docketed Comments'!H:H,0)),"")</f>
        <v>Frank, Arriola</v>
      </c>
      <c r="I866" s="65" t="str">
        <f>IFERROR(INDEX('Docketed Comments'!D:D,MATCH(A866,'Docketed Comments'!H:H,0)),"")</f>
        <v>Florence</v>
      </c>
      <c r="J866" s="65" t="str">
        <f>IFERROR(INDEX('Docketed Comments'!I:I,MATCH(A866,'Docketed Comments'!H:H,0)),"")</f>
        <v>R3-47</v>
      </c>
      <c r="K866" s="65" t="str">
        <f t="shared" si="27"/>
        <v>✅ On Best Plan</v>
      </c>
      <c r="L866" s="65" t="str">
        <f>IFERROR(INDEX('Docketed Comments'!F:F,MATCH(A866,'Docketed Comments'!H:H,0)),"")</f>
        <v>It's tough as it is to try to keep up with life without yet another increase from APS</v>
      </c>
      <c r="M866" s="137" t="str">
        <f>IFERROR(HYPERLINK(INDEX('Docketed Comments'!G:G,MATCH(A866,'Docketed Comments'!H:H,0)),"📄 View Docket"),"")</f>
        <v>📄 View Docket</v>
      </c>
      <c r="N866" s="135" t="str">
        <f>IFERROR(INDEX('Docketed Comments'!N:N,MATCH(A866,'Docketed Comments'!H:H,0)),"")</f>
        <v>No</v>
      </c>
      <c r="O866" s="135" t="str">
        <f>IFERROR(INDEX('Docketed Comments'!L:L,MATCH(A866,'Docketed Comments'!H:H,0)),"")</f>
        <v>Yes</v>
      </c>
      <c r="P866" s="136">
        <f t="shared" si="26"/>
        <v>0</v>
      </c>
      <c r="Q866" s="140"/>
      <c r="R866" s="144">
        <v>1</v>
      </c>
    </row>
    <row r="867" spans="1:18" ht="21.95" customHeight="1">
      <c r="A867" s="71" t="s">
        <v>5387</v>
      </c>
      <c r="B867" s="69"/>
      <c r="C867" s="70"/>
      <c r="D867" s="69"/>
      <c r="E867" s="69"/>
      <c r="F867" s="65"/>
      <c r="G867" s="65" t="s">
        <v>5811</v>
      </c>
      <c r="H867" s="65" t="str">
        <f>IFERROR(INDEX('Docketed Comments'!C:C,MATCH(A867,'Docketed Comments'!H:H,0))&amp;", "&amp;INDEX('Docketed Comments'!B:B,MATCH(A867,'Docketed Comments'!H:H,0)),"")</f>
        <v>Jaimie, Pottorf</v>
      </c>
      <c r="I867" s="65" t="str">
        <f>IFERROR(INDEX('Docketed Comments'!D:D,MATCH(A867,'Docketed Comments'!H:H,0)),"")</f>
        <v>Surprise</v>
      </c>
      <c r="J867" s="65" t="str">
        <f>IFERROR(INDEX('Docketed Comments'!I:I,MATCH(A867,'Docketed Comments'!H:H,0)),"")</f>
        <v>R3-47</v>
      </c>
      <c r="K867" s="65" t="str">
        <f t="shared" si="27"/>
        <v>✅ On Best Plan</v>
      </c>
      <c r="L867" s="65" t="str">
        <f>IFERROR(INDEX('Docketed Comments'!F:F,MATCH(A867,'Docketed Comments'!H:H,0)),"")</f>
        <v>APS is a regulated utility with a statutory right to seek recovery of reasonable costs, however the magnitude of the request, paired with existing profits and the ongoing financial strain on AZ residents makes this application neither fair nor reasonable</v>
      </c>
      <c r="M867" s="137" t="str">
        <f>IFERROR(HYPERLINK(INDEX('Docketed Comments'!G:G,MATCH(A867,'Docketed Comments'!H:H,0)),"📄 View Docket"),"")</f>
        <v>📄 View Docket</v>
      </c>
      <c r="N867" s="135" t="str">
        <f>IFERROR(INDEX('Docketed Comments'!N:N,MATCH(A867,'Docketed Comments'!H:H,0)),"")</f>
        <v>No</v>
      </c>
      <c r="O867" s="135" t="str">
        <f>IFERROR(INDEX('Docketed Comments'!L:L,MATCH(A867,'Docketed Comments'!H:H,0)),"")</f>
        <v>Yes</v>
      </c>
      <c r="P867" s="136">
        <f t="shared" si="26"/>
        <v>0</v>
      </c>
      <c r="Q867" s="140"/>
      <c r="R867" s="144">
        <v>1</v>
      </c>
    </row>
    <row r="868" spans="1:18" ht="21.95" customHeight="1">
      <c r="A868" s="71" t="s">
        <v>5388</v>
      </c>
      <c r="B868" s="69"/>
      <c r="C868" s="70"/>
      <c r="D868" s="69"/>
      <c r="E868" s="69"/>
      <c r="F868" s="65"/>
      <c r="G868" s="65" t="s">
        <v>5811</v>
      </c>
      <c r="H868" s="65" t="str">
        <f>IFERROR(INDEX('Docketed Comments'!C:C,MATCH(A868,'Docketed Comments'!H:H,0))&amp;", "&amp;INDEX('Docketed Comments'!B:B,MATCH(A868,'Docketed Comments'!H:H,0)),"")</f>
        <v>Davide, Conte</v>
      </c>
      <c r="I868" s="65" t="str">
        <f>IFERROR(INDEX('Docketed Comments'!D:D,MATCH(A868,'Docketed Comments'!H:H,0)),"")</f>
        <v>Prescott Valley</v>
      </c>
      <c r="J868" s="65" t="str">
        <f>IFERROR(INDEX('Docketed Comments'!I:I,MATCH(A868,'Docketed Comments'!H:H,0)),"")</f>
        <v>R-XS</v>
      </c>
      <c r="K868" s="65" t="str">
        <f t="shared" si="27"/>
        <v>✅ On Best Plan</v>
      </c>
      <c r="L868" s="65" t="str">
        <f>IFERROR(INDEX('Docketed Comments'!F:F,MATCH(A868,'Docketed Comments'!H:H,0)),"")</f>
        <v xml:space="preserve">Commission review APS's solar rate design and consider whether forcing all solar customers into sunset-aligned peak pricing is consistent with fair cost allocation. </v>
      </c>
      <c r="M868" s="137" t="str">
        <f>IFERROR(HYPERLINK(INDEX('Docketed Comments'!G:G,MATCH(A868,'Docketed Comments'!H:H,0)),"📄 View Docket"),"")</f>
        <v>📄 View Docket</v>
      </c>
      <c r="N868" s="135" t="str">
        <f>IFERROR(INDEX('Docketed Comments'!N:N,MATCH(A868,'Docketed Comments'!H:H,0)),"")</f>
        <v>No</v>
      </c>
      <c r="O868" s="135" t="str">
        <f>IFERROR(INDEX('Docketed Comments'!L:L,MATCH(A868,'Docketed Comments'!H:H,0)),"")</f>
        <v>Yes</v>
      </c>
      <c r="P868" s="136">
        <f t="shared" si="26"/>
        <v>0</v>
      </c>
      <c r="Q868" s="140"/>
      <c r="R868" s="144">
        <v>1</v>
      </c>
    </row>
    <row r="869" spans="1:18" ht="21.95" customHeight="1">
      <c r="A869" s="71" t="s">
        <v>5389</v>
      </c>
      <c r="B869" s="69"/>
      <c r="C869" s="70"/>
      <c r="D869" s="69"/>
      <c r="E869" s="69"/>
      <c r="F869" s="65"/>
      <c r="G869" s="65" t="s">
        <v>5811</v>
      </c>
      <c r="H869" s="65" t="str">
        <f>IFERROR(INDEX('Docketed Comments'!C:C,MATCH(A869,'Docketed Comments'!H:H,0))&amp;", "&amp;INDEX('Docketed Comments'!B:B,MATCH(A869,'Docketed Comments'!H:H,0)),"")</f>
        <v>Candace, Baird</v>
      </c>
      <c r="I869" s="65" t="str">
        <f>IFERROR(INDEX('Docketed Comments'!D:D,MATCH(A869,'Docketed Comments'!H:H,0)),"")</f>
        <v>Florence</v>
      </c>
      <c r="J869" s="65" t="str">
        <f>IFERROR(INDEX('Docketed Comments'!I:I,MATCH(A869,'Docketed Comments'!H:H,0)),"")</f>
        <v>R3-47</v>
      </c>
      <c r="K869" s="65" t="str">
        <f t="shared" si="27"/>
        <v>✅ On Best Plan</v>
      </c>
      <c r="L869" s="65" t="str">
        <f>IFERROR(INDEX('Docketed Comments'!F:F,MATCH(A869,'Docketed Comments'!H:H,0)),"")</f>
        <v>I have filed numerous complaints with BBB because our bills are sometimes $700! How does a family living on one income afford anymore?!</v>
      </c>
      <c r="M869" s="137" t="str">
        <f>IFERROR(HYPERLINK(INDEX('Docketed Comments'!G:G,MATCH(A869,'Docketed Comments'!H:H,0)),"📄 View Docket"),"")</f>
        <v>📄 View Docket</v>
      </c>
      <c r="N869" s="135" t="str">
        <f>IFERROR(INDEX('Docketed Comments'!N:N,MATCH(A869,'Docketed Comments'!H:H,0)),"")</f>
        <v>No</v>
      </c>
      <c r="O869" s="135" t="str">
        <f>IFERROR(INDEX('Docketed Comments'!L:L,MATCH(A869,'Docketed Comments'!H:H,0)),"")</f>
        <v>Yes</v>
      </c>
      <c r="P869" s="136">
        <f t="shared" si="26"/>
        <v>0</v>
      </c>
      <c r="Q869" s="140"/>
      <c r="R869" s="144">
        <v>1</v>
      </c>
    </row>
    <row r="870" spans="1:18" ht="21.95" customHeight="1">
      <c r="A870" s="71" t="s">
        <v>5390</v>
      </c>
      <c r="B870" s="69"/>
      <c r="C870" s="70"/>
      <c r="D870" s="69"/>
      <c r="E870" s="69"/>
      <c r="F870" s="65"/>
      <c r="G870" s="65" t="s">
        <v>5811</v>
      </c>
      <c r="H870" s="65" t="str">
        <f>IFERROR(INDEX('Docketed Comments'!C:C,MATCH(A870,'Docketed Comments'!H:H,0))&amp;", "&amp;INDEX('Docketed Comments'!B:B,MATCH(A870,'Docketed Comments'!H:H,0)),"")</f>
        <v>Kayla, Vassallo</v>
      </c>
      <c r="I870" s="65" t="str">
        <f>IFERROR(INDEX('Docketed Comments'!D:D,MATCH(A870,'Docketed Comments'!H:H,0)),"")</f>
        <v>Phoenix</v>
      </c>
      <c r="J870" s="65" t="str">
        <f>IFERROR(INDEX('Docketed Comments'!I:I,MATCH(A870,'Docketed Comments'!H:H,0)),"")</f>
        <v>R-XS</v>
      </c>
      <c r="K870" s="65" t="str">
        <f t="shared" si="27"/>
        <v>✅ On Best Plan</v>
      </c>
      <c r="L870" s="65" t="str">
        <f>IFERROR(INDEX('Docketed Comments'!F:F,MATCH(A870,'Docketed Comments'!H:H,0)),"")</f>
        <v>Form Letter: For families like mine this is simply too much</v>
      </c>
      <c r="M870" s="137" t="str">
        <f>IFERROR(HYPERLINK(INDEX('Docketed Comments'!G:G,MATCH(A870,'Docketed Comments'!H:H,0)),"📄 View Docket"),"")</f>
        <v>📄 View Docket</v>
      </c>
      <c r="N870" s="135" t="str">
        <f>IFERROR(INDEX('Docketed Comments'!N:N,MATCH(A870,'Docketed Comments'!H:H,0)),"")</f>
        <v>No</v>
      </c>
      <c r="O870" s="135" t="str">
        <f>IFERROR(INDEX('Docketed Comments'!L:L,MATCH(A870,'Docketed Comments'!H:H,0)),"")</f>
        <v>Yes</v>
      </c>
      <c r="P870" s="136">
        <f t="shared" si="26"/>
        <v>0</v>
      </c>
      <c r="Q870" s="140"/>
      <c r="R870" s="144">
        <v>1</v>
      </c>
    </row>
    <row r="871" spans="1:18" ht="21.95" customHeight="1">
      <c r="A871" s="71" t="s">
        <v>5391</v>
      </c>
      <c r="B871" s="69"/>
      <c r="C871" s="70"/>
      <c r="D871" s="69"/>
      <c r="E871" s="69"/>
      <c r="F871" s="65"/>
      <c r="G871" s="65" t="s">
        <v>5811</v>
      </c>
      <c r="H871" s="65" t="str">
        <f>IFERROR(INDEX('Docketed Comments'!C:C,MATCH(A871,'Docketed Comments'!H:H,0))&amp;", "&amp;INDEX('Docketed Comments'!B:B,MATCH(A871,'Docketed Comments'!H:H,0)),"")</f>
        <v>Scott, Dahne</v>
      </c>
      <c r="I871" s="65" t="str">
        <f>IFERROR(INDEX('Docketed Comments'!D:D,MATCH(A871,'Docketed Comments'!H:H,0)),"")</f>
        <v>Cave Creek</v>
      </c>
      <c r="J871" s="65" t="str">
        <f>IFERROR(INDEX('Docketed Comments'!I:I,MATCH(A871,'Docketed Comments'!H:H,0)),"")</f>
        <v>R3-47</v>
      </c>
      <c r="K871" s="65" t="str">
        <f t="shared" si="27"/>
        <v>✅ On Best Plan</v>
      </c>
      <c r="L871" s="65" t="str">
        <f>IFERROR(INDEX('Docketed Comments'!F:F,MATCH(A871,'Docketed Comments'!H:H,0)),"")</f>
        <v xml:space="preserve">Demand Charge Limiter and Demand Charge Credit... l've dropped my bills about 13% through my work on my electricity usage. Now APS wants to wipe that out just for the benefit of their shareholders and executive pay. </v>
      </c>
      <c r="M871" s="137" t="str">
        <f>IFERROR(HYPERLINK(INDEX('Docketed Comments'!G:G,MATCH(A871,'Docketed Comments'!H:H,0)),"📄 View Docket"),"")</f>
        <v>📄 View Docket</v>
      </c>
      <c r="N871" s="135" t="str">
        <f>IFERROR(INDEX('Docketed Comments'!N:N,MATCH(A871,'Docketed Comments'!H:H,0)),"")</f>
        <v>No</v>
      </c>
      <c r="O871" s="135" t="str">
        <f>IFERROR(INDEX('Docketed Comments'!L:L,MATCH(A871,'Docketed Comments'!H:H,0)),"")</f>
        <v>Yes</v>
      </c>
      <c r="P871" s="136">
        <f t="shared" si="26"/>
        <v>0</v>
      </c>
      <c r="Q871" s="140"/>
      <c r="R871" s="144">
        <v>1</v>
      </c>
    </row>
    <row r="872" spans="1:18" ht="21.95" customHeight="1">
      <c r="A872" s="71" t="s">
        <v>5392</v>
      </c>
      <c r="B872" s="69"/>
      <c r="C872" s="70"/>
      <c r="D872" s="69"/>
      <c r="E872" s="69"/>
      <c r="F872" s="65"/>
      <c r="G872" s="65" t="s">
        <v>5811</v>
      </c>
      <c r="H872" s="65" t="str">
        <f>IFERROR(INDEX('Docketed Comments'!C:C,MATCH(A872,'Docketed Comments'!H:H,0))&amp;", "&amp;INDEX('Docketed Comments'!B:B,MATCH(A872,'Docketed Comments'!H:H,0)),"")</f>
        <v>Daniel, Sagadraca</v>
      </c>
      <c r="I872" s="65" t="str">
        <f>IFERROR(INDEX('Docketed Comments'!D:D,MATCH(A872,'Docketed Comments'!H:H,0)),"")</f>
        <v>Phoenix</v>
      </c>
      <c r="J872" s="65" t="str">
        <f>IFERROR(INDEX('Docketed Comments'!I:I,MATCH(A872,'Docketed Comments'!H:H,0)),"")</f>
        <v>R-XS</v>
      </c>
      <c r="K872" s="65" t="str">
        <f t="shared" si="27"/>
        <v>✅ On Best Plan</v>
      </c>
      <c r="L872" s="65" t="str">
        <f>IFERROR(INDEX('Docketed Comments'!F:F,MATCH(A872,'Docketed Comments'!H:H,0)),"")</f>
        <v>heavily against this price increase as it will add strain to the rising cost of living</v>
      </c>
      <c r="M872" s="137" t="str">
        <f>IFERROR(HYPERLINK(INDEX('Docketed Comments'!G:G,MATCH(A872,'Docketed Comments'!H:H,0)),"📄 View Docket"),"")</f>
        <v>📄 View Docket</v>
      </c>
      <c r="N872" s="135" t="str">
        <f>IFERROR(INDEX('Docketed Comments'!N:N,MATCH(A872,'Docketed Comments'!H:H,0)),"")</f>
        <v>No</v>
      </c>
      <c r="O872" s="135" t="str">
        <f>IFERROR(INDEX('Docketed Comments'!L:L,MATCH(A872,'Docketed Comments'!H:H,0)),"")</f>
        <v>Yes</v>
      </c>
      <c r="P872" s="136">
        <f t="shared" si="26"/>
        <v>0</v>
      </c>
      <c r="Q872" s="140"/>
      <c r="R872" s="144">
        <v>1</v>
      </c>
    </row>
    <row r="873" spans="1:18" ht="21.95" customHeight="1">
      <c r="A873" s="71" t="s">
        <v>5393</v>
      </c>
      <c r="B873" s="69"/>
      <c r="C873" s="70"/>
      <c r="D873" s="69"/>
      <c r="E873" s="69"/>
      <c r="F873" s="65"/>
      <c r="G873" s="65" t="s">
        <v>5811</v>
      </c>
      <c r="H873" s="65" t="str">
        <f>IFERROR(INDEX('Docketed Comments'!C:C,MATCH(A873,'Docketed Comments'!H:H,0))&amp;", "&amp;INDEX('Docketed Comments'!B:B,MATCH(A873,'Docketed Comments'!H:H,0)),"")</f>
        <v>Rachel, Bergeron</v>
      </c>
      <c r="I873" s="65" t="str">
        <f>IFERROR(INDEX('Docketed Comments'!D:D,MATCH(A873,'Docketed Comments'!H:H,0)),"")</f>
        <v>Phoenix</v>
      </c>
      <c r="J873" s="65" t="str">
        <f>IFERROR(INDEX('Docketed Comments'!I:I,MATCH(A873,'Docketed Comments'!H:H,0)),"")</f>
        <v>R-XS</v>
      </c>
      <c r="K873" s="65" t="str">
        <f t="shared" si="27"/>
        <v>✅ On Best Plan</v>
      </c>
      <c r="L873" s="65" t="str">
        <f>IFERROR(INDEX('Docketed Comments'!F:F,MATCH(A873,'Docketed Comments'!H:H,0)),"")</f>
        <v>Electricity is an essential function of daily life and Arizona Public Service is a monolith in service provision in the valley.</v>
      </c>
      <c r="M873" s="137" t="str">
        <f>IFERROR(HYPERLINK(INDEX('Docketed Comments'!G:G,MATCH(A873,'Docketed Comments'!H:H,0)),"📄 View Docket"),"")</f>
        <v>📄 View Docket</v>
      </c>
      <c r="N873" s="135" t="str">
        <f>IFERROR(INDEX('Docketed Comments'!N:N,MATCH(A873,'Docketed Comments'!H:H,0)),"")</f>
        <v>No</v>
      </c>
      <c r="O873" s="135" t="str">
        <f>IFERROR(INDEX('Docketed Comments'!L:L,MATCH(A873,'Docketed Comments'!H:H,0)),"")</f>
        <v>Yes</v>
      </c>
      <c r="P873" s="136">
        <f t="shared" si="26"/>
        <v>0</v>
      </c>
      <c r="Q873" s="140"/>
      <c r="R873" s="144">
        <v>1</v>
      </c>
    </row>
    <row r="874" spans="1:18" ht="21.95" customHeight="1">
      <c r="A874" s="71" t="s">
        <v>5394</v>
      </c>
      <c r="B874" s="69"/>
      <c r="C874" s="70"/>
      <c r="D874" s="69"/>
      <c r="E874" s="69"/>
      <c r="F874" s="65"/>
      <c r="G874" s="65" t="s">
        <v>5811</v>
      </c>
      <c r="H874" s="65" t="str">
        <f>IFERROR(INDEX('Docketed Comments'!C:C,MATCH(A874,'Docketed Comments'!H:H,0))&amp;", "&amp;INDEX('Docketed Comments'!B:B,MATCH(A874,'Docketed Comments'!H:H,0)),"")</f>
        <v>William III, Palmer</v>
      </c>
      <c r="I874" s="65" t="str">
        <f>IFERROR(INDEX('Docketed Comments'!D:D,MATCH(A874,'Docketed Comments'!H:H,0)),"")</f>
        <v>Peoria</v>
      </c>
      <c r="J874" s="65" t="str">
        <f>IFERROR(INDEX('Docketed Comments'!I:I,MATCH(A874,'Docketed Comments'!H:H,0)),"")</f>
        <v>REV47</v>
      </c>
      <c r="K874" s="65" t="str">
        <f t="shared" si="27"/>
        <v>✅ On Best Plan</v>
      </c>
      <c r="L874" s="65" t="str">
        <f>IFERROR(INDEX('Docketed Comments'!F:F,MATCH(A874,'Docketed Comments'!H:H,0)),"")</f>
        <v>Retired, 2,000 sqft home, large solar system, 2 EV. APS is punishing us and h olding us hostage for doing the right thing for the environment</v>
      </c>
      <c r="M874" s="137" t="str">
        <f>IFERROR(HYPERLINK(INDEX('Docketed Comments'!G:G,MATCH(A874,'Docketed Comments'!H:H,0)),"📄 View Docket"),"")</f>
        <v>📄 View Docket</v>
      </c>
      <c r="N874" s="135" t="str">
        <f>IFERROR(INDEX('Docketed Comments'!N:N,MATCH(A874,'Docketed Comments'!H:H,0)),"")</f>
        <v>No</v>
      </c>
      <c r="O874" s="135" t="str">
        <f>IFERROR(INDEX('Docketed Comments'!L:L,MATCH(A874,'Docketed Comments'!H:H,0)),"")</f>
        <v>Yes</v>
      </c>
      <c r="P874" s="136">
        <f t="shared" si="26"/>
        <v>0</v>
      </c>
      <c r="Q874" s="140"/>
      <c r="R874" s="144">
        <v>1</v>
      </c>
    </row>
    <row r="875" spans="1:18" ht="21.95" customHeight="1">
      <c r="A875" s="71" t="s">
        <v>5395</v>
      </c>
      <c r="B875" s="69"/>
      <c r="C875" s="70"/>
      <c r="D875" s="69"/>
      <c r="E875" s="69"/>
      <c r="F875" s="65"/>
      <c r="G875" s="65" t="s">
        <v>5811</v>
      </c>
      <c r="H875" s="65" t="str">
        <f>IFERROR(INDEX('Docketed Comments'!C:C,MATCH(A875,'Docketed Comments'!H:H,0))&amp;", "&amp;INDEX('Docketed Comments'!B:B,MATCH(A875,'Docketed Comments'!H:H,0)),"")</f>
        <v>Matthew, Harrington</v>
      </c>
      <c r="I875" s="65" t="str">
        <f>IFERROR(INDEX('Docketed Comments'!D:D,MATCH(A875,'Docketed Comments'!H:H,0)),"")</f>
        <v>Goodyear</v>
      </c>
      <c r="J875" s="65" t="str">
        <f>IFERROR(INDEX('Docketed Comments'!I:I,MATCH(A875,'Docketed Comments'!H:H,0)),"")</f>
        <v>RCPw/R3-47</v>
      </c>
      <c r="K875" s="65" t="str">
        <f t="shared" si="27"/>
        <v>✅ On Best Plan</v>
      </c>
      <c r="L875" s="65" t="str">
        <f>IFERROR(INDEX('Docketed Comments'!F:F,MATCH(A875,'Docketed Comments'!H:H,0)),"")</f>
        <v>APS's proposed 14% rate hike is an erroneous and unjustified increase that places unnecessary financial strain on the residents</v>
      </c>
      <c r="M875" s="137" t="str">
        <f>IFERROR(HYPERLINK(INDEX('Docketed Comments'!G:G,MATCH(A875,'Docketed Comments'!H:H,0)),"📄 View Docket"),"")</f>
        <v>📄 View Docket</v>
      </c>
      <c r="N875" s="135" t="str">
        <f>IFERROR(INDEX('Docketed Comments'!N:N,MATCH(A875,'Docketed Comments'!H:H,0)),"")</f>
        <v>No</v>
      </c>
      <c r="O875" s="135" t="str">
        <f>IFERROR(INDEX('Docketed Comments'!L:L,MATCH(A875,'Docketed Comments'!H:H,0)),"")</f>
        <v>Yes</v>
      </c>
      <c r="P875" s="136">
        <f t="shared" si="26"/>
        <v>0</v>
      </c>
      <c r="Q875" s="140"/>
      <c r="R875" s="144">
        <v>1</v>
      </c>
    </row>
    <row r="876" spans="1:18" ht="21.95" customHeight="1">
      <c r="A876" s="71" t="s">
        <v>5396</v>
      </c>
      <c r="B876" s="69"/>
      <c r="C876" s="70"/>
      <c r="D876" s="69"/>
      <c r="E876" s="69"/>
      <c r="F876" s="65"/>
      <c r="G876" s="65" t="s">
        <v>5811</v>
      </c>
      <c r="H876" s="65" t="str">
        <f>IFERROR(INDEX('Docketed Comments'!C:C,MATCH(A876,'Docketed Comments'!H:H,0))&amp;", "&amp;INDEX('Docketed Comments'!B:B,MATCH(A876,'Docketed Comments'!H:H,0)),"")</f>
        <v>Gabriel , Gonzales</v>
      </c>
      <c r="I876" s="65" t="str">
        <f>IFERROR(INDEX('Docketed Comments'!D:D,MATCH(A876,'Docketed Comments'!H:H,0)),"")</f>
        <v>Surprise</v>
      </c>
      <c r="J876" s="65" t="str">
        <f>IFERROR(INDEX('Docketed Comments'!I:I,MATCH(A876,'Docketed Comments'!H:H,0)),"")</f>
        <v>R3-47</v>
      </c>
      <c r="K876" s="65" t="str">
        <f t="shared" si="27"/>
        <v>✅ On Best Plan</v>
      </c>
      <c r="L876" s="65" t="str">
        <f>IFERROR(INDEX('Docketed Comments'!F:F,MATCH(A876,'Docketed Comments'!H:H,0)),"")</f>
        <v xml:space="preserve">Prices are outrageous and 4 or 5 increases in 5 years is disgraceful and completely shows it's about just money. Old boyz club. </v>
      </c>
      <c r="M876" s="137" t="str">
        <f>IFERROR(HYPERLINK(INDEX('Docketed Comments'!G:G,MATCH(A876,'Docketed Comments'!H:H,0)),"📄 View Docket"),"")</f>
        <v>📄 View Docket</v>
      </c>
      <c r="N876" s="135" t="str">
        <f>IFERROR(INDEX('Docketed Comments'!N:N,MATCH(A876,'Docketed Comments'!H:H,0)),"")</f>
        <v>No</v>
      </c>
      <c r="O876" s="135" t="str">
        <f>IFERROR(INDEX('Docketed Comments'!L:L,MATCH(A876,'Docketed Comments'!H:H,0)),"")</f>
        <v>Yes</v>
      </c>
      <c r="P876" s="136">
        <f t="shared" si="26"/>
        <v>0</v>
      </c>
      <c r="Q876" s="140"/>
      <c r="R876" s="144">
        <v>1</v>
      </c>
    </row>
    <row r="877" spans="1:18" ht="21.95" customHeight="1">
      <c r="A877" s="71" t="s">
        <v>5397</v>
      </c>
      <c r="B877" s="69"/>
      <c r="C877" s="70"/>
      <c r="D877" s="69"/>
      <c r="E877" s="69"/>
      <c r="F877" s="65"/>
      <c r="G877" s="65" t="s">
        <v>5811</v>
      </c>
      <c r="H877" s="65" t="str">
        <f>IFERROR(INDEX('Docketed Comments'!C:C,MATCH(A877,'Docketed Comments'!H:H,0))&amp;", "&amp;INDEX('Docketed Comments'!B:B,MATCH(A877,'Docketed Comments'!H:H,0)),"")</f>
        <v>Tricia, Donovan</v>
      </c>
      <c r="I877" s="65" t="str">
        <f>IFERROR(INDEX('Docketed Comments'!D:D,MATCH(A877,'Docketed Comments'!H:H,0)),"")</f>
        <v>Surprise</v>
      </c>
      <c r="J877" s="65" t="str">
        <f>IFERROR(INDEX('Docketed Comments'!I:I,MATCH(A877,'Docketed Comments'!H:H,0)),"")</f>
        <v>RCPw/TOUE47</v>
      </c>
      <c r="K877" s="65" t="str">
        <f t="shared" si="27"/>
        <v>✅ On Best Plan</v>
      </c>
      <c r="L877" s="65" t="str">
        <f>IFERROR(INDEX('Docketed Comments'!F:F,MATCH(A877,'Docketed Comments'!H:H,0)),"")</f>
        <v xml:space="preserve">These rate increases are unsubstantiated on a consumer level. There should be an adjusted rate for the corporation over a certain size against the homeowner. </v>
      </c>
      <c r="M877" s="137" t="str">
        <f>IFERROR(HYPERLINK(INDEX('Docketed Comments'!G:G,MATCH(A877,'Docketed Comments'!H:H,0)),"📄 View Docket"),"")</f>
        <v>📄 View Docket</v>
      </c>
      <c r="N877" s="135" t="str">
        <f>IFERROR(INDEX('Docketed Comments'!N:N,MATCH(A877,'Docketed Comments'!H:H,0)),"")</f>
        <v>No</v>
      </c>
      <c r="O877" s="135" t="str">
        <f>IFERROR(INDEX('Docketed Comments'!L:L,MATCH(A877,'Docketed Comments'!H:H,0)),"")</f>
        <v>Yes</v>
      </c>
      <c r="P877" s="136">
        <f t="shared" si="26"/>
        <v>0</v>
      </c>
      <c r="Q877" s="140"/>
      <c r="R877" s="144">
        <v>1</v>
      </c>
    </row>
    <row r="878" spans="1:18" ht="21.95" customHeight="1">
      <c r="A878" s="71" t="s">
        <v>5398</v>
      </c>
      <c r="B878" s="69"/>
      <c r="C878" s="70"/>
      <c r="D878" s="69"/>
      <c r="E878" s="69"/>
      <c r="F878" s="65"/>
      <c r="G878" s="65" t="s">
        <v>5811</v>
      </c>
      <c r="H878" s="65" t="str">
        <f>IFERROR(INDEX('Docketed Comments'!C:C,MATCH(A878,'Docketed Comments'!H:H,0))&amp;", "&amp;INDEX('Docketed Comments'!B:B,MATCH(A878,'Docketed Comments'!H:H,0)),"")</f>
        <v>Eva, Cupp</v>
      </c>
      <c r="I878" s="65" t="str">
        <f>IFERROR(INDEX('Docketed Comments'!D:D,MATCH(A878,'Docketed Comments'!H:H,0)),"")</f>
        <v>Surprise</v>
      </c>
      <c r="J878" s="65" t="str">
        <f>IFERROR(INDEX('Docketed Comments'!I:I,MATCH(A878,'Docketed Comments'!H:H,0)),"")</f>
        <v>R3-47</v>
      </c>
      <c r="K878" s="65" t="str">
        <f t="shared" si="27"/>
        <v>✅ On Best Plan</v>
      </c>
      <c r="L878" s="65" t="str">
        <f>IFERROR(INDEX('Docketed Comments'!F:F,MATCH(A878,'Docketed Comments'!H:H,0)),"")</f>
        <v>I am against any further hikes or increases in cost for electricity</v>
      </c>
      <c r="M878" s="137" t="str">
        <f>IFERROR(HYPERLINK(INDEX('Docketed Comments'!G:G,MATCH(A878,'Docketed Comments'!H:H,0)),"📄 View Docket"),"")</f>
        <v>📄 View Docket</v>
      </c>
      <c r="N878" s="135" t="str">
        <f>IFERROR(INDEX('Docketed Comments'!N:N,MATCH(A878,'Docketed Comments'!H:H,0)),"")</f>
        <v>No</v>
      </c>
      <c r="O878" s="135" t="str">
        <f>IFERROR(INDEX('Docketed Comments'!L:L,MATCH(A878,'Docketed Comments'!H:H,0)),"")</f>
        <v>Yes</v>
      </c>
      <c r="P878" s="136">
        <f t="shared" si="26"/>
        <v>0</v>
      </c>
      <c r="Q878" s="140"/>
      <c r="R878" s="144">
        <v>1</v>
      </c>
    </row>
    <row r="879" spans="1:18" ht="21.95" customHeight="1">
      <c r="A879" s="71" t="s">
        <v>5399</v>
      </c>
      <c r="B879" s="69"/>
      <c r="C879" s="70"/>
      <c r="D879" s="69"/>
      <c r="E879" s="69"/>
      <c r="F879" s="65"/>
      <c r="G879" s="65" t="s">
        <v>5811</v>
      </c>
      <c r="H879" s="65" t="str">
        <f>IFERROR(INDEX('Docketed Comments'!C:C,MATCH(A879,'Docketed Comments'!H:H,0))&amp;", "&amp;INDEX('Docketed Comments'!B:B,MATCH(A879,'Docketed Comments'!H:H,0)),"")</f>
        <v>Andrew, Duesbury</v>
      </c>
      <c r="I879" s="65" t="str">
        <f>IFERROR(INDEX('Docketed Comments'!D:D,MATCH(A879,'Docketed Comments'!H:H,0)),"")</f>
        <v>Florence</v>
      </c>
      <c r="J879" s="65" t="str">
        <f>IFERROR(INDEX('Docketed Comments'!I:I,MATCH(A879,'Docketed Comments'!H:H,0)),"")</f>
        <v>RCPw/TOUE47</v>
      </c>
      <c r="K879" s="65" t="str">
        <f t="shared" si="27"/>
        <v>✅ On Best Plan</v>
      </c>
      <c r="L879" s="65" t="str">
        <f>IFERROR(INDEX('Docketed Comments'!F:F,MATCH(A879,'Docketed Comments'!H:H,0)),"")</f>
        <v>As a senior on a fixed income, I cannot afford another rate hike by APS especially after they have gotten two in the last few years</v>
      </c>
      <c r="M879" s="137" t="str">
        <f>IFERROR(HYPERLINK(INDEX('Docketed Comments'!G:G,MATCH(A879,'Docketed Comments'!H:H,0)),"📄 View Docket"),"")</f>
        <v>📄 View Docket</v>
      </c>
      <c r="N879" s="135" t="str">
        <f>IFERROR(INDEX('Docketed Comments'!N:N,MATCH(A879,'Docketed Comments'!H:H,0)),"")</f>
        <v>No</v>
      </c>
      <c r="O879" s="135" t="str">
        <f>IFERROR(INDEX('Docketed Comments'!L:L,MATCH(A879,'Docketed Comments'!H:H,0)),"")</f>
        <v>Yes</v>
      </c>
      <c r="P879" s="136">
        <f t="shared" si="26"/>
        <v>0</v>
      </c>
      <c r="Q879" s="140"/>
      <c r="R879" s="144">
        <v>1</v>
      </c>
    </row>
    <row r="880" spans="1:18" ht="21.95" customHeight="1">
      <c r="A880" s="71" t="s">
        <v>5400</v>
      </c>
      <c r="B880" s="69"/>
      <c r="C880" s="70"/>
      <c r="D880" s="69"/>
      <c r="E880" s="69"/>
      <c r="F880" s="65"/>
      <c r="G880" s="65" t="s">
        <v>5811</v>
      </c>
      <c r="H880" s="65" t="str">
        <f>IFERROR(INDEX('Docketed Comments'!C:C,MATCH(A880,'Docketed Comments'!H:H,0))&amp;", "&amp;INDEX('Docketed Comments'!B:B,MATCH(A880,'Docketed Comments'!H:H,0)),"")</f>
        <v>Williametta, Musselman</v>
      </c>
      <c r="I880" s="65" t="str">
        <f>IFERROR(INDEX('Docketed Comments'!D:D,MATCH(A880,'Docketed Comments'!H:H,0)),"")</f>
        <v>Phoenix</v>
      </c>
      <c r="J880" s="65" t="str">
        <f>IFERROR(INDEX('Docketed Comments'!I:I,MATCH(A880,'Docketed Comments'!H:H,0)),"")</f>
        <v>EPR6w/ET-1</v>
      </c>
      <c r="K880" s="65" t="str">
        <f t="shared" si="27"/>
        <v>✅ On Best Plan</v>
      </c>
      <c r="L880" s="65" t="str">
        <f>IFERROR(INDEX('Docketed Comments'!F:F,MATCH(A880,'Docketed Comments'!H:H,0)),"")</f>
        <v xml:space="preserve">We purchased solar many  years ago. Now we hear APS wants to double the rate for solar customers. Why? </v>
      </c>
      <c r="M880" s="137" t="str">
        <f>IFERROR(HYPERLINK(INDEX('Docketed Comments'!G:G,MATCH(A880,'Docketed Comments'!H:H,0)),"📄 View Docket"),"")</f>
        <v>📄 View Docket</v>
      </c>
      <c r="N880" s="135" t="str">
        <f>IFERROR(INDEX('Docketed Comments'!N:N,MATCH(A880,'Docketed Comments'!H:H,0)),"")</f>
        <v>No</v>
      </c>
      <c r="O880" s="135" t="str">
        <f>IFERROR(INDEX('Docketed Comments'!L:L,MATCH(A880,'Docketed Comments'!H:H,0)),"")</f>
        <v>Yes</v>
      </c>
      <c r="P880" s="136">
        <f t="shared" si="26"/>
        <v>0</v>
      </c>
      <c r="Q880" s="140"/>
      <c r="R880" s="144">
        <v>1</v>
      </c>
    </row>
    <row r="881" spans="1:18" ht="21.95" customHeight="1">
      <c r="A881" s="71" t="s">
        <v>5401</v>
      </c>
      <c r="B881" s="69"/>
      <c r="C881" s="70"/>
      <c r="D881" s="69"/>
      <c r="E881" s="69"/>
      <c r="F881" s="65"/>
      <c r="G881" s="65" t="s">
        <v>5811</v>
      </c>
      <c r="H881" s="65" t="str">
        <f>IFERROR(INDEX('Docketed Comments'!C:C,MATCH(A881,'Docketed Comments'!H:H,0))&amp;", "&amp;INDEX('Docketed Comments'!B:B,MATCH(A881,'Docketed Comments'!H:H,0)),"")</f>
        <v xml:space="preserve">Daryl, Horton </v>
      </c>
      <c r="I881" s="65" t="str">
        <f>IFERROR(INDEX('Docketed Comments'!D:D,MATCH(A881,'Docketed Comments'!H:H,0)),"")</f>
        <v>Phoenix</v>
      </c>
      <c r="J881" s="65" t="str">
        <f>IFERROR(INDEX('Docketed Comments'!I:I,MATCH(A881,'Docketed Comments'!H:H,0)),"")</f>
        <v>R3-47</v>
      </c>
      <c r="K881" s="65" t="str">
        <f t="shared" si="27"/>
        <v>✅ On Best Plan</v>
      </c>
      <c r="L881" s="65" t="str">
        <f>IFERROR(INDEX('Docketed Comments'!F:F,MATCH(A881,'Docketed Comments'!H:H,0)),"")</f>
        <v xml:space="preserve">Arizonans are struggling with costs for housing, food, and other essentials. This increase is unjust and unreasonable. The Proposed FRM is a blank check. </v>
      </c>
      <c r="M881" s="137" t="str">
        <f>IFERROR(HYPERLINK(INDEX('Docketed Comments'!G:G,MATCH(A881,'Docketed Comments'!H:H,0)),"📄 View Docket"),"")</f>
        <v>📄 View Docket</v>
      </c>
      <c r="N881" s="135" t="str">
        <f>IFERROR(INDEX('Docketed Comments'!N:N,MATCH(A881,'Docketed Comments'!H:H,0)),"")</f>
        <v>No</v>
      </c>
      <c r="O881" s="135" t="str">
        <f>IFERROR(INDEX('Docketed Comments'!L:L,MATCH(A881,'Docketed Comments'!H:H,0)),"")</f>
        <v>Yes</v>
      </c>
      <c r="P881" s="136">
        <f t="shared" si="26"/>
        <v>0</v>
      </c>
      <c r="Q881" s="140"/>
      <c r="R881" s="144">
        <v>1</v>
      </c>
    </row>
    <row r="882" spans="1:18" ht="21.95" customHeight="1">
      <c r="A882" s="71" t="s">
        <v>5402</v>
      </c>
      <c r="B882" s="69"/>
      <c r="C882" s="70"/>
      <c r="D882" s="69"/>
      <c r="E882" s="69"/>
      <c r="F882" s="65"/>
      <c r="G882" s="65" t="s">
        <v>5811</v>
      </c>
      <c r="H882" s="65" t="str">
        <f>IFERROR(INDEX('Docketed Comments'!C:C,MATCH(A882,'Docketed Comments'!H:H,0))&amp;", "&amp;INDEX('Docketed Comments'!B:B,MATCH(A882,'Docketed Comments'!H:H,0)),"")</f>
        <v>Hailee, Tocco</v>
      </c>
      <c r="I882" s="65" t="str">
        <f>IFERROR(INDEX('Docketed Comments'!D:D,MATCH(A882,'Docketed Comments'!H:H,0)),"")</f>
        <v>Goodyear</v>
      </c>
      <c r="J882" s="65" t="str">
        <f>IFERROR(INDEX('Docketed Comments'!I:I,MATCH(A882,'Docketed Comments'!H:H,0)),"")</f>
        <v>RTOUE47</v>
      </c>
      <c r="K882" s="65" t="str">
        <f t="shared" si="27"/>
        <v>✅ On Best Plan</v>
      </c>
      <c r="L882" s="65" t="str">
        <f>IFERROR(INDEX('Docketed Comments'!F:F,MATCH(A882,'Docketed Comments'!H:H,0)),"")</f>
        <v xml:space="preserve">households are already struggling with rising costs for housing, food, healthcare, and fuel. Wages have not increased at the same pace as utility costs. </v>
      </c>
      <c r="M882" s="137" t="str">
        <f>IFERROR(HYPERLINK(INDEX('Docketed Comments'!G:G,MATCH(A882,'Docketed Comments'!H:H,0)),"📄 View Docket"),"")</f>
        <v>📄 View Docket</v>
      </c>
      <c r="N882" s="135" t="str">
        <f>IFERROR(INDEX('Docketed Comments'!N:N,MATCH(A882,'Docketed Comments'!H:H,0)),"")</f>
        <v>No</v>
      </c>
      <c r="O882" s="135" t="str">
        <f>IFERROR(INDEX('Docketed Comments'!L:L,MATCH(A882,'Docketed Comments'!H:H,0)),"")</f>
        <v>Yes</v>
      </c>
      <c r="P882" s="136">
        <f t="shared" si="26"/>
        <v>0</v>
      </c>
      <c r="Q882" s="140"/>
      <c r="R882" s="144">
        <v>1</v>
      </c>
    </row>
    <row r="883" spans="1:18" ht="21.95" customHeight="1">
      <c r="A883" s="71" t="s">
        <v>5403</v>
      </c>
      <c r="B883" s="69"/>
      <c r="C883" s="70"/>
      <c r="D883" s="69"/>
      <c r="E883" s="69"/>
      <c r="F883" s="65"/>
      <c r="G883" s="65" t="s">
        <v>5811</v>
      </c>
      <c r="H883" s="65" t="str">
        <f>IFERROR(INDEX('Docketed Comments'!C:C,MATCH(A883,'Docketed Comments'!H:H,0))&amp;", "&amp;INDEX('Docketed Comments'!B:B,MATCH(A883,'Docketed Comments'!H:H,0)),"")</f>
        <v>Joseph, Huizenga</v>
      </c>
      <c r="I883" s="65" t="str">
        <f>IFERROR(INDEX('Docketed Comments'!D:D,MATCH(A883,'Docketed Comments'!H:H,0)),"")</f>
        <v>Phoenix</v>
      </c>
      <c r="J883" s="65" t="str">
        <f>IFERROR(INDEX('Docketed Comments'!I:I,MATCH(A883,'Docketed Comments'!H:H,0)),"")</f>
        <v>RTOUE47</v>
      </c>
      <c r="K883" s="65" t="str">
        <f t="shared" si="27"/>
        <v>✅ On Best Plan</v>
      </c>
      <c r="L883" s="65" t="str">
        <f>IFERROR(INDEX('Docketed Comments'!F:F,MATCH(A883,'Docketed Comments'!H:H,0)),"")</f>
        <v>Spend money within their means as opposed to growing the grid to prepare for future growth at the expense of the sonsumer. I invested in solar... costs continue to grow.</v>
      </c>
      <c r="M883" s="137" t="str">
        <f>IFERROR(HYPERLINK(INDEX('Docketed Comments'!G:G,MATCH(A883,'Docketed Comments'!H:H,0)),"📄 View Docket"),"")</f>
        <v>📄 View Docket</v>
      </c>
      <c r="N883" s="135" t="str">
        <f>IFERROR(INDEX('Docketed Comments'!N:N,MATCH(A883,'Docketed Comments'!H:H,0)),"")</f>
        <v>No</v>
      </c>
      <c r="O883" s="135" t="str">
        <f>IFERROR(INDEX('Docketed Comments'!L:L,MATCH(A883,'Docketed Comments'!H:H,0)),"")</f>
        <v>Yes</v>
      </c>
      <c r="P883" s="136">
        <f t="shared" si="26"/>
        <v>0</v>
      </c>
      <c r="Q883" s="140"/>
      <c r="R883" s="144">
        <v>1</v>
      </c>
    </row>
    <row r="884" spans="1:18" ht="21.95" customHeight="1">
      <c r="A884" s="71" t="s">
        <v>5404</v>
      </c>
      <c r="B884" s="69"/>
      <c r="C884" s="70"/>
      <c r="D884" s="69"/>
      <c r="E884" s="69"/>
      <c r="F884" s="65"/>
      <c r="G884" s="65" t="s">
        <v>5811</v>
      </c>
      <c r="H884" s="65" t="str">
        <f>IFERROR(INDEX('Docketed Comments'!C:C,MATCH(A884,'Docketed Comments'!H:H,0))&amp;", "&amp;INDEX('Docketed Comments'!B:B,MATCH(A884,'Docketed Comments'!H:H,0)),"")</f>
        <v>Heather, Pillsbury</v>
      </c>
      <c r="I884" s="65" t="str">
        <f>IFERROR(INDEX('Docketed Comments'!D:D,MATCH(A884,'Docketed Comments'!H:H,0)),"")</f>
        <v>Phoenix</v>
      </c>
      <c r="J884" s="65" t="str">
        <f>IFERROR(INDEX('Docketed Comments'!I:I,MATCH(A884,'Docketed Comments'!H:H,0)),"")</f>
        <v>R-XS</v>
      </c>
      <c r="K884" s="65" t="str">
        <f t="shared" si="27"/>
        <v>✅ On Best Plan</v>
      </c>
      <c r="L884" s="65" t="str">
        <f>IFERROR(INDEX('Docketed Comments'!F:F,MATCH(A884,'Docketed Comments'!H:H,0)),"")</f>
        <v>No more rate hikes! Already increased 8% last year! I oppose the 14% proposed increase!</v>
      </c>
      <c r="M884" s="137" t="str">
        <f>IFERROR(HYPERLINK(INDEX('Docketed Comments'!G:G,MATCH(A884,'Docketed Comments'!H:H,0)),"📄 View Docket"),"")</f>
        <v>📄 View Docket</v>
      </c>
      <c r="N884" s="135" t="str">
        <f>IFERROR(INDEX('Docketed Comments'!N:N,MATCH(A884,'Docketed Comments'!H:H,0)),"")</f>
        <v>No</v>
      </c>
      <c r="O884" s="135" t="str">
        <f>IFERROR(INDEX('Docketed Comments'!L:L,MATCH(A884,'Docketed Comments'!H:H,0)),"")</f>
        <v>Yes</v>
      </c>
      <c r="P884" s="136">
        <f t="shared" si="26"/>
        <v>0</v>
      </c>
      <c r="Q884" s="140"/>
      <c r="R884" s="144">
        <v>1</v>
      </c>
    </row>
    <row r="885" spans="1:18" ht="21.95" customHeight="1">
      <c r="A885" s="71" t="s">
        <v>5405</v>
      </c>
      <c r="B885" s="69"/>
      <c r="C885" s="70"/>
      <c r="D885" s="69"/>
      <c r="E885" s="69"/>
      <c r="F885" s="65"/>
      <c r="G885" s="65" t="s">
        <v>5811</v>
      </c>
      <c r="H885" s="65" t="str">
        <f>IFERROR(INDEX('Docketed Comments'!C:C,MATCH(A885,'Docketed Comments'!H:H,0))&amp;", "&amp;INDEX('Docketed Comments'!B:B,MATCH(A885,'Docketed Comments'!H:H,0)),"")</f>
        <v>Jasim, Sukhera</v>
      </c>
      <c r="I885" s="65" t="str">
        <f>IFERROR(INDEX('Docketed Comments'!D:D,MATCH(A885,'Docketed Comments'!H:H,0)),"")</f>
        <v>Phoenix</v>
      </c>
      <c r="J885" s="65" t="str">
        <f>IFERROR(INDEX('Docketed Comments'!I:I,MATCH(A885,'Docketed Comments'!H:H,0)),"")</f>
        <v>R-XS</v>
      </c>
      <c r="K885" s="65" t="str">
        <f t="shared" si="27"/>
        <v>✅ On Best Plan</v>
      </c>
      <c r="L885" s="65" t="str">
        <f>IFERROR(INDEX('Docketed Comments'!F:F,MATCH(A885,'Docketed Comments'!H:H,0)),"")</f>
        <v>a resident of Phoenix AZ oppose the 14% utilities rate increase</v>
      </c>
      <c r="M885" s="137" t="str">
        <f>IFERROR(HYPERLINK(INDEX('Docketed Comments'!G:G,MATCH(A885,'Docketed Comments'!H:H,0)),"📄 View Docket"),"")</f>
        <v>📄 View Docket</v>
      </c>
      <c r="N885" s="135" t="str">
        <f>IFERROR(INDEX('Docketed Comments'!N:N,MATCH(A885,'Docketed Comments'!H:H,0)),"")</f>
        <v>No</v>
      </c>
      <c r="O885" s="135" t="str">
        <f>IFERROR(INDEX('Docketed Comments'!L:L,MATCH(A885,'Docketed Comments'!H:H,0)),"")</f>
        <v>Yes</v>
      </c>
      <c r="P885" s="136">
        <f t="shared" si="26"/>
        <v>0</v>
      </c>
      <c r="Q885" s="140"/>
      <c r="R885" s="144">
        <v>1</v>
      </c>
    </row>
    <row r="886" spans="1:18" ht="21.95" customHeight="1">
      <c r="A886" s="71" t="s">
        <v>5406</v>
      </c>
      <c r="B886" s="69"/>
      <c r="C886" s="70"/>
      <c r="D886" s="69"/>
      <c r="E886" s="69"/>
      <c r="F886" s="65"/>
      <c r="G886" s="65" t="s">
        <v>5811</v>
      </c>
      <c r="H886" s="65" t="str">
        <f>IFERROR(INDEX('Docketed Comments'!C:C,MATCH(A886,'Docketed Comments'!H:H,0))&amp;", "&amp;INDEX('Docketed Comments'!B:B,MATCH(A886,'Docketed Comments'!H:H,0)),"")</f>
        <v>Brindle, Mahoney</v>
      </c>
      <c r="I886" s="65" t="str">
        <f>IFERROR(INDEX('Docketed Comments'!D:D,MATCH(A886,'Docketed Comments'!H:H,0)),"")</f>
        <v>Sun City West</v>
      </c>
      <c r="J886" s="65" t="str">
        <f>IFERROR(INDEX('Docketed Comments'!I:I,MATCH(A886,'Docketed Comments'!H:H,0)),"")</f>
        <v>R-XS</v>
      </c>
      <c r="K886" s="65" t="str">
        <f t="shared" si="27"/>
        <v>✅ On Best Plan</v>
      </c>
      <c r="L886" s="65" t="str">
        <f>IFERROR(INDEX('Docketed Comments'!F:F,MATCH(A886,'Docketed Comments'!H:H,0)),"")</f>
        <v xml:space="preserve">Newly widowed, disabled snior. Half the time I don't even use the utilities because I can barely afford them. </v>
      </c>
      <c r="M886" s="137" t="str">
        <f>IFERROR(HYPERLINK(INDEX('Docketed Comments'!G:G,MATCH(A886,'Docketed Comments'!H:H,0)),"📄 View Docket"),"")</f>
        <v>📄 View Docket</v>
      </c>
      <c r="N886" s="135" t="str">
        <f>IFERROR(INDEX('Docketed Comments'!N:N,MATCH(A886,'Docketed Comments'!H:H,0)),"")</f>
        <v>No</v>
      </c>
      <c r="O886" s="135" t="str">
        <f>IFERROR(INDEX('Docketed Comments'!L:L,MATCH(A886,'Docketed Comments'!H:H,0)),"")</f>
        <v>Yes</v>
      </c>
      <c r="P886" s="136">
        <f t="shared" si="26"/>
        <v>0</v>
      </c>
      <c r="Q886" s="140"/>
      <c r="R886" s="144">
        <v>1</v>
      </c>
    </row>
    <row r="887" spans="1:18" ht="21.95" customHeight="1">
      <c r="A887" s="71" t="s">
        <v>5407</v>
      </c>
      <c r="B887" s="69"/>
      <c r="C887" s="70"/>
      <c r="D887" s="69"/>
      <c r="E887" s="69"/>
      <c r="F887" s="65"/>
      <c r="G887" s="65" t="s">
        <v>5811</v>
      </c>
      <c r="H887" s="65" t="str">
        <f>IFERROR(INDEX('Docketed Comments'!C:C,MATCH(A887,'Docketed Comments'!H:H,0))&amp;", "&amp;INDEX('Docketed Comments'!B:B,MATCH(A887,'Docketed Comments'!H:H,0)),"")</f>
        <v>Tessa, Arias</v>
      </c>
      <c r="I887" s="65" t="str">
        <f>IFERROR(INDEX('Docketed Comments'!D:D,MATCH(A887,'Docketed Comments'!H:H,0)),"")</f>
        <v>Phoenix</v>
      </c>
      <c r="J887" s="65" t="str">
        <f>IFERROR(INDEX('Docketed Comments'!I:I,MATCH(A887,'Docketed Comments'!H:H,0)),"")</f>
        <v>RTOUE47</v>
      </c>
      <c r="K887" s="65" t="str">
        <f t="shared" si="27"/>
        <v>✅ On Best Plan</v>
      </c>
      <c r="L887" s="65" t="str">
        <f>IFERROR(INDEX('Docketed Comments'!F:F,MATCH(A887,'Docketed Comments'!H:H,0)),"")</f>
        <v>Double the price I paid in SRP territory. Troubled by the proposal for FRM</v>
      </c>
      <c r="M887" s="137" t="str">
        <f>IFERROR(HYPERLINK(INDEX('Docketed Comments'!G:G,MATCH(A887,'Docketed Comments'!H:H,0)),"📄 View Docket"),"")</f>
        <v>📄 View Docket</v>
      </c>
      <c r="N887" s="135" t="str">
        <f>IFERROR(INDEX('Docketed Comments'!N:N,MATCH(A887,'Docketed Comments'!H:H,0)),"")</f>
        <v>No</v>
      </c>
      <c r="O887" s="135" t="str">
        <f>IFERROR(INDEX('Docketed Comments'!L:L,MATCH(A887,'Docketed Comments'!H:H,0)),"")</f>
        <v>Yes</v>
      </c>
      <c r="P887" s="136">
        <f t="shared" si="26"/>
        <v>0</v>
      </c>
      <c r="Q887" s="140"/>
      <c r="R887" s="144">
        <v>1</v>
      </c>
    </row>
    <row r="888" spans="1:18" ht="21.95" customHeight="1">
      <c r="A888" s="71" t="s">
        <v>5408</v>
      </c>
      <c r="B888" s="69"/>
      <c r="C888" s="70"/>
      <c r="D888" s="69"/>
      <c r="E888" s="69"/>
      <c r="F888" s="65"/>
      <c r="G888" s="65" t="s">
        <v>5811</v>
      </c>
      <c r="H888" s="65" t="str">
        <f>IFERROR(INDEX('Docketed Comments'!C:C,MATCH(A888,'Docketed Comments'!H:H,0))&amp;", "&amp;INDEX('Docketed Comments'!B:B,MATCH(A888,'Docketed Comments'!H:H,0)),"")</f>
        <v>Donald, Currie</v>
      </c>
      <c r="I888" s="65" t="str">
        <f>IFERROR(INDEX('Docketed Comments'!D:D,MATCH(A888,'Docketed Comments'!H:H,0)),"")</f>
        <v>Glendale</v>
      </c>
      <c r="J888" s="65" t="str">
        <f>IFERROR(INDEX('Docketed Comments'!I:I,MATCH(A888,'Docketed Comments'!H:H,0)),"")</f>
        <v>RCPw/RTOUE47</v>
      </c>
      <c r="K888" s="65" t="str">
        <f t="shared" si="27"/>
        <v>✅ On Best Plan</v>
      </c>
      <c r="L888" s="65" t="str">
        <f>IFERROR(INDEX('Docketed Comments'!F:F,MATCH(A888,'Docketed Comments'!H:H,0)),"")</f>
        <v xml:space="preserve">Solar customers got solar to help sustain the grid and keep our price stable. We paid for these panels. We should not be fee'd to death. Inrease data center even more. </v>
      </c>
      <c r="M888" s="137" t="str">
        <f>IFERROR(HYPERLINK(INDEX('Docketed Comments'!G:G,MATCH(A888,'Docketed Comments'!H:H,0)),"📄 View Docket"),"")</f>
        <v>📄 View Docket</v>
      </c>
      <c r="N888" s="135" t="str">
        <f>IFERROR(INDEX('Docketed Comments'!N:N,MATCH(A888,'Docketed Comments'!H:H,0)),"")</f>
        <v>No</v>
      </c>
      <c r="O888" s="135" t="str">
        <f>IFERROR(INDEX('Docketed Comments'!L:L,MATCH(A888,'Docketed Comments'!H:H,0)),"")</f>
        <v>Yes</v>
      </c>
      <c r="P888" s="136">
        <f t="shared" si="26"/>
        <v>0</v>
      </c>
      <c r="Q888" s="140"/>
      <c r="R888" s="144">
        <v>1</v>
      </c>
    </row>
    <row r="889" spans="1:18" ht="21.95" customHeight="1">
      <c r="A889" s="71" t="s">
        <v>5409</v>
      </c>
      <c r="B889" s="69"/>
      <c r="C889" s="70"/>
      <c r="D889" s="69"/>
      <c r="E889" s="69"/>
      <c r="F889" s="65"/>
      <c r="G889" s="65" t="s">
        <v>5811</v>
      </c>
      <c r="H889" s="65" t="str">
        <f>IFERROR(INDEX('Docketed Comments'!C:C,MATCH(A889,'Docketed Comments'!H:H,0))&amp;", "&amp;INDEX('Docketed Comments'!B:B,MATCH(A889,'Docketed Comments'!H:H,0)),"")</f>
        <v>Stacy, Murton</v>
      </c>
      <c r="I889" s="65" t="str">
        <f>IFERROR(INDEX('Docketed Comments'!D:D,MATCH(A889,'Docketed Comments'!H:H,0)),"")</f>
        <v>Sun City</v>
      </c>
      <c r="J889" s="65" t="str">
        <f>IFERROR(INDEX('Docketed Comments'!I:I,MATCH(A889,'Docketed Comments'!H:H,0)),"")</f>
        <v>EPR6w/ET-2</v>
      </c>
      <c r="K889" s="65" t="str">
        <f t="shared" si="27"/>
        <v>⚠ Frozen Rate</v>
      </c>
      <c r="L889" s="65" t="str">
        <f>IFERROR(INDEX('Docketed Comments'!F:F,MATCH(A889,'Docketed Comments'!H:H,0)),"")</f>
        <v>OPPOSE the proposed 14% rate increase by APS. Coming on the heels of an 8% increase just last year.</v>
      </c>
      <c r="M889" s="137" t="str">
        <f>IFERROR(HYPERLINK(INDEX('Docketed Comments'!G:G,MATCH(A889,'Docketed Comments'!H:H,0)),"📄 View Docket"),"")</f>
        <v>📄 View Docket</v>
      </c>
      <c r="N889" s="135" t="str">
        <f>IFERROR(INDEX('Docketed Comments'!N:N,MATCH(A889,'Docketed Comments'!H:H,0)),"")</f>
        <v>No</v>
      </c>
      <c r="O889" s="135" t="str">
        <f>IFERROR(INDEX('Docketed Comments'!L:L,MATCH(A889,'Docketed Comments'!H:H,0)),"")</f>
        <v>Frozen Rate</v>
      </c>
      <c r="P889" s="136">
        <f t="shared" si="26"/>
        <v>0</v>
      </c>
      <c r="Q889" s="140"/>
      <c r="R889" s="144">
        <v>1</v>
      </c>
    </row>
    <row r="890" spans="1:18" ht="21.95" customHeight="1">
      <c r="A890" s="71" t="s">
        <v>5410</v>
      </c>
      <c r="B890" s="69"/>
      <c r="C890" s="70"/>
      <c r="D890" s="69"/>
      <c r="E890" s="69"/>
      <c r="F890" s="65"/>
      <c r="G890" s="65" t="s">
        <v>5811</v>
      </c>
      <c r="H890" s="65" t="str">
        <f>IFERROR(INDEX('Docketed Comments'!C:C,MATCH(A890,'Docketed Comments'!H:H,0))&amp;", "&amp;INDEX('Docketed Comments'!B:B,MATCH(A890,'Docketed Comments'!H:H,0)),"")</f>
        <v>Alyssa, Waddell</v>
      </c>
      <c r="I890" s="65" t="str">
        <f>IFERROR(INDEX('Docketed Comments'!D:D,MATCH(A890,'Docketed Comments'!H:H,0)),"")</f>
        <v>Florence</v>
      </c>
      <c r="J890" s="65" t="str">
        <f>IFERROR(INDEX('Docketed Comments'!I:I,MATCH(A890,'Docketed Comments'!H:H,0)),"")</f>
        <v>RCPw/TOUE47</v>
      </c>
      <c r="K890" s="65" t="str">
        <f t="shared" si="27"/>
        <v>✅ On Best Plan</v>
      </c>
      <c r="L890" s="65" t="str">
        <f>IFERROR(INDEX('Docketed Comments'!F:F,MATCH(A890,'Docketed Comments'!H:H,0)),"")</f>
        <v>Oppose -rate was just increased less than 2 years ago</v>
      </c>
      <c r="M890" s="137" t="str">
        <f>IFERROR(HYPERLINK(INDEX('Docketed Comments'!G:G,MATCH(A890,'Docketed Comments'!H:H,0)),"📄 View Docket"),"")</f>
        <v>📄 View Docket</v>
      </c>
      <c r="N890" s="135" t="str">
        <f>IFERROR(INDEX('Docketed Comments'!N:N,MATCH(A890,'Docketed Comments'!H:H,0)),"")</f>
        <v>No</v>
      </c>
      <c r="O890" s="135" t="str">
        <f>IFERROR(INDEX('Docketed Comments'!L:L,MATCH(A890,'Docketed Comments'!H:H,0)),"")</f>
        <v>Yes</v>
      </c>
      <c r="P890" s="136">
        <f t="shared" si="26"/>
        <v>0</v>
      </c>
      <c r="Q890" s="140"/>
      <c r="R890" s="144">
        <v>1</v>
      </c>
    </row>
    <row r="891" spans="1:18" ht="21.95" customHeight="1">
      <c r="A891" s="71" t="s">
        <v>5411</v>
      </c>
      <c r="B891" s="69"/>
      <c r="C891" s="70"/>
      <c r="D891" s="69"/>
      <c r="E891" s="69"/>
      <c r="F891" s="65"/>
      <c r="G891" s="65" t="s">
        <v>5811</v>
      </c>
      <c r="H891" s="65" t="str">
        <f>IFERROR(INDEX('Docketed Comments'!C:C,MATCH(A891,'Docketed Comments'!H:H,0))&amp;", "&amp;INDEX('Docketed Comments'!B:B,MATCH(A891,'Docketed Comments'!H:H,0)),"")</f>
        <v>Stephen, Pendergraft</v>
      </c>
      <c r="I891" s="65" t="str">
        <f>IFERROR(INDEX('Docketed Comments'!D:D,MATCH(A891,'Docketed Comments'!H:H,0)),"")</f>
        <v>Phoenix</v>
      </c>
      <c r="J891" s="65" t="str">
        <f>IFERROR(INDEX('Docketed Comments'!I:I,MATCH(A891,'Docketed Comments'!H:H,0)),"")</f>
        <v>EPR6w/ET-1</v>
      </c>
      <c r="K891" s="65" t="str">
        <f t="shared" si="27"/>
        <v>⚠ Frozen Rate</v>
      </c>
      <c r="L891" s="65" t="str">
        <f>IFERROR(INDEX('Docketed Comments'!F:F,MATCH(A891,'Docketed Comments'!H:H,0)),"")</f>
        <v xml:space="preserve">It is unreasonable to expect Arizona families to shoulder another significant iincrease. Quotes APS  mission statement on 'About Us' page. </v>
      </c>
      <c r="M891" s="137" t="str">
        <f>IFERROR(HYPERLINK(INDEX('Docketed Comments'!G:G,MATCH(A891,'Docketed Comments'!H:H,0)),"📄 View Docket"),"")</f>
        <v>📄 View Docket</v>
      </c>
      <c r="N891" s="135" t="str">
        <f>IFERROR(INDEX('Docketed Comments'!N:N,MATCH(A891,'Docketed Comments'!H:H,0)),"")</f>
        <v>No</v>
      </c>
      <c r="O891" s="135" t="str">
        <f>IFERROR(INDEX('Docketed Comments'!L:L,MATCH(A891,'Docketed Comments'!H:H,0)),"")</f>
        <v>Frozen Rate</v>
      </c>
      <c r="P891" s="136">
        <f t="shared" si="26"/>
        <v>0</v>
      </c>
      <c r="Q891" s="140"/>
      <c r="R891" s="144">
        <v>1</v>
      </c>
    </row>
    <row r="892" spans="1:18" ht="21.95" customHeight="1">
      <c r="A892" s="71" t="s">
        <v>5412</v>
      </c>
      <c r="B892" s="69"/>
      <c r="C892" s="70"/>
      <c r="D892" s="69"/>
      <c r="E892" s="69"/>
      <c r="F892" s="65"/>
      <c r="G892" s="65" t="s">
        <v>5811</v>
      </c>
      <c r="H892" s="65" t="str">
        <f>IFERROR(INDEX('Docketed Comments'!C:C,MATCH(A892,'Docketed Comments'!H:H,0))&amp;", "&amp;INDEX('Docketed Comments'!B:B,MATCH(A892,'Docketed Comments'!H:H,0)),"")</f>
        <v>Shannon, Mueller</v>
      </c>
      <c r="I892" s="65" t="str">
        <f>IFERROR(INDEX('Docketed Comments'!D:D,MATCH(A892,'Docketed Comments'!H:H,0)),"")</f>
        <v>Surprise</v>
      </c>
      <c r="J892" s="65" t="str">
        <f>IFERROR(INDEX('Docketed Comments'!I:I,MATCH(A892,'Docketed Comments'!H:H,0)),"")</f>
        <v>R3-47</v>
      </c>
      <c r="K892" s="65" t="str">
        <f t="shared" si="27"/>
        <v>✅ On Best Plan</v>
      </c>
      <c r="L892" s="65" t="str">
        <f>IFERROR(INDEX('Docketed Comments'!F:F,MATCH(A892,'Docketed Comments'!H:H,0)),"")</f>
        <v xml:space="preserve">Why do they need YET ANOTHER INCREASE? APS is already charging WAAAAY more than SRP. </v>
      </c>
      <c r="M892" s="137" t="str">
        <f>IFERROR(HYPERLINK(INDEX('Docketed Comments'!G:G,MATCH(A892,'Docketed Comments'!H:H,0)),"📄 View Docket"),"")</f>
        <v>📄 View Docket</v>
      </c>
      <c r="N892" s="135" t="str">
        <f>IFERROR(INDEX('Docketed Comments'!N:N,MATCH(A892,'Docketed Comments'!H:H,0)),"")</f>
        <v>No</v>
      </c>
      <c r="O892" s="135" t="str">
        <f>IFERROR(INDEX('Docketed Comments'!L:L,MATCH(A892,'Docketed Comments'!H:H,0)),"")</f>
        <v>Yes</v>
      </c>
      <c r="P892" s="136">
        <f t="shared" si="26"/>
        <v>0</v>
      </c>
      <c r="Q892" s="140"/>
      <c r="R892" s="144">
        <v>1</v>
      </c>
    </row>
    <row r="893" spans="1:18" ht="21.95" customHeight="1">
      <c r="A893" s="71" t="s">
        <v>5413</v>
      </c>
      <c r="B893" s="69"/>
      <c r="C893" s="70"/>
      <c r="D893" s="69"/>
      <c r="E893" s="69"/>
      <c r="F893" s="65"/>
      <c r="G893" s="65" t="s">
        <v>5811</v>
      </c>
      <c r="H893" s="65" t="str">
        <f>IFERROR(INDEX('Docketed Comments'!C:C,MATCH(A893,'Docketed Comments'!H:H,0))&amp;", "&amp;INDEX('Docketed Comments'!B:B,MATCH(A893,'Docketed Comments'!H:H,0)),"")</f>
        <v>Dave, McKee</v>
      </c>
      <c r="I893" s="65" t="str">
        <f>IFERROR(INDEX('Docketed Comments'!D:D,MATCH(A893,'Docketed Comments'!H:H,0)),"")</f>
        <v>Tempe</v>
      </c>
      <c r="J893" s="65" t="str">
        <f>IFERROR(INDEX('Docketed Comments'!I:I,MATCH(A893,'Docketed Comments'!H:H,0)),"")</f>
        <v>R3-47</v>
      </c>
      <c r="K893" s="65" t="str">
        <f t="shared" si="27"/>
        <v>✅ On Best Plan</v>
      </c>
      <c r="L893" s="65" t="str">
        <f>IFERROR(INDEX('Docketed Comments'!F:F,MATCH(A893,'Docketed Comments'!H:H,0)),"")</f>
        <v xml:space="preserve">It is unfathomable that they would request yet another rate hike, especially considering the outrageous amount the APS officers are taking in sompensation. </v>
      </c>
      <c r="M893" s="137" t="str">
        <f>IFERROR(HYPERLINK(INDEX('Docketed Comments'!G:G,MATCH(A893,'Docketed Comments'!H:H,0)),"📄 View Docket"),"")</f>
        <v>📄 View Docket</v>
      </c>
      <c r="N893" s="135" t="str">
        <f>IFERROR(INDEX('Docketed Comments'!N:N,MATCH(A893,'Docketed Comments'!H:H,0)),"")</f>
        <v>No</v>
      </c>
      <c r="O893" s="135" t="str">
        <f>IFERROR(INDEX('Docketed Comments'!L:L,MATCH(A893,'Docketed Comments'!H:H,0)),"")</f>
        <v>Yes</v>
      </c>
      <c r="P893" s="136">
        <f t="shared" si="26"/>
        <v>0</v>
      </c>
      <c r="Q893" s="140"/>
      <c r="R893" s="144">
        <v>1</v>
      </c>
    </row>
    <row r="894" spans="1:18" ht="21.95" customHeight="1">
      <c r="A894" s="71" t="s">
        <v>5414</v>
      </c>
      <c r="B894" s="69"/>
      <c r="C894" s="70"/>
      <c r="D894" s="69"/>
      <c r="E894" s="69"/>
      <c r="F894" s="65"/>
      <c r="G894" s="65" t="s">
        <v>5811</v>
      </c>
      <c r="H894" s="65" t="str">
        <f>IFERROR(INDEX('Docketed Comments'!C:C,MATCH(A894,'Docketed Comments'!H:H,0))&amp;", "&amp;INDEX('Docketed Comments'!B:B,MATCH(A894,'Docketed Comments'!H:H,0)),"")</f>
        <v>Diane, Devlin</v>
      </c>
      <c r="I894" s="65" t="str">
        <f>IFERROR(INDEX('Docketed Comments'!D:D,MATCH(A894,'Docketed Comments'!H:H,0)),"")</f>
        <v>Scottsdale</v>
      </c>
      <c r="J894" s="65" t="str">
        <f>IFERROR(INDEX('Docketed Comments'!I:I,MATCH(A894,'Docketed Comments'!H:H,0)),"")</f>
        <v>EPR6w/ET-2</v>
      </c>
      <c r="K894" s="65" t="str">
        <f t="shared" si="27"/>
        <v>⚠ Frozen Rate</v>
      </c>
      <c r="L894" s="65" t="str">
        <f>IFERROR(INDEX('Docketed Comments'!F:F,MATCH(A894,'Docketed Comments'!H:H,0)),"")</f>
        <v>difficult to enjoy my retirement from hard work for 50 years. My family consistently tries to conserve but it seems like large businesses are not pulling their weight.</v>
      </c>
      <c r="M894" s="137" t="str">
        <f>IFERROR(HYPERLINK(INDEX('Docketed Comments'!G:G,MATCH(A894,'Docketed Comments'!H:H,0)),"📄 View Docket"),"")</f>
        <v>📄 View Docket</v>
      </c>
      <c r="N894" s="135" t="str">
        <f>IFERROR(INDEX('Docketed Comments'!N:N,MATCH(A894,'Docketed Comments'!H:H,0)),"")</f>
        <v>No</v>
      </c>
      <c r="O894" s="135" t="str">
        <f>IFERROR(INDEX('Docketed Comments'!L:L,MATCH(A894,'Docketed Comments'!H:H,0)),"")</f>
        <v>Frozen Rate</v>
      </c>
      <c r="P894" s="136">
        <f t="shared" si="26"/>
        <v>0</v>
      </c>
      <c r="Q894" s="140"/>
      <c r="R894" s="144">
        <v>1</v>
      </c>
    </row>
    <row r="895" spans="1:18" ht="21.95" customHeight="1">
      <c r="A895" s="71" t="s">
        <v>5415</v>
      </c>
      <c r="B895" s="69"/>
      <c r="C895" s="70"/>
      <c r="D895" s="69"/>
      <c r="E895" s="69"/>
      <c r="F895" s="65"/>
      <c r="G895" s="65" t="s">
        <v>5811</v>
      </c>
      <c r="H895" s="65" t="str">
        <f>IFERROR(INDEX('Docketed Comments'!C:C,MATCH(A895,'Docketed Comments'!H:H,0))&amp;", "&amp;INDEX('Docketed Comments'!B:B,MATCH(A895,'Docketed Comments'!H:H,0)),"")</f>
        <v>Michael, Keliher</v>
      </c>
      <c r="I895" s="65" t="str">
        <f>IFERROR(INDEX('Docketed Comments'!D:D,MATCH(A895,'Docketed Comments'!H:H,0)),"")</f>
        <v>Mayer</v>
      </c>
      <c r="J895" s="65" t="str">
        <f>IFERROR(INDEX('Docketed Comments'!I:I,MATCH(A895,'Docketed Comments'!H:H,0)),"")</f>
        <v>R-XS</v>
      </c>
      <c r="K895" s="65" t="str">
        <f t="shared" si="27"/>
        <v>✅ On Best Plan</v>
      </c>
      <c r="L895" s="65" t="str">
        <f>IFERROR(INDEX('Docketed Comments'!F:F,MATCH(A895,'Docketed Comments'!H:H,0)),"")</f>
        <v>Prices at the grocery store and it has tripled the cost per month that we pay for food. This has really out into our budget.</v>
      </c>
      <c r="M895" s="137" t="str">
        <f>IFERROR(HYPERLINK(INDEX('Docketed Comments'!G:G,MATCH(A895,'Docketed Comments'!H:H,0)),"📄 View Docket"),"")</f>
        <v>📄 View Docket</v>
      </c>
      <c r="N895" s="135" t="str">
        <f>IFERROR(INDEX('Docketed Comments'!N:N,MATCH(A895,'Docketed Comments'!H:H,0)),"")</f>
        <v>No</v>
      </c>
      <c r="O895" s="135" t="str">
        <f>IFERROR(INDEX('Docketed Comments'!L:L,MATCH(A895,'Docketed Comments'!H:H,0)),"")</f>
        <v>Yes</v>
      </c>
      <c r="P895" s="136">
        <f t="shared" si="26"/>
        <v>0</v>
      </c>
      <c r="Q895" s="140"/>
      <c r="R895" s="144">
        <v>1</v>
      </c>
    </row>
    <row r="896" spans="1:18" ht="21.95" customHeight="1">
      <c r="A896" s="71" t="s">
        <v>5416</v>
      </c>
      <c r="B896" s="69"/>
      <c r="C896" s="70"/>
      <c r="D896" s="69"/>
      <c r="E896" s="69"/>
      <c r="F896" s="65"/>
      <c r="G896" s="65" t="s">
        <v>5811</v>
      </c>
      <c r="H896" s="65" t="str">
        <f>IFERROR(INDEX('Docketed Comments'!C:C,MATCH(A896,'Docketed Comments'!H:H,0))&amp;", "&amp;INDEX('Docketed Comments'!B:B,MATCH(A896,'Docketed Comments'!H:H,0)),"")</f>
        <v>Mark, Dapcedich</v>
      </c>
      <c r="I896" s="65" t="str">
        <f>IFERROR(INDEX('Docketed Comments'!D:D,MATCH(A896,'Docketed Comments'!H:H,0)),"")</f>
        <v>New River</v>
      </c>
      <c r="J896" s="65" t="str">
        <f>IFERROR(INDEX('Docketed Comments'!I:I,MATCH(A896,'Docketed Comments'!H:H,0)),"")</f>
        <v>R-2</v>
      </c>
      <c r="K896" s="65" t="str">
        <f t="shared" si="27"/>
        <v>⚠ Frozen Rate</v>
      </c>
      <c r="L896" s="65" t="str">
        <f>IFERROR(INDEX('Docketed Comments'!F:F,MATCH(A896,'Docketed Comments'!H:H,0)),"")</f>
        <v>A 16%+ increase is unreasonable and unjustified. APS has made little improvements to their infrastructure compared to the increased amount of customers and revenue.</v>
      </c>
      <c r="M896" s="137" t="str">
        <f>IFERROR(HYPERLINK(INDEX('Docketed Comments'!G:G,MATCH(A896,'Docketed Comments'!H:H,0)),"📄 View Docket"),"")</f>
        <v>📄 View Docket</v>
      </c>
      <c r="N896" s="135" t="str">
        <f>IFERROR(INDEX('Docketed Comments'!N:N,MATCH(A896,'Docketed Comments'!H:H,0)),"")</f>
        <v>No</v>
      </c>
      <c r="O896" s="135" t="str">
        <f>IFERROR(INDEX('Docketed Comments'!L:L,MATCH(A896,'Docketed Comments'!H:H,0)),"")</f>
        <v>Frozen Rate</v>
      </c>
      <c r="P896" s="136">
        <f t="shared" si="26"/>
        <v>0</v>
      </c>
      <c r="Q896" s="140"/>
      <c r="R896" s="144">
        <v>1</v>
      </c>
    </row>
    <row r="897" spans="1:18" ht="21.95" customHeight="1">
      <c r="A897" s="71" t="s">
        <v>5417</v>
      </c>
      <c r="B897" s="69"/>
      <c r="C897" s="70"/>
      <c r="D897" s="69"/>
      <c r="E897" s="69"/>
      <c r="F897" s="65"/>
      <c r="G897" s="65" t="s">
        <v>5811</v>
      </c>
      <c r="H897" s="65" t="str">
        <f>IFERROR(INDEX('Docketed Comments'!C:C,MATCH(A897,'Docketed Comments'!H:H,0))&amp;", "&amp;INDEX('Docketed Comments'!B:B,MATCH(A897,'Docketed Comments'!H:H,0)),"")</f>
        <v>Jovada, Triggs</v>
      </c>
      <c r="I897" s="65" t="str">
        <f>IFERROR(INDEX('Docketed Comments'!D:D,MATCH(A897,'Docketed Comments'!H:H,0)),"")</f>
        <v>Phoenix</v>
      </c>
      <c r="J897" s="65" t="str">
        <f>IFERROR(INDEX('Docketed Comments'!I:I,MATCH(A897,'Docketed Comments'!H:H,0)),"")</f>
        <v>R-2</v>
      </c>
      <c r="K897" s="65" t="str">
        <f t="shared" si="27"/>
        <v>⚠ Frozen Rate</v>
      </c>
      <c r="L897" s="65" t="str">
        <f>IFERROR(INDEX('Docketed Comments'!F:F,MATCH(A897,'Docketed Comments'!H:H,0)),"")</f>
        <v>Live with my daughter and am on a fixed income. Even with a discounted plan, I am still paying over $100 per month. I can't afford another increase. This is unfair</v>
      </c>
      <c r="M897" s="137" t="str">
        <f>IFERROR(HYPERLINK(INDEX('Docketed Comments'!G:G,MATCH(A897,'Docketed Comments'!H:H,0)),"📄 View Docket"),"")</f>
        <v>📄 View Docket</v>
      </c>
      <c r="N897" s="135" t="str">
        <f>IFERROR(INDEX('Docketed Comments'!N:N,MATCH(A897,'Docketed Comments'!H:H,0)),"")</f>
        <v>No</v>
      </c>
      <c r="O897" s="135" t="str">
        <f>IFERROR(INDEX('Docketed Comments'!L:L,MATCH(A897,'Docketed Comments'!H:H,0)),"")</f>
        <v>Frozen Rate</v>
      </c>
      <c r="P897" s="136">
        <f t="shared" si="26"/>
        <v>0</v>
      </c>
      <c r="Q897" s="140"/>
      <c r="R897" s="144">
        <v>1</v>
      </c>
    </row>
    <row r="898" spans="1:18" ht="21.95" customHeight="1">
      <c r="A898" s="71" t="s">
        <v>5418</v>
      </c>
      <c r="B898" s="69"/>
      <c r="C898" s="70"/>
      <c r="D898" s="69"/>
      <c r="E898" s="69"/>
      <c r="F898" s="65"/>
      <c r="G898" s="65" t="s">
        <v>5811</v>
      </c>
      <c r="H898" s="65" t="str">
        <f>IFERROR(INDEX('Docketed Comments'!C:C,MATCH(A898,'Docketed Comments'!H:H,0))&amp;", "&amp;INDEX('Docketed Comments'!B:B,MATCH(A898,'Docketed Comments'!H:H,0)),"")</f>
        <v>Kathleen, Gaydos</v>
      </c>
      <c r="I898" s="65" t="str">
        <f>IFERROR(INDEX('Docketed Comments'!D:D,MATCH(A898,'Docketed Comments'!H:H,0)),"")</f>
        <v>Scottsdale</v>
      </c>
      <c r="J898" s="65" t="str">
        <f>IFERROR(INDEX('Docketed Comments'!I:I,MATCH(A898,'Docketed Comments'!H:H,0)),"")</f>
        <v>R-XS</v>
      </c>
      <c r="K898" s="65" t="str">
        <f t="shared" si="27"/>
        <v>✅ On Best Plan</v>
      </c>
      <c r="L898" s="65" t="str">
        <f>IFERROR(INDEX('Docketed Comments'!F:F,MATCH(A898,'Docketed Comments'!H:H,0)),"")</f>
        <v>I worry about our schools. It should be the developers building that should be paying for the expansion and infrastructure to support our power grid.</v>
      </c>
      <c r="M898" s="137" t="str">
        <f>IFERROR(HYPERLINK(INDEX('Docketed Comments'!G:G,MATCH(A898,'Docketed Comments'!H:H,0)),"📄 View Docket"),"")</f>
        <v>📄 View Docket</v>
      </c>
      <c r="N898" s="135" t="str">
        <f>IFERROR(INDEX('Docketed Comments'!N:N,MATCH(A898,'Docketed Comments'!H:H,0)),"")</f>
        <v>No</v>
      </c>
      <c r="O898" s="135" t="str">
        <f>IFERROR(INDEX('Docketed Comments'!L:L,MATCH(A898,'Docketed Comments'!H:H,0)),"")</f>
        <v>Yes</v>
      </c>
      <c r="P898" s="136">
        <f t="shared" ref="P898:P961" si="28">IFERROR(IF(ISNUMBER(SEARCH("$",O898)),VALUE(SUBSTITUTE(SUBSTITUTE(MID(O898,FIND("$",O898)+1,FIND(")",O898)-FIND("$",O898)-1),",","")," ","")),VALUE(SUBSTITUTE(SUBSTITUTE(MID(O898,FIND("(",O898)+1,FIND(")",O898)-FIND("(",O898)-1),",","")," ",""))),0)</f>
        <v>0</v>
      </c>
      <c r="Q898" s="140"/>
      <c r="R898" s="144">
        <v>1</v>
      </c>
    </row>
    <row r="899" spans="1:18" ht="21.95" customHeight="1">
      <c r="A899" s="71" t="s">
        <v>5419</v>
      </c>
      <c r="B899" s="69"/>
      <c r="C899" s="70"/>
      <c r="D899" s="69"/>
      <c r="E899" s="69"/>
      <c r="F899" s="65"/>
      <c r="G899" s="65" t="s">
        <v>5811</v>
      </c>
      <c r="H899" s="65" t="str">
        <f>IFERROR(INDEX('Docketed Comments'!C:C,MATCH(A899,'Docketed Comments'!H:H,0))&amp;", "&amp;INDEX('Docketed Comments'!B:B,MATCH(A899,'Docketed Comments'!H:H,0)),"")</f>
        <v>Nora, Tuggle</v>
      </c>
      <c r="I899" s="65" t="str">
        <f>IFERROR(INDEX('Docketed Comments'!D:D,MATCH(A899,'Docketed Comments'!H:H,0)),"")</f>
        <v>Prescott</v>
      </c>
      <c r="J899" s="65" t="str">
        <f>IFERROR(INDEX('Docketed Comments'!I:I,MATCH(A899,'Docketed Comments'!H:H,0)),"")</f>
        <v>R-BASIC</v>
      </c>
      <c r="K899" s="65" t="str">
        <f t="shared" ref="K899:K962" si="29">IFERROR(IF(OR(LEFT(O899,2)="No",LEFT(O899,3)="Not"),"❌ Not on Best Plan",IF(OR(O899="Yes",O899="Y",O899="Yes "),"✅ On Best Plan","⚠ "&amp;O899)),"")</f>
        <v>✅ On Best Plan</v>
      </c>
      <c r="L899" s="65" t="str">
        <f>IFERROR(INDEX('Docketed Comments'!F:F,MATCH(A899,'Docketed Comments'!H:H,0)),"")</f>
        <v xml:space="preserve">I am 72 years old, a disabled veteran on a fixed income. I am left questiong what options are available to me. </v>
      </c>
      <c r="M899" s="137" t="str">
        <f>IFERROR(HYPERLINK(INDEX('Docketed Comments'!G:G,MATCH(A899,'Docketed Comments'!H:H,0)),"📄 View Docket"),"")</f>
        <v>📄 View Docket</v>
      </c>
      <c r="N899" s="135" t="str">
        <f>IFERROR(INDEX('Docketed Comments'!N:N,MATCH(A899,'Docketed Comments'!H:H,0)),"")</f>
        <v>No</v>
      </c>
      <c r="O899" s="135" t="str">
        <f>IFERROR(INDEX('Docketed Comments'!L:L,MATCH(A899,'Docketed Comments'!H:H,0)),"")</f>
        <v>Yes</v>
      </c>
      <c r="P899" s="136">
        <f t="shared" si="28"/>
        <v>0</v>
      </c>
      <c r="Q899" s="140"/>
      <c r="R899" s="144">
        <v>1</v>
      </c>
    </row>
    <row r="900" spans="1:18" ht="21.95" customHeight="1">
      <c r="A900" s="71" t="s">
        <v>5176</v>
      </c>
      <c r="B900" s="69"/>
      <c r="C900" s="70"/>
      <c r="D900" s="69"/>
      <c r="E900" s="69"/>
      <c r="F900" s="65"/>
      <c r="G900" s="65" t="s">
        <v>5811</v>
      </c>
      <c r="H900" s="65" t="str">
        <f>IFERROR(INDEX('Docketed Comments'!C:C,MATCH(A900,'Docketed Comments'!H:H,0))&amp;", "&amp;INDEX('Docketed Comments'!B:B,MATCH(A900,'Docketed Comments'!H:H,0)),"")</f>
        <v>Loren, Carson</v>
      </c>
      <c r="I900" s="65" t="str">
        <f>IFERROR(INDEX('Docketed Comments'!D:D,MATCH(A900,'Docketed Comments'!H:H,0)),"")</f>
        <v>Phoenix</v>
      </c>
      <c r="J900" s="65" t="str">
        <f>IFERROR(INDEX('Docketed Comments'!I:I,MATCH(A900,'Docketed Comments'!H:H,0)),"")</f>
        <v>RCPw/RTOUE47</v>
      </c>
      <c r="K900" s="65" t="str">
        <f t="shared" si="29"/>
        <v>✅ On Best Plan</v>
      </c>
      <c r="L900" s="65" t="str">
        <f>IFERROR(INDEX('Docketed Comments'!F:F,MATCH(A900,'Docketed Comments'!H:H,0)),"")</f>
        <v>Opposed, already paying grid access</v>
      </c>
      <c r="M900" s="137" t="str">
        <f>IFERROR(HYPERLINK(INDEX('Docketed Comments'!G:G,MATCH(A900,'Docketed Comments'!H:H,0)),"📄 View Docket"),"")</f>
        <v>📄 View Docket</v>
      </c>
      <c r="N900" s="135" t="str">
        <f>IFERROR(INDEX('Docketed Comments'!N:N,MATCH(A900,'Docketed Comments'!H:H,0)),"")</f>
        <v>No</v>
      </c>
      <c r="O900" s="135" t="str">
        <f>IFERROR(INDEX('Docketed Comments'!L:L,MATCH(A900,'Docketed Comments'!H:H,0)),"")</f>
        <v>Yes</v>
      </c>
      <c r="P900" s="136">
        <f t="shared" si="28"/>
        <v>0</v>
      </c>
      <c r="Q900" s="140"/>
      <c r="R900" s="144">
        <v>1</v>
      </c>
    </row>
    <row r="901" spans="1:18" ht="21.95" customHeight="1">
      <c r="A901" s="71" t="s">
        <v>5032</v>
      </c>
      <c r="B901" s="69"/>
      <c r="C901" s="70"/>
      <c r="D901" s="69"/>
      <c r="E901" s="69"/>
      <c r="F901" s="65"/>
      <c r="G901" s="65" t="s">
        <v>5813</v>
      </c>
      <c r="H901" s="65" t="str">
        <f>IFERROR(INDEX('Docketed Comments'!C:C,MATCH(A901,'Docketed Comments'!H:H,0))&amp;", "&amp;INDEX('Docketed Comments'!B:B,MATCH(A901,'Docketed Comments'!H:H,0)),"")</f>
        <v>Nicole, Talbott</v>
      </c>
      <c r="I901" s="65" t="str">
        <f>IFERROR(INDEX('Docketed Comments'!D:D,MATCH(A901,'Docketed Comments'!H:H,0)),"")</f>
        <v>Glendale</v>
      </c>
      <c r="J901" s="65" t="str">
        <f>IFERROR(INDEX('Docketed Comments'!I:I,MATCH(A901,'Docketed Comments'!H:H,0)),"")</f>
        <v>RTOUE47</v>
      </c>
      <c r="K901" s="65" t="str">
        <f t="shared" si="29"/>
        <v>❌ Not on Best Plan</v>
      </c>
      <c r="L901" s="65" t="str">
        <f>IFERROR(INDEX('Docketed Comments'!F:F,MATCH(A901,'Docketed Comments'!H:H,0)),"")</f>
        <v>Cut the fat</v>
      </c>
      <c r="M901" s="137" t="str">
        <f>IFERROR(HYPERLINK(INDEX('Docketed Comments'!G:G,MATCH(A901,'Docketed Comments'!H:H,0)),"📄 View Docket"),"")</f>
        <v>📄 View Docket</v>
      </c>
      <c r="N901" s="135" t="str">
        <f>IFERROR(INDEX('Docketed Comments'!N:N,MATCH(A901,'Docketed Comments'!H:H,0)),"")</f>
        <v>No</v>
      </c>
      <c r="O901" s="135" t="str">
        <f>IFERROR(INDEX('Docketed Comments'!L:L,MATCH(A901,'Docketed Comments'!H:H,0)),"")</f>
        <v>No MEP R3-47($235.10)</v>
      </c>
      <c r="P901" s="136">
        <f t="shared" si="28"/>
        <v>235.1</v>
      </c>
      <c r="Q901" s="140"/>
      <c r="R901" s="144">
        <v>1</v>
      </c>
    </row>
    <row r="902" spans="1:18" ht="21.95" customHeight="1">
      <c r="A902" s="71" t="s">
        <v>5420</v>
      </c>
      <c r="B902" s="69"/>
      <c r="C902" s="70"/>
      <c r="D902" s="69"/>
      <c r="E902" s="69"/>
      <c r="F902" s="65"/>
      <c r="G902" s="65" t="s">
        <v>5811</v>
      </c>
      <c r="H902" s="65" t="str">
        <f>IFERROR(INDEX('Docketed Comments'!C:C,MATCH(A902,'Docketed Comments'!H:H,0))&amp;", "&amp;INDEX('Docketed Comments'!B:B,MATCH(A902,'Docketed Comments'!H:H,0)),"")</f>
        <v>Barbara, Chettle</v>
      </c>
      <c r="I902" s="65" t="str">
        <f>IFERROR(INDEX('Docketed Comments'!D:D,MATCH(A902,'Docketed Comments'!H:H,0)),"")</f>
        <v>Cave Creek</v>
      </c>
      <c r="J902" s="65" t="str">
        <f>IFERROR(INDEX('Docketed Comments'!I:I,MATCH(A902,'Docketed Comments'!H:H,0)),"")</f>
        <v>R-2</v>
      </c>
      <c r="K902" s="65" t="str">
        <f t="shared" si="29"/>
        <v>⚠ Frozen Rate</v>
      </c>
      <c r="L902" s="65" t="str">
        <f>IFERROR(INDEX('Docketed Comments'!F:F,MATCH(A902,'Docketed Comments'!H:H,0)),"")</f>
        <v>We are opposed to the proposed rate increase of 14% in 2026</v>
      </c>
      <c r="M902" s="137" t="str">
        <f>IFERROR(HYPERLINK(INDEX('Docketed Comments'!G:G,MATCH(A902,'Docketed Comments'!H:H,0)),"📄 View Docket"),"")</f>
        <v>📄 View Docket</v>
      </c>
      <c r="N902" s="135" t="str">
        <f>IFERROR(INDEX('Docketed Comments'!N:N,MATCH(A902,'Docketed Comments'!H:H,0)),"")</f>
        <v>No</v>
      </c>
      <c r="O902" s="135" t="str">
        <f>IFERROR(INDEX('Docketed Comments'!L:L,MATCH(A902,'Docketed Comments'!H:H,0)),"")</f>
        <v>Frozen Rate</v>
      </c>
      <c r="P902" s="136">
        <f t="shared" si="28"/>
        <v>0</v>
      </c>
      <c r="Q902" s="140"/>
      <c r="R902" s="144">
        <v>1</v>
      </c>
    </row>
    <row r="903" spans="1:18" ht="21.95" customHeight="1">
      <c r="A903" s="71" t="s">
        <v>5421</v>
      </c>
      <c r="B903" s="69"/>
      <c r="C903" s="70"/>
      <c r="D903" s="69"/>
      <c r="E903" s="69"/>
      <c r="F903" s="65"/>
      <c r="G903" s="65" t="s">
        <v>5811</v>
      </c>
      <c r="H903" s="65" t="str">
        <f>IFERROR(INDEX('Docketed Comments'!C:C,MATCH(A903,'Docketed Comments'!H:H,0))&amp;", "&amp;INDEX('Docketed Comments'!B:B,MATCH(A903,'Docketed Comments'!H:H,0)),"")</f>
        <v>Larry, Hamrick</v>
      </c>
      <c r="I903" s="65" t="str">
        <f>IFERROR(INDEX('Docketed Comments'!D:D,MATCH(A903,'Docketed Comments'!H:H,0)),"")</f>
        <v>Phoenix</v>
      </c>
      <c r="J903" s="65" t="str">
        <f>IFERROR(INDEX('Docketed Comments'!I:I,MATCH(A903,'Docketed Comments'!H:H,0)),"")</f>
        <v>R-BASIC</v>
      </c>
      <c r="K903" s="65" t="str">
        <f t="shared" si="29"/>
        <v>✅ On Best Plan</v>
      </c>
      <c r="L903" s="65" t="str">
        <f>IFERROR(INDEX('Docketed Comments'!F:F,MATCH(A903,'Docketed Comments'!H:H,0)),"")</f>
        <v>Trying get help because every year my rent goes up</v>
      </c>
      <c r="M903" s="137" t="str">
        <f>IFERROR(HYPERLINK(INDEX('Docketed Comments'!G:G,MATCH(A903,'Docketed Comments'!H:H,0)),"📄 View Docket"),"")</f>
        <v>📄 View Docket</v>
      </c>
      <c r="N903" s="135" t="str">
        <f>IFERROR(INDEX('Docketed Comments'!N:N,MATCH(A903,'Docketed Comments'!H:H,0)),"")</f>
        <v>No</v>
      </c>
      <c r="O903" s="135" t="str">
        <f>IFERROR(INDEX('Docketed Comments'!L:L,MATCH(A903,'Docketed Comments'!H:H,0)),"")</f>
        <v>Yes</v>
      </c>
      <c r="P903" s="136">
        <f t="shared" si="28"/>
        <v>0</v>
      </c>
      <c r="Q903" s="140"/>
      <c r="R903" s="144">
        <v>1</v>
      </c>
    </row>
    <row r="904" spans="1:18" ht="21.95" customHeight="1">
      <c r="A904" s="71" t="s">
        <v>3252</v>
      </c>
      <c r="B904" s="69"/>
      <c r="C904" s="70"/>
      <c r="D904" s="69"/>
      <c r="E904" s="69"/>
      <c r="F904" s="65"/>
      <c r="G904" s="65" t="s">
        <v>5811</v>
      </c>
      <c r="H904" s="65" t="str">
        <f>IFERROR(INDEX('Docketed Comments'!C:C,MATCH(A904,'Docketed Comments'!H:H,0))&amp;", "&amp;INDEX('Docketed Comments'!B:B,MATCH(A904,'Docketed Comments'!H:H,0)),"")</f>
        <v>Carol, Stines</v>
      </c>
      <c r="I904" s="65" t="str">
        <f>IFERROR(INDEX('Docketed Comments'!D:D,MATCH(A904,'Docketed Comments'!H:H,0)),"")</f>
        <v>Unknown</v>
      </c>
      <c r="J904" s="65" t="str">
        <f>IFERROR(INDEX('Docketed Comments'!I:I,MATCH(A904,'Docketed Comments'!H:H,0)),"")</f>
        <v>R-BASIC</v>
      </c>
      <c r="K904" s="65" t="str">
        <f t="shared" si="29"/>
        <v>✅ On Best Plan</v>
      </c>
      <c r="L904" s="65" t="str">
        <f>IFERROR(INDEX('Docketed Comments'!F:F,MATCH(A904,'Docketed Comments'!H:H,0)),"")</f>
        <v>Stop net zero plans</v>
      </c>
      <c r="M904" s="137" t="str">
        <f>IFERROR(HYPERLINK(INDEX('Docketed Comments'!G:G,MATCH(A904,'Docketed Comments'!H:H,0)),"📄 View Docket"),"")</f>
        <v>📄 View Docket</v>
      </c>
      <c r="N904" s="135" t="str">
        <f>IFERROR(INDEX('Docketed Comments'!N:N,MATCH(A904,'Docketed Comments'!H:H,0)),"")</f>
        <v>No</v>
      </c>
      <c r="O904" s="135" t="str">
        <f>IFERROR(INDEX('Docketed Comments'!L:L,MATCH(A904,'Docketed Comments'!H:H,0)),"")</f>
        <v>Yes</v>
      </c>
      <c r="P904" s="136">
        <f t="shared" si="28"/>
        <v>0</v>
      </c>
      <c r="Q904" s="140"/>
      <c r="R904" s="144">
        <v>1</v>
      </c>
    </row>
    <row r="905" spans="1:18" ht="21.95" customHeight="1">
      <c r="A905" s="71" t="s">
        <v>5422</v>
      </c>
      <c r="B905" s="69"/>
      <c r="C905" s="70"/>
      <c r="D905" s="69"/>
      <c r="E905" s="69"/>
      <c r="F905" s="65"/>
      <c r="G905" s="65" t="s">
        <v>5811</v>
      </c>
      <c r="H905" s="65" t="str">
        <f>IFERROR(INDEX('Docketed Comments'!C:C,MATCH(A905,'Docketed Comments'!H:H,0))&amp;", "&amp;INDEX('Docketed Comments'!B:B,MATCH(A905,'Docketed Comments'!H:H,0)),"")</f>
        <v>Stephen, Cook</v>
      </c>
      <c r="I905" s="65" t="str">
        <f>IFERROR(INDEX('Docketed Comments'!D:D,MATCH(A905,'Docketed Comments'!H:H,0)),"")</f>
        <v>Prescott</v>
      </c>
      <c r="J905" s="65" t="str">
        <f>IFERROR(INDEX('Docketed Comments'!I:I,MATCH(A905,'Docketed Comments'!H:H,0)),"")</f>
        <v>R-XS</v>
      </c>
      <c r="K905" s="65" t="str">
        <f t="shared" si="29"/>
        <v>✅ On Best Plan</v>
      </c>
      <c r="L905" s="65" t="str">
        <f>IFERROR(INDEX('Docketed Comments'!F:F,MATCH(A905,'Docketed Comments'!H:H,0)),"")</f>
        <v>$5 billion scheme to build a pipeline to bring gas from Texas, they're moving Arizona away from a clean energy future</v>
      </c>
      <c r="M905" s="137" t="str">
        <f>IFERROR(HYPERLINK(INDEX('Docketed Comments'!G:G,MATCH(A905,'Docketed Comments'!H:H,0)),"📄 View Docket"),"")</f>
        <v>📄 View Docket</v>
      </c>
      <c r="N905" s="135" t="str">
        <f>IFERROR(INDEX('Docketed Comments'!N:N,MATCH(A905,'Docketed Comments'!H:H,0)),"")</f>
        <v>No</v>
      </c>
      <c r="O905" s="135" t="str">
        <f>IFERROR(INDEX('Docketed Comments'!L:L,MATCH(A905,'Docketed Comments'!H:H,0)),"")</f>
        <v>Yes</v>
      </c>
      <c r="P905" s="136">
        <f t="shared" si="28"/>
        <v>0</v>
      </c>
      <c r="Q905" s="140"/>
      <c r="R905" s="144">
        <v>1</v>
      </c>
    </row>
    <row r="906" spans="1:18" ht="21.95" customHeight="1">
      <c r="A906" s="71" t="s">
        <v>4017</v>
      </c>
      <c r="B906" s="69"/>
      <c r="C906" s="70"/>
      <c r="D906" s="69"/>
      <c r="E906" s="69"/>
      <c r="F906" s="65"/>
      <c r="G906" s="65" t="s">
        <v>5811</v>
      </c>
      <c r="H906" s="65" t="str">
        <f>IFERROR(INDEX('Docketed Comments'!C:C,MATCH(A906,'Docketed Comments'!H:H,0))&amp;", "&amp;INDEX('Docketed Comments'!B:B,MATCH(A906,'Docketed Comments'!H:H,0)),"")</f>
        <v>Mark, Gerheauser</v>
      </c>
      <c r="I906" s="65" t="str">
        <f>IFERROR(INDEX('Docketed Comments'!D:D,MATCH(A906,'Docketed Comments'!H:H,0)),"")</f>
        <v>Wickenburg</v>
      </c>
      <c r="J906" s="65" t="str">
        <f>IFERROR(INDEX('Docketed Comments'!I:I,MATCH(A906,'Docketed Comments'!H:H,0)),"")</f>
        <v>R-XS</v>
      </c>
      <c r="K906" s="65" t="str">
        <f t="shared" si="29"/>
        <v>✅ On Best Plan</v>
      </c>
      <c r="L906" s="65" t="str">
        <f>IFERROR(INDEX('Docketed Comments'!F:F,MATCH(A906,'Docketed Comments'!H:H,0)),"")</f>
        <v>Why aren't savings from the alternate sources applied to customers, or invested in more alternate sources?</v>
      </c>
      <c r="M906" s="137" t="str">
        <f>IFERROR(HYPERLINK(INDEX('Docketed Comments'!G:G,MATCH(A906,'Docketed Comments'!H:H,0)),"📄 View Docket"),"")</f>
        <v>📄 View Docket</v>
      </c>
      <c r="N906" s="135" t="str">
        <f>IFERROR(INDEX('Docketed Comments'!N:N,MATCH(A906,'Docketed Comments'!H:H,0)),"")</f>
        <v>No</v>
      </c>
      <c r="O906" s="135" t="str">
        <f>IFERROR(INDEX('Docketed Comments'!L:L,MATCH(A906,'Docketed Comments'!H:H,0)),"")</f>
        <v>Yes</v>
      </c>
      <c r="P906" s="136">
        <f t="shared" si="28"/>
        <v>0</v>
      </c>
      <c r="Q906" s="140"/>
      <c r="R906" s="144">
        <v>1</v>
      </c>
    </row>
    <row r="907" spans="1:18" ht="21.95" customHeight="1">
      <c r="A907" s="71" t="s">
        <v>4027</v>
      </c>
      <c r="B907" s="69"/>
      <c r="C907" s="70"/>
      <c r="D907" s="69"/>
      <c r="E907" s="69"/>
      <c r="F907" s="65"/>
      <c r="G907" s="65" t="s">
        <v>5811</v>
      </c>
      <c r="H907" s="65" t="str">
        <f>IFERROR(INDEX('Docketed Comments'!C:C,MATCH(A907,'Docketed Comments'!H:H,0))&amp;", "&amp;INDEX('Docketed Comments'!B:B,MATCH(A907,'Docketed Comments'!H:H,0)),"")</f>
        <v>Jeana, Johnson</v>
      </c>
      <c r="I907" s="65" t="str">
        <f>IFERROR(INDEX('Docketed Comments'!D:D,MATCH(A907,'Docketed Comments'!H:H,0)),"")</f>
        <v>Wickenburg</v>
      </c>
      <c r="J907" s="65" t="str">
        <f>IFERROR(INDEX('Docketed Comments'!I:I,MATCH(A907,'Docketed Comments'!H:H,0)),"")</f>
        <v>R3-47</v>
      </c>
      <c r="K907" s="65" t="str">
        <f t="shared" si="29"/>
        <v>✅ On Best Plan</v>
      </c>
      <c r="L907" s="65" t="str">
        <f>IFERROR(INDEX('Docketed Comments'!F:F,MATCH(A907,'Docketed Comments'!H:H,0)),"")</f>
        <v xml:space="preserve">Over the past 12 months our electricy expenses have totaled under $5,000 for a family of five, despite having no major electricity draws or unusually high usage. </v>
      </c>
      <c r="M907" s="137" t="str">
        <f>IFERROR(HYPERLINK(INDEX('Docketed Comments'!G:G,MATCH(A907,'Docketed Comments'!H:H,0)),"📄 View Docket"),"")</f>
        <v>📄 View Docket</v>
      </c>
      <c r="N907" s="135" t="str">
        <f>IFERROR(INDEX('Docketed Comments'!N:N,MATCH(A907,'Docketed Comments'!H:H,0)),"")</f>
        <v>No</v>
      </c>
      <c r="O907" s="135" t="str">
        <f>IFERROR(INDEX('Docketed Comments'!L:L,MATCH(A907,'Docketed Comments'!H:H,0)),"")</f>
        <v>Yes</v>
      </c>
      <c r="P907" s="136">
        <f t="shared" si="28"/>
        <v>0</v>
      </c>
      <c r="Q907" s="140"/>
      <c r="R907" s="144">
        <v>1</v>
      </c>
    </row>
    <row r="908" spans="1:18" ht="21.95" customHeight="1">
      <c r="A908" s="71" t="s">
        <v>4040</v>
      </c>
      <c r="B908" s="69"/>
      <c r="C908" s="70"/>
      <c r="D908" s="69"/>
      <c r="E908" s="69"/>
      <c r="F908" s="65"/>
      <c r="G908" s="65" t="s">
        <v>5811</v>
      </c>
      <c r="H908" s="65" t="str">
        <f>IFERROR(INDEX('Docketed Comments'!C:C,MATCH(A908,'Docketed Comments'!H:H,0))&amp;", "&amp;INDEX('Docketed Comments'!B:B,MATCH(A908,'Docketed Comments'!H:H,0)),"")</f>
        <v>Louis, Gardella</v>
      </c>
      <c r="I908" s="65" t="str">
        <f>IFERROR(INDEX('Docketed Comments'!D:D,MATCH(A908,'Docketed Comments'!H:H,0)),"")</f>
        <v>Sun City</v>
      </c>
      <c r="J908" s="65" t="str">
        <f>IFERROR(INDEX('Docketed Comments'!I:I,MATCH(A908,'Docketed Comments'!H:H,0)),"")</f>
        <v>R3-47</v>
      </c>
      <c r="K908" s="65" t="str">
        <f t="shared" si="29"/>
        <v>✅ On Best Plan</v>
      </c>
      <c r="L908" s="65" t="str">
        <f>IFERROR(INDEX('Docketed Comments'!F:F,MATCH(A908,'Docketed Comments'!H:H,0)),"")</f>
        <v>An average of $20 being added to simmer until bill will make it almost unmanageable for residents on a fixed income.</v>
      </c>
      <c r="M908" s="137" t="str">
        <f>IFERROR(HYPERLINK(INDEX('Docketed Comments'!G:G,MATCH(A908,'Docketed Comments'!H:H,0)),"📄 View Docket"),"")</f>
        <v>📄 View Docket</v>
      </c>
      <c r="N908" s="135" t="str">
        <f>IFERROR(INDEX('Docketed Comments'!N:N,MATCH(A908,'Docketed Comments'!H:H,0)),"")</f>
        <v>No</v>
      </c>
      <c r="O908" s="135" t="str">
        <f>IFERROR(INDEX('Docketed Comments'!L:L,MATCH(A908,'Docketed Comments'!H:H,0)),"")</f>
        <v>Yes</v>
      </c>
      <c r="P908" s="136">
        <f t="shared" si="28"/>
        <v>0</v>
      </c>
      <c r="Q908" s="140"/>
      <c r="R908" s="144">
        <v>1</v>
      </c>
    </row>
    <row r="909" spans="1:18" ht="21.95" customHeight="1">
      <c r="A909" s="71" t="s">
        <v>4044</v>
      </c>
      <c r="B909" s="69"/>
      <c r="C909" s="70"/>
      <c r="D909" s="69"/>
      <c r="E909" s="69"/>
      <c r="F909" s="65"/>
      <c r="G909" s="65" t="s">
        <v>5811</v>
      </c>
      <c r="H909" s="65" t="str">
        <f>IFERROR(INDEX('Docketed Comments'!C:C,MATCH(A909,'Docketed Comments'!H:H,0))&amp;", "&amp;INDEX('Docketed Comments'!B:B,MATCH(A909,'Docketed Comments'!H:H,0)),"")</f>
        <v>Jeannette, Zamora</v>
      </c>
      <c r="I909" s="65" t="str">
        <f>IFERROR(INDEX('Docketed Comments'!D:D,MATCH(A909,'Docketed Comments'!H:H,0)),"")</f>
        <v>Prescott Valley</v>
      </c>
      <c r="J909" s="65" t="str">
        <f>IFERROR(INDEX('Docketed Comments'!I:I,MATCH(A909,'Docketed Comments'!H:H,0)),"")</f>
        <v>RCPw/TOUE47</v>
      </c>
      <c r="K909" s="65" t="str">
        <f t="shared" si="29"/>
        <v>✅ On Best Plan</v>
      </c>
      <c r="L909" s="65" t="str">
        <f>IFERROR(INDEX('Docketed Comments'!F:F,MATCH(A909,'Docketed Comments'!H:H,0)),"")</f>
        <v>I am a retired individual who really can't afford the rate hikes that you continue to add. Tell the good people of Arizona why the hikes are so high</v>
      </c>
      <c r="M909" s="137" t="str">
        <f>IFERROR(HYPERLINK(INDEX('Docketed Comments'!G:G,MATCH(A909,'Docketed Comments'!H:H,0)),"📄 View Docket"),"")</f>
        <v>📄 View Docket</v>
      </c>
      <c r="N909" s="135" t="str">
        <f>IFERROR(INDEX('Docketed Comments'!N:N,MATCH(A909,'Docketed Comments'!H:H,0)),"")</f>
        <v>No</v>
      </c>
      <c r="O909" s="135" t="str">
        <f>IFERROR(INDEX('Docketed Comments'!L:L,MATCH(A909,'Docketed Comments'!H:H,0)),"")</f>
        <v>Yes</v>
      </c>
      <c r="P909" s="136">
        <f t="shared" si="28"/>
        <v>0</v>
      </c>
      <c r="Q909" s="140"/>
      <c r="R909" s="144">
        <v>1</v>
      </c>
    </row>
    <row r="910" spans="1:18" ht="21.95" customHeight="1">
      <c r="A910" s="71" t="s">
        <v>4047</v>
      </c>
      <c r="B910" s="69"/>
      <c r="C910" s="70"/>
      <c r="D910" s="69"/>
      <c r="E910" s="69"/>
      <c r="F910" s="65"/>
      <c r="G910" s="65" t="s">
        <v>5811</v>
      </c>
      <c r="H910" s="65" t="str">
        <f>IFERROR(INDEX('Docketed Comments'!C:C,MATCH(A910,'Docketed Comments'!H:H,0))&amp;", "&amp;INDEX('Docketed Comments'!B:B,MATCH(A910,'Docketed Comments'!H:H,0)),"")</f>
        <v>Adena, Franklin</v>
      </c>
      <c r="I910" s="65" t="str">
        <f>IFERROR(INDEX('Docketed Comments'!D:D,MATCH(A910,'Docketed Comments'!H:H,0)),"")</f>
        <v>Peoria</v>
      </c>
      <c r="J910" s="65" t="str">
        <f>IFERROR(INDEX('Docketed Comments'!I:I,MATCH(A910,'Docketed Comments'!H:H,0)),"")</f>
        <v>R3-47</v>
      </c>
      <c r="K910" s="65" t="str">
        <f t="shared" si="29"/>
        <v>✅ On Best Plan</v>
      </c>
      <c r="L910" s="65" t="str">
        <f>IFERROR(INDEX('Docketed Comments'!F:F,MATCH(A910,'Docketed Comments'!H:H,0)),"")</f>
        <v>I live on a fixed income. Take care of an 82-year-old man you continuously increase these rates. I am unable to sustain payments so consider this my hardship letter if rates go up.</v>
      </c>
      <c r="M910" s="137" t="str">
        <f>IFERROR(HYPERLINK(INDEX('Docketed Comments'!G:G,MATCH(A910,'Docketed Comments'!H:H,0)),"📄 View Docket"),"")</f>
        <v>📄 View Docket</v>
      </c>
      <c r="N910" s="135" t="str">
        <f>IFERROR(INDEX('Docketed Comments'!N:N,MATCH(A910,'Docketed Comments'!H:H,0)),"")</f>
        <v>No</v>
      </c>
      <c r="O910" s="135" t="str">
        <f>IFERROR(INDEX('Docketed Comments'!L:L,MATCH(A910,'Docketed Comments'!H:H,0)),"")</f>
        <v>Yes</v>
      </c>
      <c r="P910" s="136">
        <f t="shared" si="28"/>
        <v>0</v>
      </c>
      <c r="Q910" s="140"/>
      <c r="R910" s="144">
        <v>1</v>
      </c>
    </row>
    <row r="911" spans="1:18" ht="21.95" customHeight="1">
      <c r="A911" s="71" t="s">
        <v>4055</v>
      </c>
      <c r="B911" s="69"/>
      <c r="C911" s="70"/>
      <c r="D911" s="69"/>
      <c r="E911" s="69"/>
      <c r="F911" s="65"/>
      <c r="G911" s="65" t="s">
        <v>5811</v>
      </c>
      <c r="H911" s="65" t="str">
        <f>IFERROR(INDEX('Docketed Comments'!C:C,MATCH(A911,'Docketed Comments'!H:H,0))&amp;", "&amp;INDEX('Docketed Comments'!B:B,MATCH(A911,'Docketed Comments'!H:H,0)),"")</f>
        <v>Louis, Raggio</v>
      </c>
      <c r="I911" s="65" t="str">
        <f>IFERROR(INDEX('Docketed Comments'!D:D,MATCH(A911,'Docketed Comments'!H:H,0)),"")</f>
        <v>Scottsdale</v>
      </c>
      <c r="J911" s="65" t="str">
        <f>IFERROR(INDEX('Docketed Comments'!I:I,MATCH(A911,'Docketed Comments'!H:H,0)),"")</f>
        <v>R3-47</v>
      </c>
      <c r="K911" s="65" t="str">
        <f t="shared" si="29"/>
        <v>✅ On Best Plan</v>
      </c>
      <c r="L911" s="65" t="str">
        <f>IFERROR(INDEX('Docketed Comments'!F:F,MATCH(A911,'Docketed Comments'!H:H,0)),"")</f>
        <v xml:space="preserve">Family of 6... I've already seen enough increases over the years that l'm constantly having to decide how to move my budget around to adjust for rising power costs. </v>
      </c>
      <c r="M911" s="137" t="str">
        <f>IFERROR(HYPERLINK(INDEX('Docketed Comments'!G:G,MATCH(A911,'Docketed Comments'!H:H,0)),"📄 View Docket"),"")</f>
        <v>📄 View Docket</v>
      </c>
      <c r="N911" s="135" t="str">
        <f>IFERROR(INDEX('Docketed Comments'!N:N,MATCH(A911,'Docketed Comments'!H:H,0)),"")</f>
        <v>No</v>
      </c>
      <c r="O911" s="135" t="str">
        <f>IFERROR(INDEX('Docketed Comments'!L:L,MATCH(A911,'Docketed Comments'!H:H,0)),"")</f>
        <v>Yes</v>
      </c>
      <c r="P911" s="136">
        <f t="shared" si="28"/>
        <v>0</v>
      </c>
      <c r="Q911" s="140"/>
      <c r="R911" s="144">
        <v>1</v>
      </c>
    </row>
    <row r="912" spans="1:18" ht="21.95" customHeight="1">
      <c r="A912" s="71" t="s">
        <v>4065</v>
      </c>
      <c r="B912" s="69"/>
      <c r="C912" s="70"/>
      <c r="D912" s="69"/>
      <c r="E912" s="69"/>
      <c r="F912" s="65"/>
      <c r="G912" s="65" t="s">
        <v>5811</v>
      </c>
      <c r="H912" s="65" t="str">
        <f>IFERROR(INDEX('Docketed Comments'!C:C,MATCH(A912,'Docketed Comments'!H:H,0))&amp;", "&amp;INDEX('Docketed Comments'!B:B,MATCH(A912,'Docketed Comments'!H:H,0)),"")</f>
        <v>Lori, Vitagliano</v>
      </c>
      <c r="I912" s="65" t="str">
        <f>IFERROR(INDEX('Docketed Comments'!D:D,MATCH(A912,'Docketed Comments'!H:H,0)),"")</f>
        <v>Scottsdale</v>
      </c>
      <c r="J912" s="65" t="str">
        <f>IFERROR(INDEX('Docketed Comments'!I:I,MATCH(A912,'Docketed Comments'!H:H,0)),"")</f>
        <v>R3-47</v>
      </c>
      <c r="K912" s="65" t="str">
        <f t="shared" si="29"/>
        <v>✅ On Best Plan</v>
      </c>
      <c r="L912" s="65" t="str">
        <f>IFERROR(INDEX('Docketed Comments'!F:F,MATCH(A912,'Docketed Comments'!H:H,0)),"")</f>
        <v>As a teacher I can barely afford the costs of electricity as is let alone with a 14% increase.</v>
      </c>
      <c r="M912" s="137" t="str">
        <f>IFERROR(HYPERLINK(INDEX('Docketed Comments'!G:G,MATCH(A912,'Docketed Comments'!H:H,0)),"📄 View Docket"),"")</f>
        <v>📄 View Docket</v>
      </c>
      <c r="N912" s="135" t="str">
        <f>IFERROR(INDEX('Docketed Comments'!N:N,MATCH(A912,'Docketed Comments'!H:H,0)),"")</f>
        <v>No</v>
      </c>
      <c r="O912" s="135" t="str">
        <f>IFERROR(INDEX('Docketed Comments'!L:L,MATCH(A912,'Docketed Comments'!H:H,0)),"")</f>
        <v>Yes</v>
      </c>
      <c r="P912" s="136">
        <f t="shared" si="28"/>
        <v>0</v>
      </c>
      <c r="Q912" s="140"/>
      <c r="R912" s="144">
        <v>1</v>
      </c>
    </row>
    <row r="913" spans="1:18" ht="21.95" customHeight="1">
      <c r="A913" s="71" t="s">
        <v>4075</v>
      </c>
      <c r="B913" s="69"/>
      <c r="C913" s="70"/>
      <c r="D913" s="69"/>
      <c r="E913" s="69"/>
      <c r="F913" s="65"/>
      <c r="G913" s="65" t="s">
        <v>5811</v>
      </c>
      <c r="H913" s="65" t="str">
        <f>IFERROR(INDEX('Docketed Comments'!C:C,MATCH(A913,'Docketed Comments'!H:H,0))&amp;", "&amp;INDEX('Docketed Comments'!B:B,MATCH(A913,'Docketed Comments'!H:H,0)),"")</f>
        <v>Phil, Parkhurst</v>
      </c>
      <c r="I913" s="65" t="str">
        <f>IFERROR(INDEX('Docketed Comments'!D:D,MATCH(A913,'Docketed Comments'!H:H,0)),"")</f>
        <v>Phoenix</v>
      </c>
      <c r="J913" s="65" t="str">
        <f>IFERROR(INDEX('Docketed Comments'!I:I,MATCH(A913,'Docketed Comments'!H:H,0)),"")</f>
        <v>R3-47</v>
      </c>
      <c r="K913" s="65" t="str">
        <f t="shared" si="29"/>
        <v>✅ On Best Plan</v>
      </c>
      <c r="L913" s="65" t="str">
        <f>IFERROR(INDEX('Docketed Comments'!F:F,MATCH(A913,'Docketed Comments'!H:H,0)),"")</f>
        <v>APS's Continued quest for rate increases must be stopped.either they are guilty of outlandish greed or are incredibly inefficient</v>
      </c>
      <c r="M913" s="137" t="str">
        <f>IFERROR(HYPERLINK(INDEX('Docketed Comments'!G:G,MATCH(A913,'Docketed Comments'!H:H,0)),"📄 View Docket"),"")</f>
        <v>📄 View Docket</v>
      </c>
      <c r="N913" s="135" t="str">
        <f>IFERROR(INDEX('Docketed Comments'!N:N,MATCH(A913,'Docketed Comments'!H:H,0)),"")</f>
        <v>No</v>
      </c>
      <c r="O913" s="135" t="str">
        <f>IFERROR(INDEX('Docketed Comments'!L:L,MATCH(A913,'Docketed Comments'!H:H,0)),"")</f>
        <v>Yes</v>
      </c>
      <c r="P913" s="136">
        <f t="shared" si="28"/>
        <v>0</v>
      </c>
      <c r="Q913" s="140"/>
      <c r="R913" s="144">
        <v>1</v>
      </c>
    </row>
    <row r="914" spans="1:18" ht="21.95" customHeight="1">
      <c r="A914" s="71" t="s">
        <v>4078</v>
      </c>
      <c r="B914" s="69"/>
      <c r="C914" s="70"/>
      <c r="D914" s="69"/>
      <c r="E914" s="69"/>
      <c r="F914" s="65"/>
      <c r="G914" s="65" t="s">
        <v>5811</v>
      </c>
      <c r="H914" s="65" t="str">
        <f>IFERROR(INDEX('Docketed Comments'!C:C,MATCH(A914,'Docketed Comments'!H:H,0))&amp;", "&amp;INDEX('Docketed Comments'!B:B,MATCH(A914,'Docketed Comments'!H:H,0)),"")</f>
        <v>Andrew, Holmes</v>
      </c>
      <c r="I914" s="65" t="str">
        <f>IFERROR(INDEX('Docketed Comments'!D:D,MATCH(A914,'Docketed Comments'!H:H,0)),"")</f>
        <v>Prescott Valley</v>
      </c>
      <c r="J914" s="65" t="str">
        <f>IFERROR(INDEX('Docketed Comments'!I:I,MATCH(A914,'Docketed Comments'!H:H,0)),"")</f>
        <v>R-BASIC</v>
      </c>
      <c r="K914" s="65" t="str">
        <f t="shared" si="29"/>
        <v>✅ On Best Plan</v>
      </c>
      <c r="L914" s="65" t="str">
        <f>IFERROR(INDEX('Docketed Comments'!F:F,MATCH(A914,'Docketed Comments'!H:H,0)),"")</f>
        <v>They are selling there power to California at a profit. They should be cost conscious of the people of AZ!</v>
      </c>
      <c r="M914" s="137" t="str">
        <f>IFERROR(HYPERLINK(INDEX('Docketed Comments'!G:G,MATCH(A914,'Docketed Comments'!H:H,0)),"📄 View Docket"),"")</f>
        <v>📄 View Docket</v>
      </c>
      <c r="N914" s="135" t="str">
        <f>IFERROR(INDEX('Docketed Comments'!N:N,MATCH(A914,'Docketed Comments'!H:H,0)),"")</f>
        <v>No</v>
      </c>
      <c r="O914" s="135" t="str">
        <f>IFERROR(INDEX('Docketed Comments'!L:L,MATCH(A914,'Docketed Comments'!H:H,0)),"")</f>
        <v>Yes</v>
      </c>
      <c r="P914" s="136">
        <f t="shared" si="28"/>
        <v>0</v>
      </c>
      <c r="Q914" s="140"/>
      <c r="R914" s="144">
        <v>1</v>
      </c>
    </row>
    <row r="915" spans="1:18" ht="21.95" customHeight="1">
      <c r="A915" s="71" t="s">
        <v>4091</v>
      </c>
      <c r="B915" s="69"/>
      <c r="C915" s="70"/>
      <c r="D915" s="69"/>
      <c r="E915" s="69"/>
      <c r="F915" s="65"/>
      <c r="G915" s="65" t="s">
        <v>5811</v>
      </c>
      <c r="H915" s="65" t="str">
        <f>IFERROR(INDEX('Docketed Comments'!C:C,MATCH(A915,'Docketed Comments'!H:H,0))&amp;", "&amp;INDEX('Docketed Comments'!B:B,MATCH(A915,'Docketed Comments'!H:H,0)),"")</f>
        <v>Erica, Palomino</v>
      </c>
      <c r="I915" s="65" t="str">
        <f>IFERROR(INDEX('Docketed Comments'!D:D,MATCH(A915,'Docketed Comments'!H:H,0)),"")</f>
        <v>Phoenix</v>
      </c>
      <c r="J915" s="65" t="str">
        <f>IFERROR(INDEX('Docketed Comments'!I:I,MATCH(A915,'Docketed Comments'!H:H,0)),"")</f>
        <v>RCPw/RTOUE47</v>
      </c>
      <c r="K915" s="65" t="str">
        <f t="shared" si="29"/>
        <v>✅ On Best Plan</v>
      </c>
      <c r="L915" s="65" t="str">
        <f>IFERROR(INDEX('Docketed Comments'!F:F,MATCH(A915,'Docketed Comments'!H:H,0)),"")</f>
        <v>The service is expensive.</v>
      </c>
      <c r="M915" s="137" t="str">
        <f>IFERROR(HYPERLINK(INDEX('Docketed Comments'!G:G,MATCH(A915,'Docketed Comments'!H:H,0)),"📄 View Docket"),"")</f>
        <v>📄 View Docket</v>
      </c>
      <c r="N915" s="135" t="str">
        <f>IFERROR(INDEX('Docketed Comments'!N:N,MATCH(A915,'Docketed Comments'!H:H,0)),"")</f>
        <v>No</v>
      </c>
      <c r="O915" s="135" t="str">
        <f>IFERROR(INDEX('Docketed Comments'!L:L,MATCH(A915,'Docketed Comments'!H:H,0)),"")</f>
        <v>Yes</v>
      </c>
      <c r="P915" s="136">
        <f t="shared" si="28"/>
        <v>0</v>
      </c>
      <c r="Q915" s="140"/>
      <c r="R915" s="144">
        <v>1</v>
      </c>
    </row>
    <row r="916" spans="1:18" ht="21.95" customHeight="1">
      <c r="A916" s="71" t="s">
        <v>4094</v>
      </c>
      <c r="B916" s="69"/>
      <c r="C916" s="70"/>
      <c r="D916" s="69"/>
      <c r="E916" s="69"/>
      <c r="F916" s="65"/>
      <c r="G916" s="65" t="s">
        <v>5811</v>
      </c>
      <c r="H916" s="65" t="str">
        <f>IFERROR(INDEX('Docketed Comments'!C:C,MATCH(A916,'Docketed Comments'!H:H,0))&amp;", "&amp;INDEX('Docketed Comments'!B:B,MATCH(A916,'Docketed Comments'!H:H,0)),"")</f>
        <v>Laurie, Alexander</v>
      </c>
      <c r="I916" s="65" t="str">
        <f>IFERROR(INDEX('Docketed Comments'!D:D,MATCH(A916,'Docketed Comments'!H:H,0)),"")</f>
        <v>Surprise</v>
      </c>
      <c r="J916" s="65" t="str">
        <f>IFERROR(INDEX('Docketed Comments'!I:I,MATCH(A916,'Docketed Comments'!H:H,0)),"")</f>
        <v>R-XS</v>
      </c>
      <c r="K916" s="65" t="str">
        <f t="shared" si="29"/>
        <v>✅ On Best Plan</v>
      </c>
      <c r="L916" s="65" t="str">
        <f>IFERROR(INDEX('Docketed Comments'!F:F,MATCH(A916,'Docketed Comments'!H:H,0)),"")</f>
        <v xml:space="preserve">I worked for a water company at for 27 years in California... people are flocking to AZ which creates huge amounts of revenue. </v>
      </c>
      <c r="M916" s="137" t="str">
        <f>IFERROR(HYPERLINK(INDEX('Docketed Comments'!G:G,MATCH(A916,'Docketed Comments'!H:H,0)),"📄 View Docket"),"")</f>
        <v>📄 View Docket</v>
      </c>
      <c r="N916" s="135" t="str">
        <f>IFERROR(INDEX('Docketed Comments'!N:N,MATCH(A916,'Docketed Comments'!H:H,0)),"")</f>
        <v>No</v>
      </c>
      <c r="O916" s="135" t="str">
        <f>IFERROR(INDEX('Docketed Comments'!L:L,MATCH(A916,'Docketed Comments'!H:H,0)),"")</f>
        <v>Yes</v>
      </c>
      <c r="P916" s="136">
        <f t="shared" si="28"/>
        <v>0</v>
      </c>
      <c r="Q916" s="140"/>
      <c r="R916" s="144">
        <v>1</v>
      </c>
    </row>
    <row r="917" spans="1:18" ht="21.95" customHeight="1">
      <c r="A917" s="71" t="s">
        <v>4100</v>
      </c>
      <c r="B917" s="69"/>
      <c r="C917" s="70"/>
      <c r="D917" s="69"/>
      <c r="E917" s="69"/>
      <c r="F917" s="65"/>
      <c r="G917" s="65" t="s">
        <v>5811</v>
      </c>
      <c r="H917" s="65" t="str">
        <f>IFERROR(INDEX('Docketed Comments'!C:C,MATCH(A917,'Docketed Comments'!H:H,0))&amp;", "&amp;INDEX('Docketed Comments'!B:B,MATCH(A917,'Docketed Comments'!H:H,0)),"")</f>
        <v>Ann, Miller</v>
      </c>
      <c r="I917" s="65" t="str">
        <f>IFERROR(INDEX('Docketed Comments'!D:D,MATCH(A917,'Docketed Comments'!H:H,0)),"")</f>
        <v>Peoria</v>
      </c>
      <c r="J917" s="65" t="str">
        <f>IFERROR(INDEX('Docketed Comments'!I:I,MATCH(A917,'Docketed Comments'!H:H,0)),"")</f>
        <v>R-BASIC</v>
      </c>
      <c r="K917" s="65" t="str">
        <f t="shared" si="29"/>
        <v>✅ On Best Plan</v>
      </c>
      <c r="L917" s="65" t="str">
        <f>IFERROR(INDEX('Docketed Comments'!F:F,MATCH(A917,'Docketed Comments'!H:H,0)),"")</f>
        <v xml:space="preserve">As a senior citizen on a very fixed income; aware of help services but qualify for none. I haven't been able to afford red meat for 3 years. </v>
      </c>
      <c r="M917" s="137" t="str">
        <f>IFERROR(HYPERLINK(INDEX('Docketed Comments'!G:G,MATCH(A917,'Docketed Comments'!H:H,0)),"📄 View Docket"),"")</f>
        <v>📄 View Docket</v>
      </c>
      <c r="N917" s="135" t="str">
        <f>IFERROR(INDEX('Docketed Comments'!N:N,MATCH(A917,'Docketed Comments'!H:H,0)),"")</f>
        <v>No</v>
      </c>
      <c r="O917" s="135" t="str">
        <f>IFERROR(INDEX('Docketed Comments'!L:L,MATCH(A917,'Docketed Comments'!H:H,0)),"")</f>
        <v>Yes</v>
      </c>
      <c r="P917" s="136">
        <f t="shared" si="28"/>
        <v>0</v>
      </c>
      <c r="Q917" s="140"/>
      <c r="R917" s="144">
        <v>1</v>
      </c>
    </row>
    <row r="918" spans="1:18" ht="21.95" customHeight="1">
      <c r="A918" s="71" t="s">
        <v>4104</v>
      </c>
      <c r="B918" s="69"/>
      <c r="C918" s="70"/>
      <c r="D918" s="69"/>
      <c r="E918" s="69"/>
      <c r="F918" s="65"/>
      <c r="G918" s="65" t="s">
        <v>5811</v>
      </c>
      <c r="H918" s="65" t="str">
        <f>IFERROR(INDEX('Docketed Comments'!C:C,MATCH(A918,'Docketed Comments'!H:H,0))&amp;", "&amp;INDEX('Docketed Comments'!B:B,MATCH(A918,'Docketed Comments'!H:H,0)),"")</f>
        <v>Betty, Crnich</v>
      </c>
      <c r="I918" s="65" t="str">
        <f>IFERROR(INDEX('Docketed Comments'!D:D,MATCH(A918,'Docketed Comments'!H:H,0)),"")</f>
        <v>Arizona City</v>
      </c>
      <c r="J918" s="65" t="str">
        <f>IFERROR(INDEX('Docketed Comments'!I:I,MATCH(A918,'Docketed Comments'!H:H,0)),"")</f>
        <v>RCPw/TOUE47</v>
      </c>
      <c r="K918" s="65" t="str">
        <f t="shared" si="29"/>
        <v>✅ On Best Plan</v>
      </c>
      <c r="L918" s="65" t="str">
        <f>IFERROR(INDEX('Docketed Comments'!F:F,MATCH(A918,'Docketed Comments'!H:H,0)),"")</f>
        <v>everyone keep raising prices and the increase they give each year doesn't even begin to help us on cost of living</v>
      </c>
      <c r="M918" s="137" t="str">
        <f>IFERROR(HYPERLINK(INDEX('Docketed Comments'!G:G,MATCH(A918,'Docketed Comments'!H:H,0)),"📄 View Docket"),"")</f>
        <v>📄 View Docket</v>
      </c>
      <c r="N918" s="135" t="str">
        <f>IFERROR(INDEX('Docketed Comments'!N:N,MATCH(A918,'Docketed Comments'!H:H,0)),"")</f>
        <v>No</v>
      </c>
      <c r="O918" s="135" t="str">
        <f>IFERROR(INDEX('Docketed Comments'!L:L,MATCH(A918,'Docketed Comments'!H:H,0)),"")</f>
        <v>Yes</v>
      </c>
      <c r="P918" s="136">
        <f t="shared" si="28"/>
        <v>0</v>
      </c>
      <c r="Q918" s="140"/>
      <c r="R918" s="144">
        <v>1</v>
      </c>
    </row>
    <row r="919" spans="1:18" ht="21.95" customHeight="1">
      <c r="A919" s="71" t="s">
        <v>4108</v>
      </c>
      <c r="B919" s="69"/>
      <c r="C919" s="70"/>
      <c r="D919" s="69"/>
      <c r="E919" s="69"/>
      <c r="F919" s="65"/>
      <c r="G919" s="65" t="s">
        <v>5811</v>
      </c>
      <c r="H919" s="65" t="str">
        <f>IFERROR(INDEX('Docketed Comments'!C:C,MATCH(A919,'Docketed Comments'!H:H,0))&amp;", "&amp;INDEX('Docketed Comments'!B:B,MATCH(A919,'Docketed Comments'!H:H,0)),"")</f>
        <v>Klaus, Richter</v>
      </c>
      <c r="I919" s="65" t="str">
        <f>IFERROR(INDEX('Docketed Comments'!D:D,MATCH(A919,'Docketed Comments'!H:H,0)),"")</f>
        <v>Litchfield Park</v>
      </c>
      <c r="J919" s="65" t="str">
        <f>IFERROR(INDEX('Docketed Comments'!I:I,MATCH(A919,'Docketed Comments'!H:H,0)),"")</f>
        <v>EPR6w/ET</v>
      </c>
      <c r="K919" s="65" t="str">
        <f t="shared" si="29"/>
        <v>⚠ Frozen Plan</v>
      </c>
      <c r="L919" s="65" t="str">
        <f>IFERROR(INDEX('Docketed Comments'!F:F,MATCH(A919,'Docketed Comments'!H:H,0)),"")</f>
        <v>I am against the increase APS is planning</v>
      </c>
      <c r="M919" s="137" t="str">
        <f>IFERROR(HYPERLINK(INDEX('Docketed Comments'!G:G,MATCH(A919,'Docketed Comments'!H:H,0)),"📄 View Docket"),"")</f>
        <v>📄 View Docket</v>
      </c>
      <c r="N919" s="135" t="str">
        <f>IFERROR(INDEX('Docketed Comments'!N:N,MATCH(A919,'Docketed Comments'!H:H,0)),"")</f>
        <v>No</v>
      </c>
      <c r="O919" s="135" t="str">
        <f>IFERROR(INDEX('Docketed Comments'!L:L,MATCH(A919,'Docketed Comments'!H:H,0)),"")</f>
        <v>Frozen Plan</v>
      </c>
      <c r="P919" s="136">
        <f t="shared" si="28"/>
        <v>0</v>
      </c>
      <c r="Q919" s="140"/>
      <c r="R919" s="144">
        <v>1</v>
      </c>
    </row>
    <row r="920" spans="1:18" ht="21.95" customHeight="1">
      <c r="A920" s="71" t="s">
        <v>4115</v>
      </c>
      <c r="B920" s="69"/>
      <c r="C920" s="70"/>
      <c r="D920" s="69"/>
      <c r="E920" s="69"/>
      <c r="F920" s="65"/>
      <c r="G920" s="65" t="s">
        <v>5811</v>
      </c>
      <c r="H920" s="65" t="str">
        <f>IFERROR(INDEX('Docketed Comments'!C:C,MATCH(A920,'Docketed Comments'!H:H,0))&amp;", "&amp;INDEX('Docketed Comments'!B:B,MATCH(A920,'Docketed Comments'!H:H,0)),"")</f>
        <v>David, Reis</v>
      </c>
      <c r="I920" s="65" t="str">
        <f>IFERROR(INDEX('Docketed Comments'!D:D,MATCH(A920,'Docketed Comments'!H:H,0)),"")</f>
        <v>Surprise</v>
      </c>
      <c r="J920" s="65" t="str">
        <f>IFERROR(INDEX('Docketed Comments'!I:I,MATCH(A920,'Docketed Comments'!H:H,0)),"")</f>
        <v>RTOUE47</v>
      </c>
      <c r="K920" s="65" t="str">
        <f t="shared" si="29"/>
        <v>✅ On Best Plan</v>
      </c>
      <c r="L920" s="65" t="str">
        <f>IFERROR(INDEX('Docketed Comments'!F:F,MATCH(A920,'Docketed Comments'!H:H,0)),"")</f>
        <v>I am apposed to APS rate hike stop using the inefficient green energy and get more of the power from the PV plant</v>
      </c>
      <c r="M920" s="137" t="str">
        <f>IFERROR(HYPERLINK(INDEX('Docketed Comments'!G:G,MATCH(A920,'Docketed Comments'!H:H,0)),"📄 View Docket"),"")</f>
        <v>📄 View Docket</v>
      </c>
      <c r="N920" s="135" t="str">
        <f>IFERROR(INDEX('Docketed Comments'!N:N,MATCH(A920,'Docketed Comments'!H:H,0)),"")</f>
        <v>No</v>
      </c>
      <c r="O920" s="135" t="str">
        <f>IFERROR(INDEX('Docketed Comments'!L:L,MATCH(A920,'Docketed Comments'!H:H,0)),"")</f>
        <v>Yes</v>
      </c>
      <c r="P920" s="136">
        <f t="shared" si="28"/>
        <v>0</v>
      </c>
      <c r="Q920" s="140"/>
      <c r="R920" s="144">
        <v>1</v>
      </c>
    </row>
    <row r="921" spans="1:18" ht="21.95" customHeight="1">
      <c r="A921" s="71" t="s">
        <v>4119</v>
      </c>
      <c r="B921" s="69"/>
      <c r="C921" s="70"/>
      <c r="D921" s="69"/>
      <c r="E921" s="69"/>
      <c r="F921" s="65"/>
      <c r="G921" s="65" t="s">
        <v>5811</v>
      </c>
      <c r="H921" s="65" t="str">
        <f>IFERROR(INDEX('Docketed Comments'!C:C,MATCH(A921,'Docketed Comments'!H:H,0))&amp;", "&amp;INDEX('Docketed Comments'!B:B,MATCH(A921,'Docketed Comments'!H:H,0)),"")</f>
        <v>Geordanny, Velasquez</v>
      </c>
      <c r="I921" s="65" t="str">
        <f>IFERROR(INDEX('Docketed Comments'!D:D,MATCH(A921,'Docketed Comments'!H:H,0)),"")</f>
        <v>Phoenix</v>
      </c>
      <c r="J921" s="65" t="str">
        <f>IFERROR(INDEX('Docketed Comments'!I:I,MATCH(A921,'Docketed Comments'!H:H,0)),"")</f>
        <v>RTOUE47</v>
      </c>
      <c r="K921" s="65" t="str">
        <f t="shared" si="29"/>
        <v>✅ On Best Plan</v>
      </c>
      <c r="L921" s="65" t="str">
        <f>IFERROR(INDEX('Docketed Comments'!F:F,MATCH(A921,'Docketed Comments'!H:H,0)),"")</f>
        <v>APS already earns substantial profits, and raising rates again would place an unfair burden on Arizona households</v>
      </c>
      <c r="M921" s="137" t="str">
        <f>IFERROR(HYPERLINK(INDEX('Docketed Comments'!G:G,MATCH(A921,'Docketed Comments'!H:H,0)),"📄 View Docket"),"")</f>
        <v>📄 View Docket</v>
      </c>
      <c r="N921" s="135" t="str">
        <f>IFERROR(INDEX('Docketed Comments'!N:N,MATCH(A921,'Docketed Comments'!H:H,0)),"")</f>
        <v>No</v>
      </c>
      <c r="O921" s="135" t="str">
        <f>IFERROR(INDEX('Docketed Comments'!L:L,MATCH(A921,'Docketed Comments'!H:H,0)),"")</f>
        <v>Yes</v>
      </c>
      <c r="P921" s="136">
        <f t="shared" si="28"/>
        <v>0</v>
      </c>
      <c r="Q921" s="140"/>
      <c r="R921" s="144">
        <v>1</v>
      </c>
    </row>
    <row r="922" spans="1:18" ht="21.95" customHeight="1">
      <c r="A922" s="71" t="s">
        <v>4128</v>
      </c>
      <c r="B922" s="69"/>
      <c r="C922" s="70"/>
      <c r="D922" s="69"/>
      <c r="E922" s="69"/>
      <c r="F922" s="65"/>
      <c r="G922" s="65" t="s">
        <v>5811</v>
      </c>
      <c r="H922" s="65" t="str">
        <f>IFERROR(INDEX('Docketed Comments'!C:C,MATCH(A922,'Docketed Comments'!H:H,0))&amp;", "&amp;INDEX('Docketed Comments'!B:B,MATCH(A922,'Docketed Comments'!H:H,0)),"")</f>
        <v>Danyial, Merriam</v>
      </c>
      <c r="I922" s="65" t="str">
        <f>IFERROR(INDEX('Docketed Comments'!D:D,MATCH(A922,'Docketed Comments'!H:H,0)),"")</f>
        <v>Waddell</v>
      </c>
      <c r="J922" s="65" t="str">
        <f>IFERROR(INDEX('Docketed Comments'!I:I,MATCH(A922,'Docketed Comments'!H:H,0)),"")</f>
        <v>R3-47</v>
      </c>
      <c r="K922" s="65" t="str">
        <f t="shared" si="29"/>
        <v>✅ On Best Plan</v>
      </c>
      <c r="L922" s="65" t="str">
        <f>IFERROR(INDEX('Docketed Comments'!F:F,MATCH(A922,'Docketed Comments'!H:H,0)),"")</f>
        <v>When you have to decide to cool your home so your babies wont die, or to buy food something is terribly wrong.</v>
      </c>
      <c r="M922" s="137" t="str">
        <f>IFERROR(HYPERLINK(INDEX('Docketed Comments'!G:G,MATCH(A922,'Docketed Comments'!H:H,0)),"📄 View Docket"),"")</f>
        <v>📄 View Docket</v>
      </c>
      <c r="N922" s="135" t="str">
        <f>IFERROR(INDEX('Docketed Comments'!N:N,MATCH(A922,'Docketed Comments'!H:H,0)),"")</f>
        <v>No</v>
      </c>
      <c r="O922" s="135" t="str">
        <f>IFERROR(INDEX('Docketed Comments'!L:L,MATCH(A922,'Docketed Comments'!H:H,0)),"")</f>
        <v>Yes</v>
      </c>
      <c r="P922" s="136">
        <f t="shared" si="28"/>
        <v>0</v>
      </c>
      <c r="Q922" s="140"/>
      <c r="R922" s="144">
        <v>1</v>
      </c>
    </row>
    <row r="923" spans="1:18" ht="21.95" customHeight="1">
      <c r="A923" s="71" t="s">
        <v>4134</v>
      </c>
      <c r="B923" s="69"/>
      <c r="C923" s="70"/>
      <c r="D923" s="69"/>
      <c r="E923" s="69"/>
      <c r="F923" s="65"/>
      <c r="G923" s="65" t="s">
        <v>5811</v>
      </c>
      <c r="H923" s="65" t="str">
        <f>IFERROR(INDEX('Docketed Comments'!C:C,MATCH(A923,'Docketed Comments'!H:H,0))&amp;", "&amp;INDEX('Docketed Comments'!B:B,MATCH(A923,'Docketed Comments'!H:H,0)),"")</f>
        <v>Sheri, Avery</v>
      </c>
      <c r="I923" s="65" t="str">
        <f>IFERROR(INDEX('Docketed Comments'!D:D,MATCH(A923,'Docketed Comments'!H:H,0)),"")</f>
        <v>Phoenix</v>
      </c>
      <c r="J923" s="65" t="str">
        <f>IFERROR(INDEX('Docketed Comments'!I:I,MATCH(A923,'Docketed Comments'!H:H,0)),"")</f>
        <v>R3-47</v>
      </c>
      <c r="K923" s="65" t="str">
        <f t="shared" si="29"/>
        <v>✅ On Best Plan</v>
      </c>
      <c r="L923" s="65" t="str">
        <f>IFERROR(INDEX('Docketed Comments'!F:F,MATCH(A923,'Docketed Comments'!H:H,0)),"")</f>
        <v>Some of us are barely making ends meet as it is already! Please vote NO to APS!!</v>
      </c>
      <c r="M923" s="137" t="str">
        <f>IFERROR(HYPERLINK(INDEX('Docketed Comments'!G:G,MATCH(A923,'Docketed Comments'!H:H,0)),"📄 View Docket"),"")</f>
        <v>📄 View Docket</v>
      </c>
      <c r="N923" s="135" t="str">
        <f>IFERROR(INDEX('Docketed Comments'!N:N,MATCH(A923,'Docketed Comments'!H:H,0)),"")</f>
        <v>No</v>
      </c>
      <c r="O923" s="135" t="str">
        <f>IFERROR(INDEX('Docketed Comments'!L:L,MATCH(A923,'Docketed Comments'!H:H,0)),"")</f>
        <v>Yes</v>
      </c>
      <c r="P923" s="136">
        <f t="shared" si="28"/>
        <v>0</v>
      </c>
      <c r="Q923" s="140"/>
      <c r="R923" s="144">
        <v>1</v>
      </c>
    </row>
    <row r="924" spans="1:18" ht="21.95" customHeight="1">
      <c r="A924" s="71" t="s">
        <v>4137</v>
      </c>
      <c r="B924" s="69"/>
      <c r="C924" s="70"/>
      <c r="D924" s="69"/>
      <c r="E924" s="69"/>
      <c r="F924" s="65"/>
      <c r="G924" s="65" t="s">
        <v>5811</v>
      </c>
      <c r="H924" s="65" t="str">
        <f>IFERROR(INDEX('Docketed Comments'!C:C,MATCH(A924,'Docketed Comments'!H:H,0))&amp;", "&amp;INDEX('Docketed Comments'!B:B,MATCH(A924,'Docketed Comments'!H:H,0)),"")</f>
        <v>Debra, Parks</v>
      </c>
      <c r="I924" s="65" t="str">
        <f>IFERROR(INDEX('Docketed Comments'!D:D,MATCH(A924,'Docketed Comments'!H:H,0)),"")</f>
        <v>Peoria</v>
      </c>
      <c r="J924" s="65" t="str">
        <f>IFERROR(INDEX('Docketed Comments'!I:I,MATCH(A924,'Docketed Comments'!H:H,0)),"")</f>
        <v>R3-47</v>
      </c>
      <c r="K924" s="65" t="str">
        <f t="shared" si="29"/>
        <v>✅ On Best Plan</v>
      </c>
      <c r="L924" s="65" t="str">
        <f>IFERROR(INDEX('Docketed Comments'!F:F,MATCH(A924,'Docketed Comments'!H:H,0)),"")</f>
        <v>Drop some of your expensive sponsorships that benefit few of us and keep your rates the same.</v>
      </c>
      <c r="M924" s="137" t="str">
        <f>IFERROR(HYPERLINK(INDEX('Docketed Comments'!G:G,MATCH(A924,'Docketed Comments'!H:H,0)),"📄 View Docket"),"")</f>
        <v>📄 View Docket</v>
      </c>
      <c r="N924" s="135" t="str">
        <f>IFERROR(INDEX('Docketed Comments'!N:N,MATCH(A924,'Docketed Comments'!H:H,0)),"")</f>
        <v>No</v>
      </c>
      <c r="O924" s="135" t="str">
        <f>IFERROR(INDEX('Docketed Comments'!L:L,MATCH(A924,'Docketed Comments'!H:H,0)),"")</f>
        <v>Yes</v>
      </c>
      <c r="P924" s="136">
        <f t="shared" si="28"/>
        <v>0</v>
      </c>
      <c r="Q924" s="140"/>
      <c r="R924" s="144">
        <v>1</v>
      </c>
    </row>
    <row r="925" spans="1:18" ht="21.95" customHeight="1">
      <c r="A925" s="71" t="s">
        <v>4141</v>
      </c>
      <c r="B925" s="69"/>
      <c r="C925" s="70"/>
      <c r="D925" s="69"/>
      <c r="E925" s="69"/>
      <c r="F925" s="65"/>
      <c r="G925" s="65" t="s">
        <v>5811</v>
      </c>
      <c r="H925" s="65" t="str">
        <f>IFERROR(INDEX('Docketed Comments'!C:C,MATCH(A925,'Docketed Comments'!H:H,0))&amp;", "&amp;INDEX('Docketed Comments'!B:B,MATCH(A925,'Docketed Comments'!H:H,0)),"")</f>
        <v>Sherrie, Hubler</v>
      </c>
      <c r="I925" s="65" t="str">
        <f>IFERROR(INDEX('Docketed Comments'!D:D,MATCH(A925,'Docketed Comments'!H:H,0)),"")</f>
        <v>Phoenix</v>
      </c>
      <c r="J925" s="65" t="str">
        <f>IFERROR(INDEX('Docketed Comments'!I:I,MATCH(A925,'Docketed Comments'!H:H,0)),"")</f>
        <v>R3-47</v>
      </c>
      <c r="K925" s="65" t="str">
        <f t="shared" si="29"/>
        <v>✅ On Best Plan</v>
      </c>
      <c r="L925" s="65" t="str">
        <f>IFERROR(INDEX('Docketed Comments'!F:F,MATCH(A925,'Docketed Comments'!H:H,0)),"")</f>
        <v xml:space="preserve">Notes company revenue, executive order to re-open Cholla, donations to Katie Hobbs and Kari Lake. </v>
      </c>
      <c r="M925" s="137" t="str">
        <f>IFERROR(HYPERLINK(INDEX('Docketed Comments'!G:G,MATCH(A925,'Docketed Comments'!H:H,0)),"📄 View Docket"),"")</f>
        <v>📄 View Docket</v>
      </c>
      <c r="N925" s="135" t="str">
        <f>IFERROR(INDEX('Docketed Comments'!N:N,MATCH(A925,'Docketed Comments'!H:H,0)),"")</f>
        <v>No</v>
      </c>
      <c r="O925" s="135" t="str">
        <f>IFERROR(INDEX('Docketed Comments'!L:L,MATCH(A925,'Docketed Comments'!H:H,0)),"")</f>
        <v>Yes</v>
      </c>
      <c r="P925" s="136">
        <f t="shared" si="28"/>
        <v>0</v>
      </c>
      <c r="Q925" s="140"/>
      <c r="R925" s="144">
        <v>1</v>
      </c>
    </row>
    <row r="926" spans="1:18" ht="21.95" customHeight="1">
      <c r="A926" s="71" t="s">
        <v>4154</v>
      </c>
      <c r="B926" s="69"/>
      <c r="C926" s="70"/>
      <c r="D926" s="69"/>
      <c r="E926" s="69"/>
      <c r="F926" s="65"/>
      <c r="G926" s="65" t="s">
        <v>5811</v>
      </c>
      <c r="H926" s="65" t="str">
        <f>IFERROR(INDEX('Docketed Comments'!C:C,MATCH(A926,'Docketed Comments'!H:H,0))&amp;", "&amp;INDEX('Docketed Comments'!B:B,MATCH(A926,'Docketed Comments'!H:H,0)),"")</f>
        <v>Susan, Amaro</v>
      </c>
      <c r="I926" s="65" t="str">
        <f>IFERROR(INDEX('Docketed Comments'!D:D,MATCH(A926,'Docketed Comments'!H:H,0)),"")</f>
        <v>Peoria</v>
      </c>
      <c r="J926" s="65" t="str">
        <f>IFERROR(INDEX('Docketed Comments'!I:I,MATCH(A926,'Docketed Comments'!H:H,0)),"")</f>
        <v>R-XS</v>
      </c>
      <c r="K926" s="65" t="str">
        <f t="shared" si="29"/>
        <v>✅ On Best Plan</v>
      </c>
      <c r="L926" s="65" t="str">
        <f>IFERROR(INDEX('Docketed Comments'!F:F,MATCH(A926,'Docketed Comments'!H:H,0)),"")</f>
        <v>I have only one limited income to keep my home warm in the winter and especiall cooler in the hot hot summer months</v>
      </c>
      <c r="M926" s="137" t="str">
        <f>IFERROR(HYPERLINK(INDEX('Docketed Comments'!G:G,MATCH(A926,'Docketed Comments'!H:H,0)),"📄 View Docket"),"")</f>
        <v>📄 View Docket</v>
      </c>
      <c r="N926" s="135" t="str">
        <f>IFERROR(INDEX('Docketed Comments'!N:N,MATCH(A926,'Docketed Comments'!H:H,0)),"")</f>
        <v>No</v>
      </c>
      <c r="O926" s="135" t="str">
        <f>IFERROR(INDEX('Docketed Comments'!L:L,MATCH(A926,'Docketed Comments'!H:H,0)),"")</f>
        <v>Yes</v>
      </c>
      <c r="P926" s="136">
        <f t="shared" si="28"/>
        <v>0</v>
      </c>
      <c r="Q926" s="140"/>
      <c r="R926" s="144">
        <v>1</v>
      </c>
    </row>
    <row r="927" spans="1:18" ht="21.95" customHeight="1">
      <c r="A927" s="71" t="s">
        <v>4168</v>
      </c>
      <c r="B927" s="69"/>
      <c r="C927" s="70"/>
      <c r="D927" s="69"/>
      <c r="E927" s="69"/>
      <c r="F927" s="65"/>
      <c r="G927" s="65" t="s">
        <v>5811</v>
      </c>
      <c r="H927" s="65" t="str">
        <f>IFERROR(INDEX('Docketed Comments'!C:C,MATCH(A927,'Docketed Comments'!H:H,0))&amp;", "&amp;INDEX('Docketed Comments'!B:B,MATCH(A927,'Docketed Comments'!H:H,0)),"")</f>
        <v>Wyndy, Harris</v>
      </c>
      <c r="I927" s="65" t="str">
        <f>IFERROR(INDEX('Docketed Comments'!D:D,MATCH(A927,'Docketed Comments'!H:H,0)),"")</f>
        <v>Camp Verde</v>
      </c>
      <c r="J927" s="65" t="str">
        <f>IFERROR(INDEX('Docketed Comments'!I:I,MATCH(A927,'Docketed Comments'!H:H,0)),"")</f>
        <v>RCPw/RTOUE47</v>
      </c>
      <c r="K927" s="65" t="str">
        <f t="shared" si="29"/>
        <v>✅ On Best Plan</v>
      </c>
      <c r="L927" s="65" t="str">
        <f>IFERROR(INDEX('Docketed Comments'!F:F,MATCH(A927,'Docketed Comments'!H:H,0)),"")</f>
        <v>Enough is enough. People are at the limit, trying to make ends meet.</v>
      </c>
      <c r="M927" s="137" t="str">
        <f>IFERROR(HYPERLINK(INDEX('Docketed Comments'!G:G,MATCH(A927,'Docketed Comments'!H:H,0)),"📄 View Docket"),"")</f>
        <v>📄 View Docket</v>
      </c>
      <c r="N927" s="135" t="str">
        <f>IFERROR(INDEX('Docketed Comments'!N:N,MATCH(A927,'Docketed Comments'!H:H,0)),"")</f>
        <v>No</v>
      </c>
      <c r="O927" s="135" t="str">
        <f>IFERROR(INDEX('Docketed Comments'!L:L,MATCH(A927,'Docketed Comments'!H:H,0)),"")</f>
        <v>Yes</v>
      </c>
      <c r="P927" s="136">
        <f t="shared" si="28"/>
        <v>0</v>
      </c>
      <c r="Q927" s="140"/>
      <c r="R927" s="144">
        <v>1</v>
      </c>
    </row>
    <row r="928" spans="1:18" ht="21.95" customHeight="1">
      <c r="A928" s="71" t="s">
        <v>4177</v>
      </c>
      <c r="B928" s="69"/>
      <c r="C928" s="70"/>
      <c r="D928" s="69"/>
      <c r="E928" s="69"/>
      <c r="F928" s="65"/>
      <c r="G928" s="65" t="s">
        <v>5811</v>
      </c>
      <c r="H928" s="65" t="str">
        <f>IFERROR(INDEX('Docketed Comments'!C:C,MATCH(A928,'Docketed Comments'!H:H,0))&amp;", "&amp;INDEX('Docketed Comments'!B:B,MATCH(A928,'Docketed Comments'!H:H,0)),"")</f>
        <v>Anthony, Sadolfo</v>
      </c>
      <c r="I928" s="65" t="str">
        <f>IFERROR(INDEX('Docketed Comments'!D:D,MATCH(A928,'Docketed Comments'!H:H,0)),"")</f>
        <v>Phoenix</v>
      </c>
      <c r="J928" s="65" t="str">
        <f>IFERROR(INDEX('Docketed Comments'!I:I,MATCH(A928,'Docketed Comments'!H:H,0)),"")</f>
        <v>EPR6w/ET-2</v>
      </c>
      <c r="K928" s="65" t="str">
        <f t="shared" si="29"/>
        <v>⚠ Frozen Plan</v>
      </c>
      <c r="L928" s="65" t="str">
        <f>IFERROR(INDEX('Docketed Comments'!F:F,MATCH(A928,'Docketed Comments'!H:H,0)),"")</f>
        <v>As a military veteran and current government employee, we only received a 1% raise for 2026</v>
      </c>
      <c r="M928" s="137" t="str">
        <f>IFERROR(HYPERLINK(INDEX('Docketed Comments'!G:G,MATCH(A928,'Docketed Comments'!H:H,0)),"📄 View Docket"),"")</f>
        <v>📄 View Docket</v>
      </c>
      <c r="N928" s="135" t="str">
        <f>IFERROR(INDEX('Docketed Comments'!N:N,MATCH(A928,'Docketed Comments'!H:H,0)),"")</f>
        <v>No</v>
      </c>
      <c r="O928" s="135" t="str">
        <f>IFERROR(INDEX('Docketed Comments'!L:L,MATCH(A928,'Docketed Comments'!H:H,0)),"")</f>
        <v>Frozen Plan</v>
      </c>
      <c r="P928" s="136">
        <f t="shared" si="28"/>
        <v>0</v>
      </c>
      <c r="Q928" s="140"/>
      <c r="R928" s="144">
        <v>1</v>
      </c>
    </row>
    <row r="929" spans="1:18" ht="21.95" customHeight="1">
      <c r="A929" s="71" t="s">
        <v>4190</v>
      </c>
      <c r="B929" s="69"/>
      <c r="C929" s="70"/>
      <c r="D929" s="69"/>
      <c r="E929" s="69"/>
      <c r="F929" s="65"/>
      <c r="G929" s="65" t="s">
        <v>5811</v>
      </c>
      <c r="H929" s="65" t="str">
        <f>IFERROR(INDEX('Docketed Comments'!C:C,MATCH(A929,'Docketed Comments'!H:H,0))&amp;", "&amp;INDEX('Docketed Comments'!B:B,MATCH(A929,'Docketed Comments'!H:H,0)),"")</f>
        <v>Eric, Busby</v>
      </c>
      <c r="I929" s="65" t="str">
        <f>IFERROR(INDEX('Docketed Comments'!D:D,MATCH(A929,'Docketed Comments'!H:H,0)),"")</f>
        <v>Phoenix</v>
      </c>
      <c r="J929" s="65" t="str">
        <f>IFERROR(INDEX('Docketed Comments'!I:I,MATCH(A929,'Docketed Comments'!H:H,0)),"")</f>
        <v>R3-47</v>
      </c>
      <c r="K929" s="65" t="str">
        <f t="shared" si="29"/>
        <v>✅ On Best Plan</v>
      </c>
      <c r="L929" s="65" t="str">
        <f>IFERROR(INDEX('Docketed Comments'!F:F,MATCH(A929,'Docketed Comments'!H:H,0)),"")</f>
        <v>Public utilities along with a mortgage and food are necessities. Controlling the cost of these things is a must.</v>
      </c>
      <c r="M929" s="137" t="str">
        <f>IFERROR(HYPERLINK(INDEX('Docketed Comments'!G:G,MATCH(A929,'Docketed Comments'!H:H,0)),"📄 View Docket"),"")</f>
        <v>📄 View Docket</v>
      </c>
      <c r="N929" s="135" t="str">
        <f>IFERROR(INDEX('Docketed Comments'!N:N,MATCH(A929,'Docketed Comments'!H:H,0)),"")</f>
        <v>No</v>
      </c>
      <c r="O929" s="135" t="str">
        <f>IFERROR(INDEX('Docketed Comments'!L:L,MATCH(A929,'Docketed Comments'!H:H,0)),"")</f>
        <v>Yes</v>
      </c>
      <c r="P929" s="136">
        <f t="shared" si="28"/>
        <v>0</v>
      </c>
      <c r="Q929" s="140"/>
      <c r="R929" s="144">
        <v>1</v>
      </c>
    </row>
    <row r="930" spans="1:18" ht="21.95" customHeight="1">
      <c r="A930" s="71" t="s">
        <v>4195</v>
      </c>
      <c r="B930" s="69"/>
      <c r="C930" s="70"/>
      <c r="D930" s="69"/>
      <c r="E930" s="69"/>
      <c r="F930" s="65"/>
      <c r="G930" s="65" t="s">
        <v>5811</v>
      </c>
      <c r="H930" s="65" t="str">
        <f>IFERROR(INDEX('Docketed Comments'!C:C,MATCH(A930,'Docketed Comments'!H:H,0))&amp;", "&amp;INDEX('Docketed Comments'!B:B,MATCH(A930,'Docketed Comments'!H:H,0)),"")</f>
        <v>Steven, Young</v>
      </c>
      <c r="I930" s="65" t="str">
        <f>IFERROR(INDEX('Docketed Comments'!D:D,MATCH(A930,'Docketed Comments'!H:H,0)),"")</f>
        <v>Surprise</v>
      </c>
      <c r="J930" s="65" t="str">
        <f>IFERROR(INDEX('Docketed Comments'!I:I,MATCH(A930,'Docketed Comments'!H:H,0)),"")</f>
        <v>R-XS</v>
      </c>
      <c r="K930" s="65" t="str">
        <f t="shared" si="29"/>
        <v>✅ On Best Plan</v>
      </c>
      <c r="L930" s="65" t="str">
        <f>IFERROR(INDEX('Docketed Comments'!F:F,MATCH(A930,'Docketed Comments'!H:H,0)),"")</f>
        <v>The 14% rate hike your company is asking for is uncalled for. You raised your rate last year.</v>
      </c>
      <c r="M930" s="137" t="str">
        <f>IFERROR(HYPERLINK(INDEX('Docketed Comments'!G:G,MATCH(A930,'Docketed Comments'!H:H,0)),"📄 View Docket"),"")</f>
        <v>📄 View Docket</v>
      </c>
      <c r="N930" s="135" t="str">
        <f>IFERROR(INDEX('Docketed Comments'!N:N,MATCH(A930,'Docketed Comments'!H:H,0)),"")</f>
        <v>No</v>
      </c>
      <c r="O930" s="135" t="str">
        <f>IFERROR(INDEX('Docketed Comments'!L:L,MATCH(A930,'Docketed Comments'!H:H,0)),"")</f>
        <v>Yes</v>
      </c>
      <c r="P930" s="136">
        <f t="shared" si="28"/>
        <v>0</v>
      </c>
      <c r="Q930" s="140"/>
      <c r="R930" s="144">
        <v>1</v>
      </c>
    </row>
    <row r="931" spans="1:18" ht="21.95" customHeight="1">
      <c r="A931" s="71" t="s">
        <v>4201</v>
      </c>
      <c r="B931" s="69"/>
      <c r="C931" s="70"/>
      <c r="D931" s="69"/>
      <c r="E931" s="69"/>
      <c r="F931" s="65"/>
      <c r="G931" s="65" t="s">
        <v>5811</v>
      </c>
      <c r="H931" s="65" t="str">
        <f>IFERROR(INDEX('Docketed Comments'!C:C,MATCH(A931,'Docketed Comments'!H:H,0))&amp;", "&amp;INDEX('Docketed Comments'!B:B,MATCH(A931,'Docketed Comments'!H:H,0)),"")</f>
        <v>Jay, Helie</v>
      </c>
      <c r="I931" s="65" t="str">
        <f>IFERROR(INDEX('Docketed Comments'!D:D,MATCH(A931,'Docketed Comments'!H:H,0)),"")</f>
        <v>Seligman</v>
      </c>
      <c r="J931" s="65" t="str">
        <f>IFERROR(INDEX('Docketed Comments'!I:I,MATCH(A931,'Docketed Comments'!H:H,0)),"")</f>
        <v>R3-47</v>
      </c>
      <c r="K931" s="65" t="str">
        <f t="shared" si="29"/>
        <v>✅ On Best Plan</v>
      </c>
      <c r="L931" s="65" t="str">
        <f>IFERROR(INDEX('Docketed Comments'!F:F,MATCH(A931,'Docketed Comments'!H:H,0)),"")</f>
        <v>Who in there right mind would vote Democrat and higher rates, there isn't any God nor the people in these price gougers</v>
      </c>
      <c r="M931" s="137" t="str">
        <f>IFERROR(HYPERLINK(INDEX('Docketed Comments'!G:G,MATCH(A931,'Docketed Comments'!H:H,0)),"📄 View Docket"),"")</f>
        <v>📄 View Docket</v>
      </c>
      <c r="N931" s="135" t="str">
        <f>IFERROR(INDEX('Docketed Comments'!N:N,MATCH(A931,'Docketed Comments'!H:H,0)),"")</f>
        <v>No</v>
      </c>
      <c r="O931" s="135" t="str">
        <f>IFERROR(INDEX('Docketed Comments'!L:L,MATCH(A931,'Docketed Comments'!H:H,0)),"")</f>
        <v>Yes</v>
      </c>
      <c r="P931" s="136">
        <f t="shared" si="28"/>
        <v>0</v>
      </c>
      <c r="Q931" s="140"/>
      <c r="R931" s="144">
        <v>1</v>
      </c>
    </row>
    <row r="932" spans="1:18" ht="21.95" customHeight="1">
      <c r="A932" s="71" t="s">
        <v>4204</v>
      </c>
      <c r="B932" s="69"/>
      <c r="C932" s="70"/>
      <c r="D932" s="69"/>
      <c r="E932" s="69"/>
      <c r="F932" s="65"/>
      <c r="G932" s="65" t="s">
        <v>5811</v>
      </c>
      <c r="H932" s="65" t="str">
        <f>IFERROR(INDEX('Docketed Comments'!C:C,MATCH(A932,'Docketed Comments'!H:H,0))&amp;", "&amp;INDEX('Docketed Comments'!B:B,MATCH(A932,'Docketed Comments'!H:H,0)),"")</f>
        <v>Debra, Hanlon</v>
      </c>
      <c r="I932" s="65" t="str">
        <f>IFERROR(INDEX('Docketed Comments'!D:D,MATCH(A932,'Docketed Comments'!H:H,0)),"")</f>
        <v>Rimrock</v>
      </c>
      <c r="J932" s="65" t="str">
        <f>IFERROR(INDEX('Docketed Comments'!I:I,MATCH(A932,'Docketed Comments'!H:H,0)),"")</f>
        <v>R-XS</v>
      </c>
      <c r="K932" s="65" t="str">
        <f t="shared" si="29"/>
        <v>✅ On Best Plan</v>
      </c>
      <c r="L932" s="65" t="str">
        <f>IFERROR(INDEX('Docketed Comments'!F:F,MATCH(A932,'Docketed Comments'!H:H,0)),"")</f>
        <v>I am a 71 year old senior and my Social security is $956.00 a month. I am having trouble keeping my electric bill paid now</v>
      </c>
      <c r="M932" s="137" t="str">
        <f>IFERROR(HYPERLINK(INDEX('Docketed Comments'!G:G,MATCH(A932,'Docketed Comments'!H:H,0)),"📄 View Docket"),"")</f>
        <v>📄 View Docket</v>
      </c>
      <c r="N932" s="135" t="str">
        <f>IFERROR(INDEX('Docketed Comments'!N:N,MATCH(A932,'Docketed Comments'!H:H,0)),"")</f>
        <v>No</v>
      </c>
      <c r="O932" s="135" t="str">
        <f>IFERROR(INDEX('Docketed Comments'!L:L,MATCH(A932,'Docketed Comments'!H:H,0)),"")</f>
        <v>Yes</v>
      </c>
      <c r="P932" s="136">
        <f t="shared" si="28"/>
        <v>0</v>
      </c>
      <c r="Q932" s="140"/>
      <c r="R932" s="144">
        <v>1</v>
      </c>
    </row>
    <row r="933" spans="1:18" ht="21.95" customHeight="1">
      <c r="A933" s="71" t="s">
        <v>4217</v>
      </c>
      <c r="B933" s="69"/>
      <c r="C933" s="70"/>
      <c r="D933" s="69"/>
      <c r="E933" s="69"/>
      <c r="F933" s="65"/>
      <c r="G933" s="65" t="s">
        <v>5811</v>
      </c>
      <c r="H933" s="65" t="str">
        <f>IFERROR(INDEX('Docketed Comments'!C:C,MATCH(A933,'Docketed Comments'!H:H,0))&amp;", "&amp;INDEX('Docketed Comments'!B:B,MATCH(A933,'Docketed Comments'!H:H,0)),"")</f>
        <v>Lawrence, Chester</v>
      </c>
      <c r="I933" s="65" t="str">
        <f>IFERROR(INDEX('Docketed Comments'!D:D,MATCH(A933,'Docketed Comments'!H:H,0)),"")</f>
        <v>Goodyear</v>
      </c>
      <c r="J933" s="65" t="str">
        <f>IFERROR(INDEX('Docketed Comments'!I:I,MATCH(A933,'Docketed Comments'!H:H,0)),"")</f>
        <v>EPR6w/ECT-2</v>
      </c>
      <c r="K933" s="65" t="str">
        <f t="shared" si="29"/>
        <v>⚠ Frozen Plan</v>
      </c>
      <c r="L933" s="65" t="str">
        <f>IFERROR(INDEX('Docketed Comments'!F:F,MATCH(A933,'Docketed Comments'!H:H,0)),"")</f>
        <v>When is enough enough ? The price is already at an all time high. No more increase</v>
      </c>
      <c r="M933" s="137" t="str">
        <f>IFERROR(HYPERLINK(INDEX('Docketed Comments'!G:G,MATCH(A933,'Docketed Comments'!H:H,0)),"📄 View Docket"),"")</f>
        <v>📄 View Docket</v>
      </c>
      <c r="N933" s="135" t="str">
        <f>IFERROR(INDEX('Docketed Comments'!N:N,MATCH(A933,'Docketed Comments'!H:H,0)),"")</f>
        <v>No</v>
      </c>
      <c r="O933" s="135" t="str">
        <f>IFERROR(INDEX('Docketed Comments'!L:L,MATCH(A933,'Docketed Comments'!H:H,0)),"")</f>
        <v>Frozen Plan</v>
      </c>
      <c r="P933" s="136">
        <f t="shared" si="28"/>
        <v>0</v>
      </c>
      <c r="Q933" s="140"/>
      <c r="R933" s="144">
        <v>1</v>
      </c>
    </row>
    <row r="934" spans="1:18" ht="21.95" customHeight="1">
      <c r="A934" s="71" t="s">
        <v>4224</v>
      </c>
      <c r="B934" s="69"/>
      <c r="C934" s="70"/>
      <c r="D934" s="69"/>
      <c r="E934" s="69"/>
      <c r="F934" s="65"/>
      <c r="G934" s="65" t="s">
        <v>5811</v>
      </c>
      <c r="H934" s="65" t="str">
        <f>IFERROR(INDEX('Docketed Comments'!C:C,MATCH(A934,'Docketed Comments'!H:H,0))&amp;", "&amp;INDEX('Docketed Comments'!B:B,MATCH(A934,'Docketed Comments'!H:H,0)),"")</f>
        <v>Andrea, Davis</v>
      </c>
      <c r="I934" s="65" t="str">
        <f>IFERROR(INDEX('Docketed Comments'!D:D,MATCH(A934,'Docketed Comments'!H:H,0)),"")</f>
        <v>Surprise</v>
      </c>
      <c r="J934" s="65" t="str">
        <f>IFERROR(INDEX('Docketed Comments'!I:I,MATCH(A934,'Docketed Comments'!H:H,0)),"")</f>
        <v>EPR6w/ECT-2</v>
      </c>
      <c r="K934" s="65" t="str">
        <f t="shared" si="29"/>
        <v>⚠ Frozen Plan</v>
      </c>
      <c r="L934" s="65" t="str">
        <f>IFERROR(INDEX('Docketed Comments'!F:F,MATCH(A934,'Docketed Comments'!H:H,0)),"")</f>
        <v xml:space="preserve">we cannot lower the A/C enough to stay cool in the summer. Sleeping in temps above 70 are not optimal for our health and well being and feeling rested. </v>
      </c>
      <c r="M934" s="137" t="str">
        <f>IFERROR(HYPERLINK(INDEX('Docketed Comments'!G:G,MATCH(A934,'Docketed Comments'!H:H,0)),"📄 View Docket"),"")</f>
        <v>📄 View Docket</v>
      </c>
      <c r="N934" s="135" t="str">
        <f>IFERROR(INDEX('Docketed Comments'!N:N,MATCH(A934,'Docketed Comments'!H:H,0)),"")</f>
        <v>No</v>
      </c>
      <c r="O934" s="135" t="str">
        <f>IFERROR(INDEX('Docketed Comments'!L:L,MATCH(A934,'Docketed Comments'!H:H,0)),"")</f>
        <v>Frozen Plan</v>
      </c>
      <c r="P934" s="136">
        <f t="shared" si="28"/>
        <v>0</v>
      </c>
      <c r="Q934" s="140"/>
      <c r="R934" s="144">
        <v>1</v>
      </c>
    </row>
    <row r="935" spans="1:18" ht="21.95" customHeight="1">
      <c r="A935" s="71" t="s">
        <v>4232</v>
      </c>
      <c r="B935" s="69"/>
      <c r="C935" s="70"/>
      <c r="D935" s="69"/>
      <c r="E935" s="69"/>
      <c r="F935" s="65"/>
      <c r="G935" s="65" t="s">
        <v>5811</v>
      </c>
      <c r="H935" s="65" t="str">
        <f>IFERROR(INDEX('Docketed Comments'!C:C,MATCH(A935,'Docketed Comments'!H:H,0))&amp;", "&amp;INDEX('Docketed Comments'!B:B,MATCH(A935,'Docketed Comments'!H:H,0)),"")</f>
        <v>David S, Vallejo</v>
      </c>
      <c r="I935" s="65" t="str">
        <f>IFERROR(INDEX('Docketed Comments'!D:D,MATCH(A935,'Docketed Comments'!H:H,0)),"")</f>
        <v>Yuma</v>
      </c>
      <c r="J935" s="65" t="str">
        <f>IFERROR(INDEX('Docketed Comments'!I:I,MATCH(A935,'Docketed Comments'!H:H,0)),"")</f>
        <v>RCPw/R3-47</v>
      </c>
      <c r="K935" s="65" t="str">
        <f t="shared" si="29"/>
        <v>✅ On Best Plan</v>
      </c>
      <c r="L935" s="65" t="str">
        <f>IFERROR(INDEX('Docketed Comments'!F:F,MATCH(A935,'Docketed Comments'!H:H,0)),"")</f>
        <v>I could agree to a rate increase if the salaries of the highest paid were lessened and bonuses across the board were eliminated.</v>
      </c>
      <c r="M935" s="137" t="str">
        <f>IFERROR(HYPERLINK(INDEX('Docketed Comments'!G:G,MATCH(A935,'Docketed Comments'!H:H,0)),"📄 View Docket"),"")</f>
        <v>📄 View Docket</v>
      </c>
      <c r="N935" s="135" t="str">
        <f>IFERROR(INDEX('Docketed Comments'!N:N,MATCH(A935,'Docketed Comments'!H:H,0)),"")</f>
        <v>No</v>
      </c>
      <c r="O935" s="135" t="str">
        <f>IFERROR(INDEX('Docketed Comments'!L:L,MATCH(A935,'Docketed Comments'!H:H,0)),"")</f>
        <v>Yes</v>
      </c>
      <c r="P935" s="136">
        <f t="shared" si="28"/>
        <v>0</v>
      </c>
      <c r="Q935" s="140"/>
      <c r="R935" s="144">
        <v>1</v>
      </c>
    </row>
    <row r="936" spans="1:18" ht="21.95" customHeight="1">
      <c r="A936" s="71" t="s">
        <v>4246</v>
      </c>
      <c r="B936" s="69"/>
      <c r="C936" s="70"/>
      <c r="D936" s="69"/>
      <c r="E936" s="69"/>
      <c r="F936" s="65"/>
      <c r="G936" s="65" t="s">
        <v>5811</v>
      </c>
      <c r="H936" s="65" t="str">
        <f>IFERROR(INDEX('Docketed Comments'!C:C,MATCH(A936,'Docketed Comments'!H:H,0))&amp;", "&amp;INDEX('Docketed Comments'!B:B,MATCH(A936,'Docketed Comments'!H:H,0)),"")</f>
        <v>Robert E, Benge</v>
      </c>
      <c r="I936" s="65" t="str">
        <f>IFERROR(INDEX('Docketed Comments'!D:D,MATCH(A936,'Docketed Comments'!H:H,0)),"")</f>
        <v>Surprise</v>
      </c>
      <c r="J936" s="65" t="str">
        <f>IFERROR(INDEX('Docketed Comments'!I:I,MATCH(A936,'Docketed Comments'!H:H,0)),"")</f>
        <v>R3-47</v>
      </c>
      <c r="K936" s="65" t="str">
        <f t="shared" si="29"/>
        <v>✅ On Best Plan</v>
      </c>
      <c r="L936" s="65" t="str">
        <f>IFERROR(INDEX('Docketed Comments'!F:F,MATCH(A936,'Docketed Comments'!H:H,0)),"")</f>
        <v>Power is hi enough</v>
      </c>
      <c r="M936" s="137" t="str">
        <f>IFERROR(HYPERLINK(INDEX('Docketed Comments'!G:G,MATCH(A936,'Docketed Comments'!H:H,0)),"📄 View Docket"),"")</f>
        <v>📄 View Docket</v>
      </c>
      <c r="N936" s="135" t="str">
        <f>IFERROR(INDEX('Docketed Comments'!N:N,MATCH(A936,'Docketed Comments'!H:H,0)),"")</f>
        <v>No</v>
      </c>
      <c r="O936" s="135" t="str">
        <f>IFERROR(INDEX('Docketed Comments'!L:L,MATCH(A936,'Docketed Comments'!H:H,0)),"")</f>
        <v>Yes</v>
      </c>
      <c r="P936" s="136">
        <f t="shared" si="28"/>
        <v>0</v>
      </c>
      <c r="Q936" s="140"/>
      <c r="R936" s="144">
        <v>1</v>
      </c>
    </row>
    <row r="937" spans="1:18" ht="21.95" customHeight="1">
      <c r="A937" s="71" t="s">
        <v>4248</v>
      </c>
      <c r="B937" s="69"/>
      <c r="C937" s="70"/>
      <c r="D937" s="69"/>
      <c r="E937" s="69"/>
      <c r="F937" s="65"/>
      <c r="G937" s="65" t="s">
        <v>5811</v>
      </c>
      <c r="H937" s="65" t="str">
        <f>IFERROR(INDEX('Docketed Comments'!C:C,MATCH(A937,'Docketed Comments'!H:H,0))&amp;", "&amp;INDEX('Docketed Comments'!B:B,MATCH(A937,'Docketed Comments'!H:H,0)),"")</f>
        <v>Debra, Gonzales</v>
      </c>
      <c r="I937" s="65" t="str">
        <f>IFERROR(INDEX('Docketed Comments'!D:D,MATCH(A937,'Docketed Comments'!H:H,0)),"")</f>
        <v>Glendale</v>
      </c>
      <c r="J937" s="65" t="str">
        <f>IFERROR(INDEX('Docketed Comments'!I:I,MATCH(A937,'Docketed Comments'!H:H,0)),"")</f>
        <v>RCPw/RTOUE</v>
      </c>
      <c r="K937" s="65" t="str">
        <f t="shared" si="29"/>
        <v>✅ On Best Plan</v>
      </c>
      <c r="L937" s="65" t="str">
        <f>IFERROR(INDEX('Docketed Comments'!F:F,MATCH(A937,'Docketed Comments'!H:H,0)),"")</f>
        <v>Senior on a fixed income... I will petition to not pass the rate hike. How much more do you need? Will blood be enough?</v>
      </c>
      <c r="M937" s="137" t="str">
        <f>IFERROR(HYPERLINK(INDEX('Docketed Comments'!G:G,MATCH(A937,'Docketed Comments'!H:H,0)),"📄 View Docket"),"")</f>
        <v>📄 View Docket</v>
      </c>
      <c r="N937" s="135" t="str">
        <f>IFERROR(INDEX('Docketed Comments'!N:N,MATCH(A937,'Docketed Comments'!H:H,0)),"")</f>
        <v>No</v>
      </c>
      <c r="O937" s="135" t="str">
        <f>IFERROR(INDEX('Docketed Comments'!L:L,MATCH(A937,'Docketed Comments'!H:H,0)),"")</f>
        <v>Yes</v>
      </c>
      <c r="P937" s="136">
        <f t="shared" si="28"/>
        <v>0</v>
      </c>
      <c r="Q937" s="140"/>
      <c r="R937" s="144">
        <v>1</v>
      </c>
    </row>
    <row r="938" spans="1:18" ht="21.95" customHeight="1">
      <c r="A938" s="71" t="s">
        <v>4252</v>
      </c>
      <c r="B938" s="69"/>
      <c r="C938" s="70"/>
      <c r="D938" s="69"/>
      <c r="E938" s="69"/>
      <c r="F938" s="65"/>
      <c r="G938" s="65" t="s">
        <v>5811</v>
      </c>
      <c r="H938" s="65" t="str">
        <f>IFERROR(INDEX('Docketed Comments'!C:C,MATCH(A938,'Docketed Comments'!H:H,0))&amp;", "&amp;INDEX('Docketed Comments'!B:B,MATCH(A938,'Docketed Comments'!H:H,0)),"")</f>
        <v>Carol, Krukovsky</v>
      </c>
      <c r="I938" s="65" t="str">
        <f>IFERROR(INDEX('Docketed Comments'!D:D,MATCH(A938,'Docketed Comments'!H:H,0)),"")</f>
        <v>Show Low</v>
      </c>
      <c r="J938" s="65" t="str">
        <f>IFERROR(INDEX('Docketed Comments'!I:I,MATCH(A938,'Docketed Comments'!H:H,0)),"")</f>
        <v>R3-47</v>
      </c>
      <c r="K938" s="65" t="str">
        <f t="shared" si="29"/>
        <v>✅ On Best Plan</v>
      </c>
      <c r="L938" s="65" t="str">
        <f>IFERROR(INDEX('Docketed Comments'!F:F,MATCH(A938,'Docketed Comments'!H:H,0)),"")</f>
        <v xml:space="preserve">Aps has raised our bills enough they need to be stopped people on social security can't afford it </v>
      </c>
      <c r="M938" s="137" t="str">
        <f>IFERROR(HYPERLINK(INDEX('Docketed Comments'!G:G,MATCH(A938,'Docketed Comments'!H:H,0)),"📄 View Docket"),"")</f>
        <v>📄 View Docket</v>
      </c>
      <c r="N938" s="135" t="str">
        <f>IFERROR(INDEX('Docketed Comments'!N:N,MATCH(A938,'Docketed Comments'!H:H,0)),"")</f>
        <v>No</v>
      </c>
      <c r="O938" s="135" t="str">
        <f>IFERROR(INDEX('Docketed Comments'!L:L,MATCH(A938,'Docketed Comments'!H:H,0)),"")</f>
        <v>Yes</v>
      </c>
      <c r="P938" s="136">
        <f t="shared" si="28"/>
        <v>0</v>
      </c>
      <c r="Q938" s="140"/>
      <c r="R938" s="144">
        <v>1</v>
      </c>
    </row>
    <row r="939" spans="1:18" ht="21.95" customHeight="1">
      <c r="A939" s="71" t="s">
        <v>4255</v>
      </c>
      <c r="B939" s="69"/>
      <c r="C939" s="70"/>
      <c r="D939" s="69"/>
      <c r="E939" s="69"/>
      <c r="F939" s="65"/>
      <c r="G939" s="65" t="s">
        <v>5811</v>
      </c>
      <c r="H939" s="65" t="str">
        <f>IFERROR(INDEX('Docketed Comments'!C:C,MATCH(A939,'Docketed Comments'!H:H,0))&amp;", "&amp;INDEX('Docketed Comments'!B:B,MATCH(A939,'Docketed Comments'!H:H,0)),"")</f>
        <v>Danica, Taylor</v>
      </c>
      <c r="I939" s="65" t="str">
        <f>IFERROR(INDEX('Docketed Comments'!D:D,MATCH(A939,'Docketed Comments'!H:H,0)),"")</f>
        <v>Surprise</v>
      </c>
      <c r="J939" s="65" t="str">
        <f>IFERROR(INDEX('Docketed Comments'!I:I,MATCH(A939,'Docketed Comments'!H:H,0)),"")</f>
        <v>R3-47</v>
      </c>
      <c r="K939" s="65" t="str">
        <f t="shared" si="29"/>
        <v>✅ On Best Plan</v>
      </c>
      <c r="L939" s="65" t="str">
        <f>IFERROR(INDEX('Docketed Comments'!F:F,MATCH(A939,'Docketed Comments'!H:H,0)),"")</f>
        <v>Utility prices are high enough and your profit margin is also high enough.</v>
      </c>
      <c r="M939" s="137" t="str">
        <f>IFERROR(HYPERLINK(INDEX('Docketed Comments'!G:G,MATCH(A939,'Docketed Comments'!H:H,0)),"📄 View Docket"),"")</f>
        <v>📄 View Docket</v>
      </c>
      <c r="N939" s="135" t="str">
        <f>IFERROR(INDEX('Docketed Comments'!N:N,MATCH(A939,'Docketed Comments'!H:H,0)),"")</f>
        <v>No</v>
      </c>
      <c r="O939" s="135" t="str">
        <f>IFERROR(INDEX('Docketed Comments'!L:L,MATCH(A939,'Docketed Comments'!H:H,0)),"")</f>
        <v>Yes</v>
      </c>
      <c r="P939" s="136">
        <f t="shared" si="28"/>
        <v>0</v>
      </c>
      <c r="Q939" s="140"/>
      <c r="R939" s="144">
        <v>1</v>
      </c>
    </row>
    <row r="940" spans="1:18" ht="21.95" customHeight="1">
      <c r="A940" s="71" t="s">
        <v>4262</v>
      </c>
      <c r="B940" s="69"/>
      <c r="C940" s="70"/>
      <c r="D940" s="69"/>
      <c r="E940" s="69"/>
      <c r="F940" s="65"/>
      <c r="G940" s="65" t="s">
        <v>5811</v>
      </c>
      <c r="H940" s="65" t="str">
        <f>IFERROR(INDEX('Docketed Comments'!C:C,MATCH(A940,'Docketed Comments'!H:H,0))&amp;", "&amp;INDEX('Docketed Comments'!B:B,MATCH(A940,'Docketed Comments'!H:H,0)),"")</f>
        <v>William, Foutch</v>
      </c>
      <c r="I940" s="65" t="str">
        <f>IFERROR(INDEX('Docketed Comments'!D:D,MATCH(A940,'Docketed Comments'!H:H,0)),"")</f>
        <v>Glendale</v>
      </c>
      <c r="J940" s="65" t="str">
        <f>IFERROR(INDEX('Docketed Comments'!I:I,MATCH(A940,'Docketed Comments'!H:H,0)),"")</f>
        <v>R3-47</v>
      </c>
      <c r="K940" s="65" t="str">
        <f t="shared" si="29"/>
        <v>✅ On Best Plan</v>
      </c>
      <c r="L940" s="65" t="str">
        <f>IFERROR(INDEX('Docketed Comments'!F:F,MATCH(A940,'Docketed Comments'!H:H,0)),"")</f>
        <v xml:space="preserve"> Everytime we turn around our rates go up. Enough is enough</v>
      </c>
      <c r="M940" s="137" t="str">
        <f>IFERROR(HYPERLINK(INDEX('Docketed Comments'!G:G,MATCH(A940,'Docketed Comments'!H:H,0)),"📄 View Docket"),"")</f>
        <v>📄 View Docket</v>
      </c>
      <c r="N940" s="135" t="str">
        <f>IFERROR(INDEX('Docketed Comments'!N:N,MATCH(A940,'Docketed Comments'!H:H,0)),"")</f>
        <v>No</v>
      </c>
      <c r="O940" s="135" t="str">
        <f>IFERROR(INDEX('Docketed Comments'!L:L,MATCH(A940,'Docketed Comments'!H:H,0)),"")</f>
        <v>Yes</v>
      </c>
      <c r="P940" s="136">
        <f t="shared" si="28"/>
        <v>0</v>
      </c>
      <c r="Q940" s="140"/>
      <c r="R940" s="144">
        <v>1</v>
      </c>
    </row>
    <row r="941" spans="1:18" ht="21.95" customHeight="1">
      <c r="A941" s="71" t="s">
        <v>4271</v>
      </c>
      <c r="B941" s="69"/>
      <c r="C941" s="70"/>
      <c r="D941" s="69"/>
      <c r="E941" s="69"/>
      <c r="F941" s="65"/>
      <c r="G941" s="65" t="s">
        <v>5811</v>
      </c>
      <c r="H941" s="65" t="str">
        <f>IFERROR(INDEX('Docketed Comments'!C:C,MATCH(A941,'Docketed Comments'!H:H,0))&amp;", "&amp;INDEX('Docketed Comments'!B:B,MATCH(A941,'Docketed Comments'!H:H,0)),"")</f>
        <v>Wayne, Klaus</v>
      </c>
      <c r="I941" s="65" t="str">
        <f>IFERROR(INDEX('Docketed Comments'!D:D,MATCH(A941,'Docketed Comments'!H:H,0)),"")</f>
        <v>Sun City</v>
      </c>
      <c r="J941" s="65" t="str">
        <f>IFERROR(INDEX('Docketed Comments'!I:I,MATCH(A941,'Docketed Comments'!H:H,0)),"")</f>
        <v>R-2</v>
      </c>
      <c r="K941" s="65" t="str">
        <f t="shared" si="29"/>
        <v>⚠ Frozen Plan</v>
      </c>
      <c r="L941" s="65" t="str">
        <f>IFERROR(INDEX('Docketed Comments'!F:F,MATCH(A941,'Docketed Comments'!H:H,0)),"")</f>
        <v>Don't raise rates!</v>
      </c>
      <c r="M941" s="137" t="str">
        <f>IFERROR(HYPERLINK(INDEX('Docketed Comments'!G:G,MATCH(A941,'Docketed Comments'!H:H,0)),"📄 View Docket"),"")</f>
        <v>📄 View Docket</v>
      </c>
      <c r="N941" s="135" t="str">
        <f>IFERROR(INDEX('Docketed Comments'!N:N,MATCH(A941,'Docketed Comments'!H:H,0)),"")</f>
        <v>No</v>
      </c>
      <c r="O941" s="135" t="str">
        <f>IFERROR(INDEX('Docketed Comments'!L:L,MATCH(A941,'Docketed Comments'!H:H,0)),"")</f>
        <v>Frozen Plan</v>
      </c>
      <c r="P941" s="136">
        <f t="shared" si="28"/>
        <v>0</v>
      </c>
      <c r="Q941" s="140"/>
      <c r="R941" s="144">
        <v>1</v>
      </c>
    </row>
    <row r="942" spans="1:18" ht="21.95" customHeight="1">
      <c r="A942" s="71" t="s">
        <v>4280</v>
      </c>
      <c r="B942" s="69"/>
      <c r="C942" s="70"/>
      <c r="D942" s="69"/>
      <c r="E942" s="69"/>
      <c r="F942" s="65"/>
      <c r="G942" s="65" t="s">
        <v>5811</v>
      </c>
      <c r="H942" s="65" t="str">
        <f>IFERROR(INDEX('Docketed Comments'!C:C,MATCH(A942,'Docketed Comments'!H:H,0))&amp;", "&amp;INDEX('Docketed Comments'!B:B,MATCH(A942,'Docketed Comments'!H:H,0)),"")</f>
        <v>Kelly, Brewer</v>
      </c>
      <c r="I942" s="65" t="str">
        <f>IFERROR(INDEX('Docketed Comments'!D:D,MATCH(A942,'Docketed Comments'!H:H,0)),"")</f>
        <v>Prescott</v>
      </c>
      <c r="J942" s="65" t="str">
        <f>IFERROR(INDEX('Docketed Comments'!I:I,MATCH(A942,'Docketed Comments'!H:H,0)),"")</f>
        <v>R-XS</v>
      </c>
      <c r="K942" s="65" t="str">
        <f t="shared" si="29"/>
        <v>✅ On Best Plan</v>
      </c>
      <c r="L942" s="65" t="str">
        <f>IFERROR(INDEX('Docketed Comments'!F:F,MATCH(A942,'Docketed Comments'!H:H,0)),"")</f>
        <v>No price increase. APS is price gauging. They spent millions to keep solar energy out of Arizona.</v>
      </c>
      <c r="M942" s="137" t="str">
        <f>IFERROR(HYPERLINK(INDEX('Docketed Comments'!G:G,MATCH(A942,'Docketed Comments'!H:H,0)),"📄 View Docket"),"")</f>
        <v>📄 View Docket</v>
      </c>
      <c r="N942" s="135" t="str">
        <f>IFERROR(INDEX('Docketed Comments'!N:N,MATCH(A942,'Docketed Comments'!H:H,0)),"")</f>
        <v>No</v>
      </c>
      <c r="O942" s="135" t="str">
        <f>IFERROR(INDEX('Docketed Comments'!L:L,MATCH(A942,'Docketed Comments'!H:H,0)),"")</f>
        <v>Yes</v>
      </c>
      <c r="P942" s="136">
        <f t="shared" si="28"/>
        <v>0</v>
      </c>
      <c r="Q942" s="140"/>
      <c r="R942" s="144">
        <v>1</v>
      </c>
    </row>
    <row r="943" spans="1:18" ht="21.95" customHeight="1">
      <c r="A943" s="71" t="s">
        <v>4283</v>
      </c>
      <c r="B943" s="69"/>
      <c r="C943" s="70"/>
      <c r="D943" s="69"/>
      <c r="E943" s="69"/>
      <c r="F943" s="65"/>
      <c r="G943" s="65" t="s">
        <v>5811</v>
      </c>
      <c r="H943" s="65" t="str">
        <f>IFERROR(INDEX('Docketed Comments'!C:C,MATCH(A943,'Docketed Comments'!H:H,0))&amp;", "&amp;INDEX('Docketed Comments'!B:B,MATCH(A943,'Docketed Comments'!H:H,0)),"")</f>
        <v>Tracy, Jones</v>
      </c>
      <c r="I943" s="65" t="str">
        <f>IFERROR(INDEX('Docketed Comments'!D:D,MATCH(A943,'Docketed Comments'!H:H,0)),"")</f>
        <v>Phoenix</v>
      </c>
      <c r="J943" s="65" t="str">
        <f>IFERROR(INDEX('Docketed Comments'!I:I,MATCH(A943,'Docketed Comments'!H:H,0)),"")</f>
        <v>R3-47</v>
      </c>
      <c r="K943" s="65" t="str">
        <f t="shared" si="29"/>
        <v>✅ On Best Plan</v>
      </c>
      <c r="L943" s="65" t="str">
        <f>IFERROR(INDEX('Docketed Comments'!F:F,MATCH(A943,'Docketed Comments'!H:H,0)),"")</f>
        <v>Stop this current rate hike</v>
      </c>
      <c r="M943" s="137" t="str">
        <f>IFERROR(HYPERLINK(INDEX('Docketed Comments'!G:G,MATCH(A943,'Docketed Comments'!H:H,0)),"📄 View Docket"),"")</f>
        <v>📄 View Docket</v>
      </c>
      <c r="N943" s="135" t="str">
        <f>IFERROR(INDEX('Docketed Comments'!N:N,MATCH(A943,'Docketed Comments'!H:H,0)),"")</f>
        <v>No</v>
      </c>
      <c r="O943" s="135" t="str">
        <f>IFERROR(INDEX('Docketed Comments'!L:L,MATCH(A943,'Docketed Comments'!H:H,0)),"")</f>
        <v>Yes</v>
      </c>
      <c r="P943" s="136">
        <f t="shared" si="28"/>
        <v>0</v>
      </c>
      <c r="Q943" s="140"/>
      <c r="R943" s="144">
        <v>1</v>
      </c>
    </row>
    <row r="944" spans="1:18" ht="21.95" customHeight="1">
      <c r="A944" s="71" t="s">
        <v>4290</v>
      </c>
      <c r="B944" s="69"/>
      <c r="C944" s="70"/>
      <c r="D944" s="69"/>
      <c r="E944" s="69"/>
      <c r="F944" s="65"/>
      <c r="G944" s="65" t="s">
        <v>5811</v>
      </c>
      <c r="H944" s="65" t="str">
        <f>IFERROR(INDEX('Docketed Comments'!C:C,MATCH(A944,'Docketed Comments'!H:H,0))&amp;", "&amp;INDEX('Docketed Comments'!B:B,MATCH(A944,'Docketed Comments'!H:H,0)),"")</f>
        <v>Drayanna, Masingale</v>
      </c>
      <c r="I944" s="65" t="str">
        <f>IFERROR(INDEX('Docketed Comments'!D:D,MATCH(A944,'Docketed Comments'!H:H,0)),"")</f>
        <v>Phoenix</v>
      </c>
      <c r="J944" s="65" t="str">
        <f>IFERROR(INDEX('Docketed Comments'!I:I,MATCH(A944,'Docketed Comments'!H:H,0)),"")</f>
        <v>R-XS</v>
      </c>
      <c r="K944" s="65" t="str">
        <f t="shared" si="29"/>
        <v>✅ On Best Plan</v>
      </c>
      <c r="L944" s="65" t="str">
        <f>IFERROR(INDEX('Docketed Comments'!F:F,MATCH(A944,'Docketed Comments'!H:H,0)),"")</f>
        <v>Seniors; We are already down to remen daily if we want our Rx or no meds if we eat a roast.</v>
      </c>
      <c r="M944" s="137" t="str">
        <f>IFERROR(HYPERLINK(INDEX('Docketed Comments'!G:G,MATCH(A944,'Docketed Comments'!H:H,0)),"📄 View Docket"),"")</f>
        <v>📄 View Docket</v>
      </c>
      <c r="N944" s="135" t="str">
        <f>IFERROR(INDEX('Docketed Comments'!N:N,MATCH(A944,'Docketed Comments'!H:H,0)),"")</f>
        <v>No</v>
      </c>
      <c r="O944" s="135" t="str">
        <f>IFERROR(INDEX('Docketed Comments'!L:L,MATCH(A944,'Docketed Comments'!H:H,0)),"")</f>
        <v>Yes</v>
      </c>
      <c r="P944" s="136">
        <f t="shared" si="28"/>
        <v>0</v>
      </c>
      <c r="Q944" s="140"/>
      <c r="R944" s="144">
        <v>1</v>
      </c>
    </row>
    <row r="945" spans="1:18" ht="21.95" customHeight="1">
      <c r="A945" s="71" t="s">
        <v>4295</v>
      </c>
      <c r="B945" s="69"/>
      <c r="C945" s="70"/>
      <c r="D945" s="69"/>
      <c r="E945" s="69"/>
      <c r="F945" s="65"/>
      <c r="G945" s="65" t="s">
        <v>5811</v>
      </c>
      <c r="H945" s="65" t="str">
        <f>IFERROR(INDEX('Docketed Comments'!C:C,MATCH(A945,'Docketed Comments'!H:H,0))&amp;", "&amp;INDEX('Docketed Comments'!B:B,MATCH(A945,'Docketed Comments'!H:H,0)),"")</f>
        <v>Nikki, Rasor</v>
      </c>
      <c r="I945" s="65" t="str">
        <f>IFERROR(INDEX('Docketed Comments'!D:D,MATCH(A945,'Docketed Comments'!H:H,0)),"")</f>
        <v>Goodyear</v>
      </c>
      <c r="J945" s="65" t="str">
        <f>IFERROR(INDEX('Docketed Comments'!I:I,MATCH(A945,'Docketed Comments'!H:H,0)),"")</f>
        <v>R-2</v>
      </c>
      <c r="K945" s="65" t="str">
        <f t="shared" si="29"/>
        <v>⚠ Frozen Plan</v>
      </c>
      <c r="L945" s="65" t="str">
        <f>IFERROR(INDEX('Docketed Comments'!F:F,MATCH(A945,'Docketed Comments'!H:H,0)),"")</f>
        <v>Against yet ANOTHER rate increase.</v>
      </c>
      <c r="M945" s="137" t="str">
        <f>IFERROR(HYPERLINK(INDEX('Docketed Comments'!G:G,MATCH(A945,'Docketed Comments'!H:H,0)),"📄 View Docket"),"")</f>
        <v>📄 View Docket</v>
      </c>
      <c r="N945" s="135" t="str">
        <f>IFERROR(INDEX('Docketed Comments'!N:N,MATCH(A945,'Docketed Comments'!H:H,0)),"")</f>
        <v>No</v>
      </c>
      <c r="O945" s="135" t="str">
        <f>IFERROR(INDEX('Docketed Comments'!L:L,MATCH(A945,'Docketed Comments'!H:H,0)),"")</f>
        <v>Frozen Plan</v>
      </c>
      <c r="P945" s="136">
        <f t="shared" si="28"/>
        <v>0</v>
      </c>
      <c r="Q945" s="140"/>
      <c r="R945" s="144">
        <v>1</v>
      </c>
    </row>
    <row r="946" spans="1:18" ht="21.95" customHeight="1">
      <c r="A946" s="71" t="s">
        <v>4299</v>
      </c>
      <c r="B946" s="69"/>
      <c r="C946" s="70"/>
      <c r="D946" s="69"/>
      <c r="E946" s="69"/>
      <c r="F946" s="65"/>
      <c r="G946" s="65" t="s">
        <v>5811</v>
      </c>
      <c r="H946" s="65" t="str">
        <f>IFERROR(INDEX('Docketed Comments'!C:C,MATCH(A946,'Docketed Comments'!H:H,0))&amp;", "&amp;INDEX('Docketed Comments'!B:B,MATCH(A946,'Docketed Comments'!H:H,0)),"")</f>
        <v>Kelli, Harris</v>
      </c>
      <c r="I946" s="65" t="str">
        <f>IFERROR(INDEX('Docketed Comments'!D:D,MATCH(A946,'Docketed Comments'!H:H,0)),"")</f>
        <v>Goodyear</v>
      </c>
      <c r="J946" s="65" t="str">
        <f>IFERROR(INDEX('Docketed Comments'!I:I,MATCH(A946,'Docketed Comments'!H:H,0)),"")</f>
        <v>RTOUE47</v>
      </c>
      <c r="K946" s="65" t="str">
        <f t="shared" si="29"/>
        <v>✅ On Best Plan</v>
      </c>
      <c r="L946" s="65" t="str">
        <f>IFERROR(INDEX('Docketed Comments'!F:F,MATCH(A946,'Docketed Comments'!H:H,0)),"")</f>
        <v>APS is receiving over millions of dollars and this price increase would negatively affect our families</v>
      </c>
      <c r="M946" s="137" t="str">
        <f>IFERROR(HYPERLINK(INDEX('Docketed Comments'!G:G,MATCH(A946,'Docketed Comments'!H:H,0)),"📄 View Docket"),"")</f>
        <v>📄 View Docket</v>
      </c>
      <c r="N946" s="135" t="str">
        <f>IFERROR(INDEX('Docketed Comments'!N:N,MATCH(A946,'Docketed Comments'!H:H,0)),"")</f>
        <v>No</v>
      </c>
      <c r="O946" s="135" t="str">
        <f>IFERROR(INDEX('Docketed Comments'!L:L,MATCH(A946,'Docketed Comments'!H:H,0)),"")</f>
        <v>Yes</v>
      </c>
      <c r="P946" s="136">
        <f t="shared" si="28"/>
        <v>0</v>
      </c>
      <c r="Q946" s="140"/>
      <c r="R946" s="144">
        <v>1</v>
      </c>
    </row>
    <row r="947" spans="1:18" ht="21.95" customHeight="1">
      <c r="A947" s="71" t="s">
        <v>4302</v>
      </c>
      <c r="B947" s="69"/>
      <c r="C947" s="70"/>
      <c r="D947" s="69"/>
      <c r="E947" s="69"/>
      <c r="F947" s="65"/>
      <c r="G947" s="65" t="s">
        <v>5811</v>
      </c>
      <c r="H947" s="65" t="str">
        <f>IFERROR(INDEX('Docketed Comments'!C:C,MATCH(A947,'Docketed Comments'!H:H,0))&amp;", "&amp;INDEX('Docketed Comments'!B:B,MATCH(A947,'Docketed Comments'!H:H,0)),"")</f>
        <v>Dan, Guerena</v>
      </c>
      <c r="I947" s="65" t="str">
        <f>IFERROR(INDEX('Docketed Comments'!D:D,MATCH(A947,'Docketed Comments'!H:H,0)),"")</f>
        <v>Globe</v>
      </c>
      <c r="J947" s="65" t="str">
        <f>IFERROR(INDEX('Docketed Comments'!I:I,MATCH(A947,'Docketed Comments'!H:H,0)),"")</f>
        <v>R-XS</v>
      </c>
      <c r="K947" s="65" t="str">
        <f t="shared" si="29"/>
        <v>✅ On Best Plan</v>
      </c>
      <c r="L947" s="65" t="str">
        <f>IFERROR(INDEX('Docketed Comments'!F:F,MATCH(A947,'Docketed Comments'!H:H,0)),"")</f>
        <v>We don't need a rate increase. We pay enough as is. We have other things to pay for as well.</v>
      </c>
      <c r="M947" s="137" t="str">
        <f>IFERROR(HYPERLINK(INDEX('Docketed Comments'!G:G,MATCH(A947,'Docketed Comments'!H:H,0)),"📄 View Docket"),"")</f>
        <v>📄 View Docket</v>
      </c>
      <c r="N947" s="135" t="str">
        <f>IFERROR(INDEX('Docketed Comments'!N:N,MATCH(A947,'Docketed Comments'!H:H,0)),"")</f>
        <v>No</v>
      </c>
      <c r="O947" s="135" t="str">
        <f>IFERROR(INDEX('Docketed Comments'!L:L,MATCH(A947,'Docketed Comments'!H:H,0)),"")</f>
        <v>Yes</v>
      </c>
      <c r="P947" s="136">
        <f t="shared" si="28"/>
        <v>0</v>
      </c>
      <c r="Q947" s="140"/>
      <c r="R947" s="144">
        <v>1</v>
      </c>
    </row>
    <row r="948" spans="1:18" ht="21.95" customHeight="1">
      <c r="A948" s="71" t="s">
        <v>4304</v>
      </c>
      <c r="B948" s="69"/>
      <c r="C948" s="70"/>
      <c r="D948" s="69"/>
      <c r="E948" s="69"/>
      <c r="F948" s="65"/>
      <c r="G948" s="65" t="s">
        <v>5811</v>
      </c>
      <c r="H948" s="65" t="str">
        <f>IFERROR(INDEX('Docketed Comments'!C:C,MATCH(A948,'Docketed Comments'!H:H,0))&amp;", "&amp;INDEX('Docketed Comments'!B:B,MATCH(A948,'Docketed Comments'!H:H,0)),"")</f>
        <v>James, Martin</v>
      </c>
      <c r="I948" s="65" t="str">
        <f>IFERROR(INDEX('Docketed Comments'!D:D,MATCH(A948,'Docketed Comments'!H:H,0)),"")</f>
        <v>Glendale</v>
      </c>
      <c r="J948" s="65" t="str">
        <f>IFERROR(INDEX('Docketed Comments'!I:I,MATCH(A948,'Docketed Comments'!H:H,0)),"")</f>
        <v>EPR6w/ET-2</v>
      </c>
      <c r="K948" s="65" t="str">
        <f t="shared" si="29"/>
        <v>⚠ Frozen Plan</v>
      </c>
      <c r="L948" s="65" t="str">
        <f>IFERROR(INDEX('Docketed Comments'!F:F,MATCH(A948,'Docketed Comments'!H:H,0)),"")</f>
        <v xml:space="preserve"> l'm a senior citizen on a fixed income and they are already profiting millions of dollars a year</v>
      </c>
      <c r="M948" s="137" t="str">
        <f>IFERROR(HYPERLINK(INDEX('Docketed Comments'!G:G,MATCH(A948,'Docketed Comments'!H:H,0)),"📄 View Docket"),"")</f>
        <v>📄 View Docket</v>
      </c>
      <c r="N948" s="135" t="str">
        <f>IFERROR(INDEX('Docketed Comments'!N:N,MATCH(A948,'Docketed Comments'!H:H,0)),"")</f>
        <v>No</v>
      </c>
      <c r="O948" s="135" t="str">
        <f>IFERROR(INDEX('Docketed Comments'!L:L,MATCH(A948,'Docketed Comments'!H:H,0)),"")</f>
        <v>Frozen Plan</v>
      </c>
      <c r="P948" s="136">
        <f t="shared" si="28"/>
        <v>0</v>
      </c>
      <c r="Q948" s="140"/>
      <c r="R948" s="144">
        <v>1</v>
      </c>
    </row>
    <row r="949" spans="1:18" ht="21.95" customHeight="1">
      <c r="A949" s="71" t="s">
        <v>4314</v>
      </c>
      <c r="B949" s="69"/>
      <c r="C949" s="70"/>
      <c r="D949" s="69"/>
      <c r="E949" s="69"/>
      <c r="F949" s="65"/>
      <c r="G949" s="65" t="s">
        <v>5811</v>
      </c>
      <c r="H949" s="65" t="str">
        <f>IFERROR(INDEX('Docketed Comments'!C:C,MATCH(A949,'Docketed Comments'!H:H,0))&amp;", "&amp;INDEX('Docketed Comments'!B:B,MATCH(A949,'Docketed Comments'!H:H,0)),"")</f>
        <v>Sharice, Terrones</v>
      </c>
      <c r="I949" s="65" t="str">
        <f>IFERROR(INDEX('Docketed Comments'!D:D,MATCH(A949,'Docketed Comments'!H:H,0)),"")</f>
        <v>Peoria</v>
      </c>
      <c r="J949" s="65" t="str">
        <f>IFERROR(INDEX('Docketed Comments'!I:I,MATCH(A949,'Docketed Comments'!H:H,0)),"")</f>
        <v>R-2</v>
      </c>
      <c r="K949" s="65" t="str">
        <f t="shared" si="29"/>
        <v>⚠ Frozen Plan</v>
      </c>
      <c r="L949" s="65" t="str">
        <f>IFERROR(INDEX('Docketed Comments'!F:F,MATCH(A949,'Docketed Comments'!H:H,0)),"")</f>
        <v>I urge the commission and APS to consider alternative solutions that do not disproportionately impact customers</v>
      </c>
      <c r="M949" s="137" t="str">
        <f>IFERROR(HYPERLINK(INDEX('Docketed Comments'!G:G,MATCH(A949,'Docketed Comments'!H:H,0)),"📄 View Docket"),"")</f>
        <v>📄 View Docket</v>
      </c>
      <c r="N949" s="135" t="str">
        <f>IFERROR(INDEX('Docketed Comments'!N:N,MATCH(A949,'Docketed Comments'!H:H,0)),"")</f>
        <v>No</v>
      </c>
      <c r="O949" s="135" t="str">
        <f>IFERROR(INDEX('Docketed Comments'!L:L,MATCH(A949,'Docketed Comments'!H:H,0)),"")</f>
        <v>Frozen Plan</v>
      </c>
      <c r="P949" s="136">
        <f t="shared" si="28"/>
        <v>0</v>
      </c>
      <c r="Q949" s="140"/>
      <c r="R949" s="144">
        <v>1</v>
      </c>
    </row>
    <row r="950" spans="1:18" ht="21.95" customHeight="1">
      <c r="A950" s="71" t="s">
        <v>4325</v>
      </c>
      <c r="B950" s="69"/>
      <c r="C950" s="70"/>
      <c r="D950" s="69"/>
      <c r="E950" s="69"/>
      <c r="F950" s="65"/>
      <c r="G950" s="65" t="s">
        <v>5811</v>
      </c>
      <c r="H950" s="65" t="str">
        <f>IFERROR(INDEX('Docketed Comments'!C:C,MATCH(A950,'Docketed Comments'!H:H,0))&amp;", "&amp;INDEX('Docketed Comments'!B:B,MATCH(A950,'Docketed Comments'!H:H,0)),"")</f>
        <v>Lisa, Colcord</v>
      </c>
      <c r="I950" s="65" t="str">
        <f>IFERROR(INDEX('Docketed Comments'!D:D,MATCH(A950,'Docketed Comments'!H:H,0)),"")</f>
        <v>Phoenix</v>
      </c>
      <c r="J950" s="65" t="str">
        <f>IFERROR(INDEX('Docketed Comments'!I:I,MATCH(A950,'Docketed Comments'!H:H,0)),"")</f>
        <v>EPR6w/ET-2</v>
      </c>
      <c r="K950" s="65" t="str">
        <f t="shared" si="29"/>
        <v>⚠ Frozen Plan</v>
      </c>
      <c r="L950" s="65" t="str">
        <f>IFERROR(INDEX('Docketed Comments'!F:F,MATCH(A950,'Docketed Comments'!H:H,0)),"")</f>
        <v>APS already makes millions off of us. Corporate greed is a pox on society and the people deserve better.</v>
      </c>
      <c r="M950" s="137" t="str">
        <f>IFERROR(HYPERLINK(INDEX('Docketed Comments'!G:G,MATCH(A950,'Docketed Comments'!H:H,0)),"📄 View Docket"),"")</f>
        <v>📄 View Docket</v>
      </c>
      <c r="N950" s="135" t="str">
        <f>IFERROR(INDEX('Docketed Comments'!N:N,MATCH(A950,'Docketed Comments'!H:H,0)),"")</f>
        <v>No</v>
      </c>
      <c r="O950" s="135" t="str">
        <f>IFERROR(INDEX('Docketed Comments'!L:L,MATCH(A950,'Docketed Comments'!H:H,0)),"")</f>
        <v>Frozen Plan</v>
      </c>
      <c r="P950" s="136">
        <f t="shared" si="28"/>
        <v>0</v>
      </c>
      <c r="Q950" s="140"/>
      <c r="R950" s="144">
        <v>1</v>
      </c>
    </row>
    <row r="951" spans="1:18" ht="21.95" customHeight="1">
      <c r="A951" s="71" t="s">
        <v>4331</v>
      </c>
      <c r="B951" s="69"/>
      <c r="C951" s="70"/>
      <c r="D951" s="69"/>
      <c r="E951" s="69"/>
      <c r="F951" s="65"/>
      <c r="G951" s="65" t="s">
        <v>5811</v>
      </c>
      <c r="H951" s="65" t="str">
        <f>IFERROR(INDEX('Docketed Comments'!C:C,MATCH(A951,'Docketed Comments'!H:H,0))&amp;", "&amp;INDEX('Docketed Comments'!B:B,MATCH(A951,'Docketed Comments'!H:H,0)),"")</f>
        <v>Laura, Rothanburg</v>
      </c>
      <c r="I951" s="65" t="str">
        <f>IFERROR(INDEX('Docketed Comments'!D:D,MATCH(A951,'Docketed Comments'!H:H,0)),"")</f>
        <v>Phoenix</v>
      </c>
      <c r="J951" s="65" t="str">
        <f>IFERROR(INDEX('Docketed Comments'!I:I,MATCH(A951,'Docketed Comments'!H:H,0)),"")</f>
        <v>RCPw/RTOUE47</v>
      </c>
      <c r="K951" s="65" t="str">
        <f t="shared" si="29"/>
        <v>✅ On Best Plan</v>
      </c>
      <c r="L951" s="65" t="str">
        <f>IFERROR(INDEX('Docketed Comments'!F:F,MATCH(A951,'Docketed Comments'!H:H,0)),"")</f>
        <v>I have not turned my heat on this winter because I can't afford it. Yet their pockets and those of stockholders get fatter</v>
      </c>
      <c r="M951" s="137" t="str">
        <f>IFERROR(HYPERLINK(INDEX('Docketed Comments'!G:G,MATCH(A951,'Docketed Comments'!H:H,0)),"📄 View Docket"),"")</f>
        <v>📄 View Docket</v>
      </c>
      <c r="N951" s="135" t="str">
        <f>IFERROR(INDEX('Docketed Comments'!N:N,MATCH(A951,'Docketed Comments'!H:H,0)),"")</f>
        <v>No</v>
      </c>
      <c r="O951" s="135" t="str">
        <f>IFERROR(INDEX('Docketed Comments'!L:L,MATCH(A951,'Docketed Comments'!H:H,0)),"")</f>
        <v>Yes</v>
      </c>
      <c r="P951" s="136">
        <f t="shared" si="28"/>
        <v>0</v>
      </c>
      <c r="Q951" s="140"/>
      <c r="R951" s="144">
        <v>1</v>
      </c>
    </row>
    <row r="952" spans="1:18" ht="21.95" customHeight="1">
      <c r="A952" s="71" t="s">
        <v>4335</v>
      </c>
      <c r="B952" s="69"/>
      <c r="C952" s="70"/>
      <c r="D952" s="69"/>
      <c r="E952" s="69"/>
      <c r="F952" s="65"/>
      <c r="G952" s="65" t="s">
        <v>5811</v>
      </c>
      <c r="H952" s="65" t="str">
        <f>IFERROR(INDEX('Docketed Comments'!C:C,MATCH(A952,'Docketed Comments'!H:H,0))&amp;", "&amp;INDEX('Docketed Comments'!B:B,MATCH(A952,'Docketed Comments'!H:H,0)),"")</f>
        <v>Christina, Sisco</v>
      </c>
      <c r="I952" s="65" t="str">
        <f>IFERROR(INDEX('Docketed Comments'!D:D,MATCH(A952,'Docketed Comments'!H:H,0)),"")</f>
        <v>Peoria</v>
      </c>
      <c r="J952" s="65" t="str">
        <f>IFERROR(INDEX('Docketed Comments'!I:I,MATCH(A952,'Docketed Comments'!H:H,0)),"")</f>
        <v>EPR6w/ET-2</v>
      </c>
      <c r="K952" s="65" t="str">
        <f t="shared" si="29"/>
        <v>⚠ Frozen Plan</v>
      </c>
      <c r="L952" s="65" t="str">
        <f>IFERROR(INDEX('Docketed Comments'!F:F,MATCH(A952,'Docketed Comments'!H:H,0)),"")</f>
        <v xml:space="preserve">My husband and I are retired. We can barely pay for our utilities, food, mortgage and meds. </v>
      </c>
      <c r="M952" s="137" t="str">
        <f>IFERROR(HYPERLINK(INDEX('Docketed Comments'!G:G,MATCH(A952,'Docketed Comments'!H:H,0)),"📄 View Docket"),"")</f>
        <v>📄 View Docket</v>
      </c>
      <c r="N952" s="135" t="str">
        <f>IFERROR(INDEX('Docketed Comments'!N:N,MATCH(A952,'Docketed Comments'!H:H,0)),"")</f>
        <v>No</v>
      </c>
      <c r="O952" s="135" t="str">
        <f>IFERROR(INDEX('Docketed Comments'!L:L,MATCH(A952,'Docketed Comments'!H:H,0)),"")</f>
        <v>Frozen Plan</v>
      </c>
      <c r="P952" s="136">
        <f t="shared" si="28"/>
        <v>0</v>
      </c>
      <c r="Q952" s="140"/>
      <c r="R952" s="144">
        <v>1</v>
      </c>
    </row>
    <row r="953" spans="1:18" ht="21.95" customHeight="1">
      <c r="A953" s="71" t="s">
        <v>5423</v>
      </c>
      <c r="B953" s="69"/>
      <c r="C953" s="70"/>
      <c r="D953" s="69"/>
      <c r="E953" s="69"/>
      <c r="F953" s="65"/>
      <c r="G953" s="65" t="s">
        <v>5811</v>
      </c>
      <c r="H953" s="65" t="str">
        <f>IFERROR(INDEX('Docketed Comments'!C:C,MATCH(A953,'Docketed Comments'!H:H,0))&amp;", "&amp;INDEX('Docketed Comments'!B:B,MATCH(A953,'Docketed Comments'!H:H,0)),"")</f>
        <v>Michelle, Perryman</v>
      </c>
      <c r="I953" s="65" t="str">
        <f>IFERROR(INDEX('Docketed Comments'!D:D,MATCH(A953,'Docketed Comments'!H:H,0)),"")</f>
        <v>Phoenix</v>
      </c>
      <c r="J953" s="65" t="str">
        <f>IFERROR(INDEX('Docketed Comments'!I:I,MATCH(A953,'Docketed Comments'!H:H,0)),"")</f>
        <v>R3-47</v>
      </c>
      <c r="K953" s="65" t="str">
        <f t="shared" si="29"/>
        <v>✅ On Best Plan</v>
      </c>
      <c r="L953" s="65" t="str">
        <f>IFERROR(INDEX('Docketed Comments'!F:F,MATCH(A953,'Docketed Comments'!H:H,0)),"")</f>
        <v xml:space="preserve">I also believe the higher cost of electricity is caused by electric car use. The country was not prepared for this at all. The grid is too small so APS... make prices higher. </v>
      </c>
      <c r="M953" s="137" t="str">
        <f>IFERROR(HYPERLINK(INDEX('Docketed Comments'!G:G,MATCH(A953,'Docketed Comments'!H:H,0)),"📄 View Docket"),"")</f>
        <v>📄 View Docket</v>
      </c>
      <c r="N953" s="135" t="str">
        <f>IFERROR(INDEX('Docketed Comments'!N:N,MATCH(A953,'Docketed Comments'!H:H,0)),"")</f>
        <v>No</v>
      </c>
      <c r="O953" s="135" t="str">
        <f>IFERROR(INDEX('Docketed Comments'!L:L,MATCH(A953,'Docketed Comments'!H:H,0)),"")</f>
        <v>Yes</v>
      </c>
      <c r="P953" s="136">
        <f t="shared" si="28"/>
        <v>0</v>
      </c>
      <c r="Q953" s="140"/>
      <c r="R953" s="144">
        <v>1</v>
      </c>
    </row>
    <row r="954" spans="1:18" ht="21.95" customHeight="1">
      <c r="A954" s="71" t="s">
        <v>4340</v>
      </c>
      <c r="B954" s="69"/>
      <c r="C954" s="70"/>
      <c r="D954" s="69"/>
      <c r="E954" s="69"/>
      <c r="F954" s="65"/>
      <c r="G954" s="65" t="s">
        <v>5811</v>
      </c>
      <c r="H954" s="65" t="str">
        <f>IFERROR(INDEX('Docketed Comments'!C:C,MATCH(A954,'Docketed Comments'!H:H,0))&amp;", "&amp;INDEX('Docketed Comments'!B:B,MATCH(A954,'Docketed Comments'!H:H,0)),"")</f>
        <v>Ricci, Saliba</v>
      </c>
      <c r="I954" s="65" t="str">
        <f>IFERROR(INDEX('Docketed Comments'!D:D,MATCH(A954,'Docketed Comments'!H:H,0)),"")</f>
        <v>El Mirage</v>
      </c>
      <c r="J954" s="65" t="str">
        <f>IFERROR(INDEX('Docketed Comments'!I:I,MATCH(A954,'Docketed Comments'!H:H,0)),"")</f>
        <v>RCPw/RTOUE</v>
      </c>
      <c r="K954" s="65" t="str">
        <f t="shared" si="29"/>
        <v>✅ On Best Plan</v>
      </c>
      <c r="L954" s="65" t="str">
        <f>IFERROR(INDEX('Docketed Comments'!F:F,MATCH(A954,'Docketed Comments'!H:H,0)),"")</f>
        <v>(APS) already profits millions, but they're trying to raise our prices even more</v>
      </c>
      <c r="M954" s="137" t="str">
        <f>IFERROR(HYPERLINK(INDEX('Docketed Comments'!G:G,MATCH(A954,'Docketed Comments'!H:H,0)),"📄 View Docket"),"")</f>
        <v>📄 View Docket</v>
      </c>
      <c r="N954" s="135" t="str">
        <f>IFERROR(INDEX('Docketed Comments'!N:N,MATCH(A954,'Docketed Comments'!H:H,0)),"")</f>
        <v>No</v>
      </c>
      <c r="O954" s="135" t="str">
        <f>IFERROR(INDEX('Docketed Comments'!L:L,MATCH(A954,'Docketed Comments'!H:H,0)),"")</f>
        <v>Yes</v>
      </c>
      <c r="P954" s="136">
        <f t="shared" si="28"/>
        <v>0</v>
      </c>
      <c r="Q954" s="140"/>
      <c r="R954" s="144">
        <v>1</v>
      </c>
    </row>
    <row r="955" spans="1:18" ht="21.95" customHeight="1">
      <c r="A955" s="71" t="s">
        <v>4344</v>
      </c>
      <c r="B955" s="69"/>
      <c r="C955" s="70"/>
      <c r="D955" s="69"/>
      <c r="E955" s="69"/>
      <c r="F955" s="65"/>
      <c r="G955" s="65" t="s">
        <v>5811</v>
      </c>
      <c r="H955" s="65" t="str">
        <f>IFERROR(INDEX('Docketed Comments'!C:C,MATCH(A955,'Docketed Comments'!H:H,0))&amp;", "&amp;INDEX('Docketed Comments'!B:B,MATCH(A955,'Docketed Comments'!H:H,0)),"")</f>
        <v>Tim, Carson</v>
      </c>
      <c r="I955" s="65" t="str">
        <f>IFERROR(INDEX('Docketed Comments'!D:D,MATCH(A955,'Docketed Comments'!H:H,0)),"")</f>
        <v>Yuma</v>
      </c>
      <c r="J955" s="65" t="str">
        <f>IFERROR(INDEX('Docketed Comments'!I:I,MATCH(A955,'Docketed Comments'!H:H,0)),"")</f>
        <v>RCPw/RTOUE47</v>
      </c>
      <c r="K955" s="65" t="str">
        <f t="shared" si="29"/>
        <v>✅ On Best Plan</v>
      </c>
      <c r="L955" s="65" t="str">
        <f>IFERROR(INDEX('Docketed Comments'!F:F,MATCH(A955,'Docketed Comments'!H:H,0)),"")</f>
        <v>You people keep raising prices having no concern for the customers and are only focused on your shareholders</v>
      </c>
      <c r="M955" s="137" t="str">
        <f>IFERROR(HYPERLINK(INDEX('Docketed Comments'!G:G,MATCH(A955,'Docketed Comments'!H:H,0)),"📄 View Docket"),"")</f>
        <v>📄 View Docket</v>
      </c>
      <c r="N955" s="135" t="str">
        <f>IFERROR(INDEX('Docketed Comments'!N:N,MATCH(A955,'Docketed Comments'!H:H,0)),"")</f>
        <v>No</v>
      </c>
      <c r="O955" s="135" t="str">
        <f>IFERROR(INDEX('Docketed Comments'!L:L,MATCH(A955,'Docketed Comments'!H:H,0)),"")</f>
        <v>Yes</v>
      </c>
      <c r="P955" s="136">
        <f t="shared" si="28"/>
        <v>0</v>
      </c>
      <c r="Q955" s="140"/>
      <c r="R955" s="144">
        <v>1</v>
      </c>
    </row>
    <row r="956" spans="1:18" ht="21.95" customHeight="1">
      <c r="A956" s="71" t="s">
        <v>4347</v>
      </c>
      <c r="B956" s="69"/>
      <c r="C956" s="70"/>
      <c r="D956" s="69"/>
      <c r="E956" s="69"/>
      <c r="F956" s="65"/>
      <c r="G956" s="65" t="s">
        <v>5811</v>
      </c>
      <c r="H956" s="65" t="str">
        <f>IFERROR(INDEX('Docketed Comments'!C:C,MATCH(A956,'Docketed Comments'!H:H,0))&amp;", "&amp;INDEX('Docketed Comments'!B:B,MATCH(A956,'Docketed Comments'!H:H,0)),"")</f>
        <v>Trisha, Sours</v>
      </c>
      <c r="I956" s="65" t="str">
        <f>IFERROR(INDEX('Docketed Comments'!D:D,MATCH(A956,'Docketed Comments'!H:H,0)),"")</f>
        <v>Sun City West</v>
      </c>
      <c r="J956" s="65" t="str">
        <f>IFERROR(INDEX('Docketed Comments'!I:I,MATCH(A956,'Docketed Comments'!H:H,0)),"")</f>
        <v>RCPw/RTOUE47</v>
      </c>
      <c r="K956" s="65" t="str">
        <f t="shared" si="29"/>
        <v>✅ On Best Plan</v>
      </c>
      <c r="L956" s="65" t="str">
        <f>IFERROR(INDEX('Docketed Comments'!F:F,MATCH(A956,'Docketed Comments'!H:H,0)),"")</f>
        <v>No NetZero... Keep energy cheap and affordable and reliable!! Nobody wants blackouts when it's 114 at night time!</v>
      </c>
      <c r="M956" s="137" t="str">
        <f>IFERROR(HYPERLINK(INDEX('Docketed Comments'!G:G,MATCH(A956,'Docketed Comments'!H:H,0)),"📄 View Docket"),"")</f>
        <v>📄 View Docket</v>
      </c>
      <c r="N956" s="135" t="str">
        <f>IFERROR(INDEX('Docketed Comments'!N:N,MATCH(A956,'Docketed Comments'!H:H,0)),"")</f>
        <v>No</v>
      </c>
      <c r="O956" s="135" t="str">
        <f>IFERROR(INDEX('Docketed Comments'!L:L,MATCH(A956,'Docketed Comments'!H:H,0)),"")</f>
        <v>Yes</v>
      </c>
      <c r="P956" s="136">
        <f t="shared" si="28"/>
        <v>0</v>
      </c>
      <c r="Q956" s="140"/>
      <c r="R956" s="144">
        <v>1</v>
      </c>
    </row>
    <row r="957" spans="1:18" ht="21.95" customHeight="1">
      <c r="A957" s="71" t="s">
        <v>4351</v>
      </c>
      <c r="B957" s="69"/>
      <c r="C957" s="70"/>
      <c r="D957" s="69"/>
      <c r="E957" s="69"/>
      <c r="F957" s="65"/>
      <c r="G957" s="65" t="s">
        <v>5811</v>
      </c>
      <c r="H957" s="65" t="str">
        <f>IFERROR(INDEX('Docketed Comments'!C:C,MATCH(A957,'Docketed Comments'!H:H,0))&amp;", "&amp;INDEX('Docketed Comments'!B:B,MATCH(A957,'Docketed Comments'!H:H,0)),"")</f>
        <v>Nancy, Kasten</v>
      </c>
      <c r="I957" s="65" t="str">
        <f>IFERROR(INDEX('Docketed Comments'!D:D,MATCH(A957,'Docketed Comments'!H:H,0)),"")</f>
        <v>Surpsie</v>
      </c>
      <c r="J957" s="65" t="str">
        <f>IFERROR(INDEX('Docketed Comments'!I:I,MATCH(A957,'Docketed Comments'!H:H,0)),"")</f>
        <v>R3-47</v>
      </c>
      <c r="K957" s="65" t="str">
        <f t="shared" si="29"/>
        <v>✅ On Best Plan</v>
      </c>
      <c r="L957" s="65" t="str">
        <f>IFERROR(INDEX('Docketed Comments'!F:F,MATCH(A957,'Docketed Comments'!H:H,0)),"")</f>
        <v>No other company in the world gets to increase rates over 20% in a years time. If you make record profits</v>
      </c>
      <c r="M957" s="137" t="str">
        <f>IFERROR(HYPERLINK(INDEX('Docketed Comments'!G:G,MATCH(A957,'Docketed Comments'!H:H,0)),"📄 View Docket"),"")</f>
        <v>📄 View Docket</v>
      </c>
      <c r="N957" s="135" t="str">
        <f>IFERROR(INDEX('Docketed Comments'!N:N,MATCH(A957,'Docketed Comments'!H:H,0)),"")</f>
        <v>No</v>
      </c>
      <c r="O957" s="135" t="str">
        <f>IFERROR(INDEX('Docketed Comments'!L:L,MATCH(A957,'Docketed Comments'!H:H,0)),"")</f>
        <v>Yes</v>
      </c>
      <c r="P957" s="136">
        <f t="shared" si="28"/>
        <v>0</v>
      </c>
      <c r="Q957" s="140"/>
      <c r="R957" s="144">
        <v>1</v>
      </c>
    </row>
    <row r="958" spans="1:18" ht="21.95" customHeight="1">
      <c r="A958" s="71" t="s">
        <v>4360</v>
      </c>
      <c r="B958" s="69"/>
      <c r="C958" s="70"/>
      <c r="D958" s="69"/>
      <c r="E958" s="69"/>
      <c r="F958" s="65"/>
      <c r="G958" s="65" t="s">
        <v>5811</v>
      </c>
      <c r="H958" s="65" t="str">
        <f>IFERROR(INDEX('Docketed Comments'!C:C,MATCH(A958,'Docketed Comments'!H:H,0))&amp;", "&amp;INDEX('Docketed Comments'!B:B,MATCH(A958,'Docketed Comments'!H:H,0)),"")</f>
        <v>Paul, Mark</v>
      </c>
      <c r="I958" s="65" t="str">
        <f>IFERROR(INDEX('Docketed Comments'!D:D,MATCH(A958,'Docketed Comments'!H:H,0)),"")</f>
        <v>El Mirage</v>
      </c>
      <c r="J958" s="65" t="str">
        <f>IFERROR(INDEX('Docketed Comments'!I:I,MATCH(A958,'Docketed Comments'!H:H,0)),"")</f>
        <v>RCPw/RTOUE47</v>
      </c>
      <c r="K958" s="65" t="str">
        <f t="shared" si="29"/>
        <v>✅ On Best Plan</v>
      </c>
      <c r="L958" s="65" t="str">
        <f>IFERROR(INDEX('Docketed Comments'!F:F,MATCH(A958,'Docketed Comments'!H:H,0)),"")</f>
        <v>Rates have risen every year up to 5% We even have solar and are still paying over 200.00</v>
      </c>
      <c r="M958" s="137" t="str">
        <f>IFERROR(HYPERLINK(INDEX('Docketed Comments'!G:G,MATCH(A958,'Docketed Comments'!H:H,0)),"📄 View Docket"),"")</f>
        <v>📄 View Docket</v>
      </c>
      <c r="N958" s="135" t="str">
        <f>IFERROR(INDEX('Docketed Comments'!N:N,MATCH(A958,'Docketed Comments'!H:H,0)),"")</f>
        <v>No</v>
      </c>
      <c r="O958" s="135" t="str">
        <f>IFERROR(INDEX('Docketed Comments'!L:L,MATCH(A958,'Docketed Comments'!H:H,0)),"")</f>
        <v>Yes</v>
      </c>
      <c r="P958" s="136">
        <f t="shared" si="28"/>
        <v>0</v>
      </c>
      <c r="Q958" s="140"/>
      <c r="R958" s="144">
        <v>1</v>
      </c>
    </row>
    <row r="959" spans="1:18" ht="21.95" customHeight="1">
      <c r="A959" s="71" t="s">
        <v>4364</v>
      </c>
      <c r="B959" s="69"/>
      <c r="C959" s="70"/>
      <c r="D959" s="69"/>
      <c r="E959" s="69"/>
      <c r="F959" s="65"/>
      <c r="G959" s="65" t="s">
        <v>5811</v>
      </c>
      <c r="H959" s="65" t="str">
        <f>IFERROR(INDEX('Docketed Comments'!C:C,MATCH(A959,'Docketed Comments'!H:H,0))&amp;", "&amp;INDEX('Docketed Comments'!B:B,MATCH(A959,'Docketed Comments'!H:H,0)),"")</f>
        <v>Shauna, Jones</v>
      </c>
      <c r="I959" s="65" t="str">
        <f>IFERROR(INDEX('Docketed Comments'!D:D,MATCH(A959,'Docketed Comments'!H:H,0)),"")</f>
        <v>Rimrock</v>
      </c>
      <c r="J959" s="65" t="str">
        <f>IFERROR(INDEX('Docketed Comments'!I:I,MATCH(A959,'Docketed Comments'!H:H,0)),"")</f>
        <v>RTOUE47</v>
      </c>
      <c r="K959" s="65" t="str">
        <f t="shared" si="29"/>
        <v>✅ On Best Plan</v>
      </c>
      <c r="L959" s="65" t="str">
        <f>IFERROR(INDEX('Docketed Comments'!F:F,MATCH(A959,'Docketed Comments'!H:H,0)),"")</f>
        <v>Please don't raise prices I'm already trying my hardest at 64 years old and working restaurants</v>
      </c>
      <c r="M959" s="137" t="str">
        <f>IFERROR(HYPERLINK(INDEX('Docketed Comments'!G:G,MATCH(A959,'Docketed Comments'!H:H,0)),"📄 View Docket"),"")</f>
        <v>📄 View Docket</v>
      </c>
      <c r="N959" s="135" t="str">
        <f>IFERROR(INDEX('Docketed Comments'!N:N,MATCH(A959,'Docketed Comments'!H:H,0)),"")</f>
        <v>No</v>
      </c>
      <c r="O959" s="135" t="str">
        <f>IFERROR(INDEX('Docketed Comments'!L:L,MATCH(A959,'Docketed Comments'!H:H,0)),"")</f>
        <v>Yes</v>
      </c>
      <c r="P959" s="136">
        <f t="shared" si="28"/>
        <v>0</v>
      </c>
      <c r="Q959" s="140"/>
      <c r="R959" s="144">
        <v>1</v>
      </c>
    </row>
    <row r="960" spans="1:18" ht="21.95" customHeight="1">
      <c r="A960" s="71" t="s">
        <v>4368</v>
      </c>
      <c r="B960" s="69"/>
      <c r="C960" s="70"/>
      <c r="D960" s="69"/>
      <c r="E960" s="69"/>
      <c r="F960" s="65"/>
      <c r="G960" s="65" t="s">
        <v>5811</v>
      </c>
      <c r="H960" s="65" t="str">
        <f>IFERROR(INDEX('Docketed Comments'!C:C,MATCH(A960,'Docketed Comments'!H:H,0))&amp;", "&amp;INDEX('Docketed Comments'!B:B,MATCH(A960,'Docketed Comments'!H:H,0)),"")</f>
        <v>Karineh, Viggiani</v>
      </c>
      <c r="I960" s="65" t="str">
        <f>IFERROR(INDEX('Docketed Comments'!D:D,MATCH(A960,'Docketed Comments'!H:H,0)),"")</f>
        <v>Phoenix</v>
      </c>
      <c r="J960" s="65" t="str">
        <f>IFERROR(INDEX('Docketed Comments'!I:I,MATCH(A960,'Docketed Comments'!H:H,0)),"")</f>
        <v>R3-47</v>
      </c>
      <c r="K960" s="65" t="str">
        <f t="shared" si="29"/>
        <v>✅ On Best Plan</v>
      </c>
      <c r="L960" s="65" t="str">
        <f>IFERROR(INDEX('Docketed Comments'!F:F,MATCH(A960,'Docketed Comments'!H:H,0)),"")</f>
        <v>My bill is already high and for single seniors that are living off of social security it will be almost impossible</v>
      </c>
      <c r="M960" s="137" t="str">
        <f>IFERROR(HYPERLINK(INDEX('Docketed Comments'!G:G,MATCH(A960,'Docketed Comments'!H:H,0)),"📄 View Docket"),"")</f>
        <v>📄 View Docket</v>
      </c>
      <c r="N960" s="135" t="str">
        <f>IFERROR(INDEX('Docketed Comments'!N:N,MATCH(A960,'Docketed Comments'!H:H,0)),"")</f>
        <v>No</v>
      </c>
      <c r="O960" s="135" t="str">
        <f>IFERROR(INDEX('Docketed Comments'!L:L,MATCH(A960,'Docketed Comments'!H:H,0)),"")</f>
        <v>Yes</v>
      </c>
      <c r="P960" s="136">
        <f t="shared" si="28"/>
        <v>0</v>
      </c>
      <c r="Q960" s="140"/>
      <c r="R960" s="144">
        <v>1</v>
      </c>
    </row>
    <row r="961" spans="1:18" ht="21.95" customHeight="1">
      <c r="A961" s="71" t="s">
        <v>4377</v>
      </c>
      <c r="B961" s="69"/>
      <c r="C961" s="70"/>
      <c r="D961" s="69"/>
      <c r="E961" s="69"/>
      <c r="F961" s="65"/>
      <c r="G961" s="65" t="s">
        <v>5811</v>
      </c>
      <c r="H961" s="65" t="str">
        <f>IFERROR(INDEX('Docketed Comments'!C:C,MATCH(A961,'Docketed Comments'!H:H,0))&amp;", "&amp;INDEX('Docketed Comments'!B:B,MATCH(A961,'Docketed Comments'!H:H,0)),"")</f>
        <v>Elizabeth, Weiss</v>
      </c>
      <c r="I961" s="65" t="str">
        <f>IFERROR(INDEX('Docketed Comments'!D:D,MATCH(A961,'Docketed Comments'!H:H,0)),"")</f>
        <v>Goodyear</v>
      </c>
      <c r="J961" s="65" t="str">
        <f>IFERROR(INDEX('Docketed Comments'!I:I,MATCH(A961,'Docketed Comments'!H:H,0)),"")</f>
        <v>R3-47</v>
      </c>
      <c r="K961" s="65" t="str">
        <f t="shared" si="29"/>
        <v>✅ On Best Plan</v>
      </c>
      <c r="L961" s="65" t="str">
        <f>IFERROR(INDEX('Docketed Comments'!F:F,MATCH(A961,'Docketed Comments'!H:H,0)),"")</f>
        <v>Please stop raising our electric bills no one can afford this . Plus the big shots are getting very rich</v>
      </c>
      <c r="M961" s="137" t="str">
        <f>IFERROR(HYPERLINK(INDEX('Docketed Comments'!G:G,MATCH(A961,'Docketed Comments'!H:H,0)),"📄 View Docket"),"")</f>
        <v>📄 View Docket</v>
      </c>
      <c r="N961" s="135" t="str">
        <f>IFERROR(INDEX('Docketed Comments'!N:N,MATCH(A961,'Docketed Comments'!H:H,0)),"")</f>
        <v>No</v>
      </c>
      <c r="O961" s="135" t="str">
        <f>IFERROR(INDEX('Docketed Comments'!L:L,MATCH(A961,'Docketed Comments'!H:H,0)),"")</f>
        <v>Yes</v>
      </c>
      <c r="P961" s="136">
        <f t="shared" si="28"/>
        <v>0</v>
      </c>
      <c r="Q961" s="140"/>
      <c r="R961" s="144">
        <v>1</v>
      </c>
    </row>
    <row r="962" spans="1:18" ht="21.95" customHeight="1">
      <c r="A962" s="71" t="s">
        <v>4380</v>
      </c>
      <c r="B962" s="69"/>
      <c r="C962" s="70"/>
      <c r="D962" s="69"/>
      <c r="E962" s="69"/>
      <c r="F962" s="65"/>
      <c r="G962" s="65" t="s">
        <v>5811</v>
      </c>
      <c r="H962" s="65" t="str">
        <f>IFERROR(INDEX('Docketed Comments'!C:C,MATCH(A962,'Docketed Comments'!H:H,0))&amp;", "&amp;INDEX('Docketed Comments'!B:B,MATCH(A962,'Docketed Comments'!H:H,0)),"")</f>
        <v xml:space="preserve">Virginia, Bradley </v>
      </c>
      <c r="I962" s="65" t="str">
        <f>IFERROR(INDEX('Docketed Comments'!D:D,MATCH(A962,'Docketed Comments'!H:H,0)),"")</f>
        <v>Scottsdale</v>
      </c>
      <c r="J962" s="65" t="str">
        <f>IFERROR(INDEX('Docketed Comments'!I:I,MATCH(A962,'Docketed Comments'!H:H,0)),"")</f>
        <v>R3-47</v>
      </c>
      <c r="K962" s="65" t="str">
        <f t="shared" si="29"/>
        <v>✅ On Best Plan</v>
      </c>
      <c r="L962" s="65" t="str">
        <f>IFERROR(INDEX('Docketed Comments'!F:F,MATCH(A962,'Docketed Comments'!H:H,0)),"")</f>
        <v xml:space="preserve">The company is already making so much and instead of working to reduce costs, they just go for price increases. </v>
      </c>
      <c r="M962" s="137" t="str">
        <f>IFERROR(HYPERLINK(INDEX('Docketed Comments'!G:G,MATCH(A962,'Docketed Comments'!H:H,0)),"📄 View Docket"),"")</f>
        <v>📄 View Docket</v>
      </c>
      <c r="N962" s="135" t="str">
        <f>IFERROR(INDEX('Docketed Comments'!N:N,MATCH(A962,'Docketed Comments'!H:H,0)),"")</f>
        <v>No</v>
      </c>
      <c r="O962" s="135" t="str">
        <f>IFERROR(INDEX('Docketed Comments'!L:L,MATCH(A962,'Docketed Comments'!H:H,0)),"")</f>
        <v>Yes</v>
      </c>
      <c r="P962" s="136">
        <f t="shared" ref="P962:P1025" si="30">IFERROR(IF(ISNUMBER(SEARCH("$",O962)),VALUE(SUBSTITUTE(SUBSTITUTE(MID(O962,FIND("$",O962)+1,FIND(")",O962)-FIND("$",O962)-1),",","")," ","")),VALUE(SUBSTITUTE(SUBSTITUTE(MID(O962,FIND("(",O962)+1,FIND(")",O962)-FIND("(",O962)-1),",","")," ",""))),0)</f>
        <v>0</v>
      </c>
      <c r="Q962" s="140"/>
      <c r="R962" s="144">
        <v>1</v>
      </c>
    </row>
    <row r="963" spans="1:18" ht="21.95" customHeight="1">
      <c r="A963" s="71" t="s">
        <v>4383</v>
      </c>
      <c r="B963" s="69"/>
      <c r="C963" s="70"/>
      <c r="D963" s="69"/>
      <c r="E963" s="69"/>
      <c r="F963" s="65"/>
      <c r="G963" s="65" t="s">
        <v>5811</v>
      </c>
      <c r="H963" s="65" t="str">
        <f>IFERROR(INDEX('Docketed Comments'!C:C,MATCH(A963,'Docketed Comments'!H:H,0))&amp;", "&amp;INDEX('Docketed Comments'!B:B,MATCH(A963,'Docketed Comments'!H:H,0)),"")</f>
        <v>Rosario, Zavala</v>
      </c>
      <c r="I963" s="65" t="str">
        <f>IFERROR(INDEX('Docketed Comments'!D:D,MATCH(A963,'Docketed Comments'!H:H,0)),"")</f>
        <v>Yuma</v>
      </c>
      <c r="J963" s="65" t="str">
        <f>IFERROR(INDEX('Docketed Comments'!I:I,MATCH(A963,'Docketed Comments'!H:H,0)),"")</f>
        <v>R-2</v>
      </c>
      <c r="K963" s="65" t="str">
        <f t="shared" ref="K963:K1026" si="31">IFERROR(IF(OR(LEFT(O963,2)="No",LEFT(O963,3)="Not"),"❌ Not on Best Plan",IF(OR(O963="Yes",O963="Y",O963="Yes "),"✅ On Best Plan","⚠ "&amp;O963)),"")</f>
        <v>⚠ Frozen Plan</v>
      </c>
      <c r="L963" s="65" t="str">
        <f>IFERROR(INDEX('Docketed Comments'!F:F,MATCH(A963,'Docketed Comments'!H:H,0)),"")</f>
        <v>everything is so expensive we can't no longer are able to support ourselves on the income we receive from social security</v>
      </c>
      <c r="M963" s="137" t="str">
        <f>IFERROR(HYPERLINK(INDEX('Docketed Comments'!G:G,MATCH(A963,'Docketed Comments'!H:H,0)),"📄 View Docket"),"")</f>
        <v>📄 View Docket</v>
      </c>
      <c r="N963" s="135" t="str">
        <f>IFERROR(INDEX('Docketed Comments'!N:N,MATCH(A963,'Docketed Comments'!H:H,0)),"")</f>
        <v>No</v>
      </c>
      <c r="O963" s="135" t="str">
        <f>IFERROR(INDEX('Docketed Comments'!L:L,MATCH(A963,'Docketed Comments'!H:H,0)),"")</f>
        <v>Frozen Plan</v>
      </c>
      <c r="P963" s="136">
        <f t="shared" si="30"/>
        <v>0</v>
      </c>
      <c r="Q963" s="140"/>
      <c r="R963" s="144">
        <v>1</v>
      </c>
    </row>
    <row r="964" spans="1:18" ht="21.95" customHeight="1">
      <c r="A964" s="71" t="s">
        <v>4386</v>
      </c>
      <c r="B964" s="69"/>
      <c r="C964" s="70"/>
      <c r="D964" s="69"/>
      <c r="E964" s="69"/>
      <c r="F964" s="65"/>
      <c r="G964" s="65" t="s">
        <v>5811</v>
      </c>
      <c r="H964" s="65" t="str">
        <f>IFERROR(INDEX('Docketed Comments'!C:C,MATCH(A964,'Docketed Comments'!H:H,0))&amp;", "&amp;INDEX('Docketed Comments'!B:B,MATCH(A964,'Docketed Comments'!H:H,0)),"")</f>
        <v>Lorrie, Brown</v>
      </c>
      <c r="I964" s="65" t="str">
        <f>IFERROR(INDEX('Docketed Comments'!D:D,MATCH(A964,'Docketed Comments'!H:H,0)),"")</f>
        <v>Glendale</v>
      </c>
      <c r="J964" s="65" t="str">
        <f>IFERROR(INDEX('Docketed Comments'!I:I,MATCH(A964,'Docketed Comments'!H:H,0)),"")</f>
        <v>R3-47</v>
      </c>
      <c r="K964" s="65" t="str">
        <f t="shared" si="31"/>
        <v>✅ On Best Plan</v>
      </c>
      <c r="L964" s="65" t="str">
        <f>IFERROR(INDEX('Docketed Comments'!F:F,MATCH(A964,'Docketed Comments'!H:H,0)),"")</f>
        <v>Do not support increase for APS Please!!!!!!</v>
      </c>
      <c r="M964" s="137" t="str">
        <f>IFERROR(HYPERLINK(INDEX('Docketed Comments'!G:G,MATCH(A964,'Docketed Comments'!H:H,0)),"📄 View Docket"),"")</f>
        <v>📄 View Docket</v>
      </c>
      <c r="N964" s="135" t="str">
        <f>IFERROR(INDEX('Docketed Comments'!N:N,MATCH(A964,'Docketed Comments'!H:H,0)),"")</f>
        <v>No</v>
      </c>
      <c r="O964" s="135" t="str">
        <f>IFERROR(INDEX('Docketed Comments'!L:L,MATCH(A964,'Docketed Comments'!H:H,0)),"")</f>
        <v>Yes</v>
      </c>
      <c r="P964" s="136">
        <f t="shared" si="30"/>
        <v>0</v>
      </c>
      <c r="Q964" s="140"/>
      <c r="R964" s="144">
        <v>1</v>
      </c>
    </row>
    <row r="965" spans="1:18" ht="21.95" customHeight="1">
      <c r="A965" s="71" t="s">
        <v>4397</v>
      </c>
      <c r="B965" s="69"/>
      <c r="C965" s="70"/>
      <c r="D965" s="69"/>
      <c r="E965" s="69"/>
      <c r="F965" s="65"/>
      <c r="G965" s="65" t="s">
        <v>5811</v>
      </c>
      <c r="H965" s="65" t="str">
        <f>IFERROR(INDEX('Docketed Comments'!C:C,MATCH(A965,'Docketed Comments'!H:H,0))&amp;", "&amp;INDEX('Docketed Comments'!B:B,MATCH(A965,'Docketed Comments'!H:H,0)),"")</f>
        <v>Addison, Ong</v>
      </c>
      <c r="I965" s="65" t="str">
        <f>IFERROR(INDEX('Docketed Comments'!D:D,MATCH(A965,'Docketed Comments'!H:H,0)),"")</f>
        <v>Phoenix</v>
      </c>
      <c r="J965" s="65" t="str">
        <f>IFERROR(INDEX('Docketed Comments'!I:I,MATCH(A965,'Docketed Comments'!H:H,0)),"")</f>
        <v>R3-47</v>
      </c>
      <c r="K965" s="65" t="str">
        <f t="shared" si="31"/>
        <v>✅ On Best Plan</v>
      </c>
      <c r="L965" s="65" t="str">
        <f>IFERROR(INDEX('Docketed Comments'!F:F,MATCH(A965,'Docketed Comments'!H:H,0)),"")</f>
        <v>Please do not approve this, many of us are already living paycheck to paycheck for these billionaires to line their pockets</v>
      </c>
      <c r="M965" s="137" t="str">
        <f>IFERROR(HYPERLINK(INDEX('Docketed Comments'!G:G,MATCH(A965,'Docketed Comments'!H:H,0)),"📄 View Docket"),"")</f>
        <v>📄 View Docket</v>
      </c>
      <c r="N965" s="135" t="str">
        <f>IFERROR(INDEX('Docketed Comments'!N:N,MATCH(A965,'Docketed Comments'!H:H,0)),"")</f>
        <v>No</v>
      </c>
      <c r="O965" s="135" t="str">
        <f>IFERROR(INDEX('Docketed Comments'!L:L,MATCH(A965,'Docketed Comments'!H:H,0)),"")</f>
        <v>Yes</v>
      </c>
      <c r="P965" s="136">
        <f t="shared" si="30"/>
        <v>0</v>
      </c>
      <c r="Q965" s="140"/>
      <c r="R965" s="144">
        <v>1</v>
      </c>
    </row>
    <row r="966" spans="1:18" ht="21.95" customHeight="1">
      <c r="A966" s="71" t="s">
        <v>5424</v>
      </c>
      <c r="B966" s="69"/>
      <c r="C966" s="70"/>
      <c r="D966" s="69"/>
      <c r="E966" s="69"/>
      <c r="F966" s="65"/>
      <c r="G966" s="65" t="s">
        <v>5811</v>
      </c>
      <c r="H966" s="65" t="str">
        <f>IFERROR(INDEX('Docketed Comments'!C:C,MATCH(A966,'Docketed Comments'!H:H,0))&amp;", "&amp;INDEX('Docketed Comments'!B:B,MATCH(A966,'Docketed Comments'!H:H,0)),"")</f>
        <v>John, Carter</v>
      </c>
      <c r="I966" s="65" t="str">
        <f>IFERROR(INDEX('Docketed Comments'!D:D,MATCH(A966,'Docketed Comments'!H:H,0)),"")</f>
        <v>Prescott Valley</v>
      </c>
      <c r="J966" s="65" t="str">
        <f>IFERROR(INDEX('Docketed Comments'!I:I,MATCH(A966,'Docketed Comments'!H:H,0)),"")</f>
        <v>R-XS</v>
      </c>
      <c r="K966" s="65" t="str">
        <f t="shared" si="31"/>
        <v>✅ On Best Plan</v>
      </c>
      <c r="L966" s="65" t="str">
        <f>IFERROR(INDEX('Docketed Comments'!F:F,MATCH(A966,'Docketed Comments'!H:H,0)),"")</f>
        <v>In today's improved economy (just ask Trump) and with the help from AI, APS should be able to figure out how to keep expenses down</v>
      </c>
      <c r="M966" s="137" t="str">
        <f>IFERROR(HYPERLINK(INDEX('Docketed Comments'!G:G,MATCH(A966,'Docketed Comments'!H:H,0)),"📄 View Docket"),"")</f>
        <v>📄 View Docket</v>
      </c>
      <c r="N966" s="135" t="str">
        <f>IFERROR(INDEX('Docketed Comments'!N:N,MATCH(A966,'Docketed Comments'!H:H,0)),"")</f>
        <v>No</v>
      </c>
      <c r="O966" s="135" t="str">
        <f>IFERROR(INDEX('Docketed Comments'!L:L,MATCH(A966,'Docketed Comments'!H:H,0)),"")</f>
        <v>Yes</v>
      </c>
      <c r="P966" s="136">
        <f t="shared" si="30"/>
        <v>0</v>
      </c>
      <c r="Q966" s="140"/>
      <c r="R966" s="144">
        <v>1</v>
      </c>
    </row>
    <row r="967" spans="1:18" ht="21.95" customHeight="1">
      <c r="A967" s="71" t="s">
        <v>4402</v>
      </c>
      <c r="B967" s="69"/>
      <c r="C967" s="70"/>
      <c r="D967" s="69"/>
      <c r="E967" s="69"/>
      <c r="F967" s="65"/>
      <c r="G967" s="65" t="s">
        <v>5811</v>
      </c>
      <c r="H967" s="65" t="str">
        <f>IFERROR(INDEX('Docketed Comments'!C:C,MATCH(A967,'Docketed Comments'!H:H,0))&amp;", "&amp;INDEX('Docketed Comments'!B:B,MATCH(A967,'Docketed Comments'!H:H,0)),"")</f>
        <v>Heather, Smith</v>
      </c>
      <c r="I967" s="65" t="str">
        <f>IFERROR(INDEX('Docketed Comments'!D:D,MATCH(A967,'Docketed Comments'!H:H,0)),"")</f>
        <v>Yuma</v>
      </c>
      <c r="J967" s="65" t="str">
        <f>IFERROR(INDEX('Docketed Comments'!I:I,MATCH(A967,'Docketed Comments'!H:H,0)),"")</f>
        <v>R3-47</v>
      </c>
      <c r="K967" s="65" t="str">
        <f t="shared" si="31"/>
        <v>✅ On Best Plan</v>
      </c>
      <c r="L967" s="65" t="str">
        <f>IFERROR(INDEX('Docketed Comments'!F:F,MATCH(A967,'Docketed Comments'!H:H,0)),"")</f>
        <v>Use least amount of electricity, best plan, hard time now paying my bill</v>
      </c>
      <c r="M967" s="137" t="str">
        <f>IFERROR(HYPERLINK(INDEX('Docketed Comments'!G:G,MATCH(A967,'Docketed Comments'!H:H,0)),"📄 View Docket"),"")</f>
        <v>📄 View Docket</v>
      </c>
      <c r="N967" s="135" t="str">
        <f>IFERROR(INDEX('Docketed Comments'!N:N,MATCH(A967,'Docketed Comments'!H:H,0)),"")</f>
        <v>No</v>
      </c>
      <c r="O967" s="135" t="str">
        <f>IFERROR(INDEX('Docketed Comments'!L:L,MATCH(A967,'Docketed Comments'!H:H,0)),"")</f>
        <v>Yes</v>
      </c>
      <c r="P967" s="136">
        <f t="shared" si="30"/>
        <v>0</v>
      </c>
      <c r="Q967" s="140"/>
      <c r="R967" s="144">
        <v>1</v>
      </c>
    </row>
    <row r="968" spans="1:18" ht="21.95" customHeight="1">
      <c r="A968" s="71" t="s">
        <v>4408</v>
      </c>
      <c r="B968" s="69"/>
      <c r="C968" s="70"/>
      <c r="D968" s="69"/>
      <c r="E968" s="69"/>
      <c r="F968" s="65"/>
      <c r="G968" s="65" t="s">
        <v>5811</v>
      </c>
      <c r="H968" s="65" t="str">
        <f>IFERROR(INDEX('Docketed Comments'!C:C,MATCH(A968,'Docketed Comments'!H:H,0))&amp;", "&amp;INDEX('Docketed Comments'!B:B,MATCH(A968,'Docketed Comments'!H:H,0)),"")</f>
        <v>Marilyn, Jackson</v>
      </c>
      <c r="I968" s="65" t="str">
        <f>IFERROR(INDEX('Docketed Comments'!D:D,MATCH(A968,'Docketed Comments'!H:H,0)),"")</f>
        <v>Ajo</v>
      </c>
      <c r="J968" s="65" t="str">
        <f>IFERROR(INDEX('Docketed Comments'!I:I,MATCH(A968,'Docketed Comments'!H:H,0)),"")</f>
        <v>R-XS</v>
      </c>
      <c r="K968" s="65" t="str">
        <f t="shared" si="31"/>
        <v>✅ On Best Plan</v>
      </c>
      <c r="L968" s="65" t="str">
        <f>IFERROR(INDEX('Docketed Comments'!F:F,MATCH(A968,'Docketed Comments'!H:H,0)),"")</f>
        <v>The Corporation Commission has burdened the rate payers of Arizona for years.</v>
      </c>
      <c r="M968" s="137" t="str">
        <f>IFERROR(HYPERLINK(INDEX('Docketed Comments'!G:G,MATCH(A968,'Docketed Comments'!H:H,0)),"📄 View Docket"),"")</f>
        <v>📄 View Docket</v>
      </c>
      <c r="N968" s="135" t="str">
        <f>IFERROR(INDEX('Docketed Comments'!N:N,MATCH(A968,'Docketed Comments'!H:H,0)),"")</f>
        <v>No</v>
      </c>
      <c r="O968" s="135" t="str">
        <f>IFERROR(INDEX('Docketed Comments'!L:L,MATCH(A968,'Docketed Comments'!H:H,0)),"")</f>
        <v>Yes</v>
      </c>
      <c r="P968" s="136">
        <f t="shared" si="30"/>
        <v>0</v>
      </c>
      <c r="Q968" s="140"/>
      <c r="R968" s="144">
        <v>1</v>
      </c>
    </row>
    <row r="969" spans="1:18" ht="21.95" customHeight="1">
      <c r="A969" s="71" t="s">
        <v>5425</v>
      </c>
      <c r="B969" s="69"/>
      <c r="C969" s="70"/>
      <c r="D969" s="69"/>
      <c r="E969" s="69"/>
      <c r="F969" s="65"/>
      <c r="G969" s="65" t="s">
        <v>5811</v>
      </c>
      <c r="H969" s="65" t="str">
        <f>IFERROR(INDEX('Docketed Comments'!C:C,MATCH(A969,'Docketed Comments'!H:H,0))&amp;", "&amp;INDEX('Docketed Comments'!B:B,MATCH(A969,'Docketed Comments'!H:H,0)),"")</f>
        <v>Alison, Heller Walstra</v>
      </c>
      <c r="I969" s="65" t="str">
        <f>IFERROR(INDEX('Docketed Comments'!D:D,MATCH(A969,'Docketed Comments'!H:H,0)),"")</f>
        <v>Arizona City</v>
      </c>
      <c r="J969" s="65" t="str">
        <f>IFERROR(INDEX('Docketed Comments'!I:I,MATCH(A969,'Docketed Comments'!H:H,0)),"")</f>
        <v>R3-47</v>
      </c>
      <c r="K969" s="65" t="str">
        <f t="shared" si="31"/>
        <v>✅ On Best Plan</v>
      </c>
      <c r="L969" s="65" t="str">
        <f>IFERROR(INDEX('Docketed Comments'!F:F,MATCH(A969,'Docketed Comments'!H:H,0)),"")</f>
        <v>MORE hardship than already has been committed, I want to use harsher language, but am restraining myself</v>
      </c>
      <c r="M969" s="137" t="str">
        <f>IFERROR(HYPERLINK(INDEX('Docketed Comments'!G:G,MATCH(A969,'Docketed Comments'!H:H,0)),"📄 View Docket"),"")</f>
        <v>📄 View Docket</v>
      </c>
      <c r="N969" s="135" t="str">
        <f>IFERROR(INDEX('Docketed Comments'!N:N,MATCH(A969,'Docketed Comments'!H:H,0)),"")</f>
        <v>No</v>
      </c>
      <c r="O969" s="135" t="str">
        <f>IFERROR(INDEX('Docketed Comments'!L:L,MATCH(A969,'Docketed Comments'!H:H,0)),"")</f>
        <v>Yes</v>
      </c>
      <c r="P969" s="136">
        <f t="shared" si="30"/>
        <v>0</v>
      </c>
      <c r="Q969" s="140"/>
      <c r="R969" s="144">
        <v>1</v>
      </c>
    </row>
    <row r="970" spans="1:18" ht="21.95" customHeight="1">
      <c r="A970" s="71" t="s">
        <v>4412</v>
      </c>
      <c r="B970" s="69"/>
      <c r="C970" s="70"/>
      <c r="D970" s="69"/>
      <c r="E970" s="69"/>
      <c r="F970" s="65"/>
      <c r="G970" s="65" t="s">
        <v>5811</v>
      </c>
      <c r="H970" s="65" t="str">
        <f>IFERROR(INDEX('Docketed Comments'!C:C,MATCH(A970,'Docketed Comments'!H:H,0))&amp;", "&amp;INDEX('Docketed Comments'!B:B,MATCH(A970,'Docketed Comments'!H:H,0)),"")</f>
        <v>Nancy, Brown</v>
      </c>
      <c r="I970" s="65" t="str">
        <f>IFERROR(INDEX('Docketed Comments'!D:D,MATCH(A970,'Docketed Comments'!H:H,0)),"")</f>
        <v>Surprise</v>
      </c>
      <c r="J970" s="65" t="str">
        <f>IFERROR(INDEX('Docketed Comments'!I:I,MATCH(A970,'Docketed Comments'!H:H,0)),"")</f>
        <v>R3-47</v>
      </c>
      <c r="K970" s="65" t="str">
        <f t="shared" si="31"/>
        <v>✅ On Best Plan</v>
      </c>
      <c r="L970" s="65" t="str">
        <f>IFERROR(INDEX('Docketed Comments'!F:F,MATCH(A970,'Docketed Comments'!H:H,0)),"")</f>
        <v>I am widowed, on a fixed income. My income dropped in half after my husband passed away. My income pretty much stays the same</v>
      </c>
      <c r="M970" s="137" t="str">
        <f>IFERROR(HYPERLINK(INDEX('Docketed Comments'!G:G,MATCH(A970,'Docketed Comments'!H:H,0)),"📄 View Docket"),"")</f>
        <v>📄 View Docket</v>
      </c>
      <c r="N970" s="135" t="str">
        <f>IFERROR(INDEX('Docketed Comments'!N:N,MATCH(A970,'Docketed Comments'!H:H,0)),"")</f>
        <v>No</v>
      </c>
      <c r="O970" s="135" t="str">
        <f>IFERROR(INDEX('Docketed Comments'!L:L,MATCH(A970,'Docketed Comments'!H:H,0)),"")</f>
        <v>Yes</v>
      </c>
      <c r="P970" s="136">
        <f t="shared" si="30"/>
        <v>0</v>
      </c>
      <c r="Q970" s="140"/>
      <c r="R970" s="144">
        <v>1</v>
      </c>
    </row>
    <row r="971" spans="1:18" ht="21.95" customHeight="1">
      <c r="A971" s="71" t="s">
        <v>4415</v>
      </c>
      <c r="B971" s="69"/>
      <c r="C971" s="70"/>
      <c r="D971" s="69"/>
      <c r="E971" s="69"/>
      <c r="F971" s="65"/>
      <c r="G971" s="65" t="s">
        <v>5811</v>
      </c>
      <c r="H971" s="65" t="str">
        <f>IFERROR(INDEX('Docketed Comments'!C:C,MATCH(A971,'Docketed Comments'!H:H,0))&amp;", "&amp;INDEX('Docketed Comments'!B:B,MATCH(A971,'Docketed Comments'!H:H,0)),"")</f>
        <v>Craig, Thompson</v>
      </c>
      <c r="I971" s="65" t="str">
        <f>IFERROR(INDEX('Docketed Comments'!D:D,MATCH(A971,'Docketed Comments'!H:H,0)),"")</f>
        <v>Paulden</v>
      </c>
      <c r="J971" s="65" t="str">
        <f>IFERROR(INDEX('Docketed Comments'!I:I,MATCH(A971,'Docketed Comments'!H:H,0)),"")</f>
        <v>RCPw/RTOUE47</v>
      </c>
      <c r="K971" s="65" t="str">
        <f t="shared" si="31"/>
        <v>✅ On Best Plan</v>
      </c>
      <c r="L971" s="65" t="str">
        <f>IFERROR(INDEX('Docketed Comments'!F:F,MATCH(A971,'Docketed Comments'!H:H,0)),"")</f>
        <v xml:space="preserve">The current rates are high enough and any increase would put an unfair burden on those of us in the lower income bracket. </v>
      </c>
      <c r="M971" s="137" t="str">
        <f>IFERROR(HYPERLINK(INDEX('Docketed Comments'!G:G,MATCH(A971,'Docketed Comments'!H:H,0)),"📄 View Docket"),"")</f>
        <v>📄 View Docket</v>
      </c>
      <c r="N971" s="135" t="str">
        <f>IFERROR(INDEX('Docketed Comments'!N:N,MATCH(A971,'Docketed Comments'!H:H,0)),"")</f>
        <v>No</v>
      </c>
      <c r="O971" s="135" t="str">
        <f>IFERROR(INDEX('Docketed Comments'!L:L,MATCH(A971,'Docketed Comments'!H:H,0)),"")</f>
        <v>Yes</v>
      </c>
      <c r="P971" s="136">
        <f t="shared" si="30"/>
        <v>0</v>
      </c>
      <c r="Q971" s="140"/>
      <c r="R971" s="144">
        <v>1</v>
      </c>
    </row>
    <row r="972" spans="1:18" ht="21.95" customHeight="1">
      <c r="A972" s="71" t="s">
        <v>4418</v>
      </c>
      <c r="B972" s="69"/>
      <c r="C972" s="70"/>
      <c r="D972" s="69"/>
      <c r="E972" s="69"/>
      <c r="F972" s="65"/>
      <c r="G972" s="65" t="s">
        <v>5811</v>
      </c>
      <c r="H972" s="65" t="str">
        <f>IFERROR(INDEX('Docketed Comments'!C:C,MATCH(A972,'Docketed Comments'!H:H,0))&amp;", "&amp;INDEX('Docketed Comments'!B:B,MATCH(A972,'Docketed Comments'!H:H,0)),"")</f>
        <v>Delores, Walker</v>
      </c>
      <c r="I972" s="65" t="str">
        <f>IFERROR(INDEX('Docketed Comments'!D:D,MATCH(A972,'Docketed Comments'!H:H,0)),"")</f>
        <v>Phoenix</v>
      </c>
      <c r="J972" s="65" t="str">
        <f>IFERROR(INDEX('Docketed Comments'!I:I,MATCH(A972,'Docketed Comments'!H:H,0)),"")</f>
        <v>R3-47</v>
      </c>
      <c r="K972" s="65" t="str">
        <f t="shared" si="31"/>
        <v>✅ On Best Plan</v>
      </c>
      <c r="L972" s="65" t="str">
        <f>IFERROR(INDEX('Docketed Comments'!F:F,MATCH(A972,'Docketed Comments'!H:H,0)),"")</f>
        <v>Senior on a fixed income with UTILITIES CONSTANTLY GOING UP..CAN WE PLEASE GET A BREAK...PLEASE.. THANK YOU AND</v>
      </c>
      <c r="M972" s="137" t="str">
        <f>IFERROR(HYPERLINK(INDEX('Docketed Comments'!G:G,MATCH(A972,'Docketed Comments'!H:H,0)),"📄 View Docket"),"")</f>
        <v>📄 View Docket</v>
      </c>
      <c r="N972" s="135" t="str">
        <f>IFERROR(INDEX('Docketed Comments'!N:N,MATCH(A972,'Docketed Comments'!H:H,0)),"")</f>
        <v>No</v>
      </c>
      <c r="O972" s="135" t="str">
        <f>IFERROR(INDEX('Docketed Comments'!L:L,MATCH(A972,'Docketed Comments'!H:H,0)),"")</f>
        <v>Yes</v>
      </c>
      <c r="P972" s="136">
        <f t="shared" si="30"/>
        <v>0</v>
      </c>
      <c r="Q972" s="140"/>
      <c r="R972" s="144">
        <v>1</v>
      </c>
    </row>
    <row r="973" spans="1:18" ht="21.95" customHeight="1">
      <c r="A973" s="71" t="s">
        <v>4426</v>
      </c>
      <c r="B973" s="69"/>
      <c r="C973" s="70"/>
      <c r="D973" s="69"/>
      <c r="E973" s="69"/>
      <c r="F973" s="65"/>
      <c r="G973" s="65" t="s">
        <v>5811</v>
      </c>
      <c r="H973" s="65" t="str">
        <f>IFERROR(INDEX('Docketed Comments'!C:C,MATCH(A973,'Docketed Comments'!H:H,0))&amp;", "&amp;INDEX('Docketed Comments'!B:B,MATCH(A973,'Docketed Comments'!H:H,0)),"")</f>
        <v>Jerald, Buglione</v>
      </c>
      <c r="I973" s="65" t="str">
        <f>IFERROR(INDEX('Docketed Comments'!D:D,MATCH(A973,'Docketed Comments'!H:H,0)),"")</f>
        <v>Surprise</v>
      </c>
      <c r="J973" s="65" t="str">
        <f>IFERROR(INDEX('Docketed Comments'!I:I,MATCH(A973,'Docketed Comments'!H:H,0)),"")</f>
        <v>R3-47</v>
      </c>
      <c r="K973" s="65" t="str">
        <f t="shared" si="31"/>
        <v>✅ On Best Plan</v>
      </c>
      <c r="L973" s="65" t="str">
        <f>IFERROR(INDEX('Docketed Comments'!F:F,MATCH(A973,'Docketed Comments'!H:H,0)),"")</f>
        <v xml:space="preserve">Once the economy is better we can talk about it. Everything right now is in a up wing. So please wait. </v>
      </c>
      <c r="M973" s="137" t="str">
        <f>IFERROR(HYPERLINK(INDEX('Docketed Comments'!G:G,MATCH(A973,'Docketed Comments'!H:H,0)),"📄 View Docket"),"")</f>
        <v>📄 View Docket</v>
      </c>
      <c r="N973" s="135" t="str">
        <f>IFERROR(INDEX('Docketed Comments'!N:N,MATCH(A973,'Docketed Comments'!H:H,0)),"")</f>
        <v>No</v>
      </c>
      <c r="O973" s="135" t="str">
        <f>IFERROR(INDEX('Docketed Comments'!L:L,MATCH(A973,'Docketed Comments'!H:H,0)),"")</f>
        <v>Yes</v>
      </c>
      <c r="P973" s="136">
        <f t="shared" si="30"/>
        <v>0</v>
      </c>
      <c r="Q973" s="140"/>
      <c r="R973" s="144">
        <v>1</v>
      </c>
    </row>
    <row r="974" spans="1:18" ht="21.95" customHeight="1">
      <c r="A974" s="71" t="s">
        <v>4435</v>
      </c>
      <c r="B974" s="69"/>
      <c r="C974" s="70"/>
      <c r="D974" s="69"/>
      <c r="E974" s="69"/>
      <c r="F974" s="65"/>
      <c r="G974" s="65" t="s">
        <v>5811</v>
      </c>
      <c r="H974" s="65" t="str">
        <f>IFERROR(INDEX('Docketed Comments'!C:C,MATCH(A974,'Docketed Comments'!H:H,0))&amp;", "&amp;INDEX('Docketed Comments'!B:B,MATCH(A974,'Docketed Comments'!H:H,0)),"")</f>
        <v>Karla, Adams</v>
      </c>
      <c r="I974" s="65" t="str">
        <f>IFERROR(INDEX('Docketed Comments'!D:D,MATCH(A974,'Docketed Comments'!H:H,0)),"")</f>
        <v>Sun City</v>
      </c>
      <c r="J974" s="65" t="str">
        <f>IFERROR(INDEX('Docketed Comments'!I:I,MATCH(A974,'Docketed Comments'!H:H,0)),"")</f>
        <v>EPR6w/ET-2</v>
      </c>
      <c r="K974" s="65" t="str">
        <f t="shared" si="31"/>
        <v>⚠ Frozen Plan</v>
      </c>
      <c r="L974" s="65" t="str">
        <f>IFERROR(INDEX('Docketed Comments'!F:F,MATCH(A974,'Docketed Comments'!H:H,0)),"")</f>
        <v>No More Rate hikes. We are paying for their upgrades without them having to spend from their bottom line.</v>
      </c>
      <c r="M974" s="137" t="str">
        <f>IFERROR(HYPERLINK(INDEX('Docketed Comments'!G:G,MATCH(A974,'Docketed Comments'!H:H,0)),"📄 View Docket"),"")</f>
        <v>📄 View Docket</v>
      </c>
      <c r="N974" s="135" t="str">
        <f>IFERROR(INDEX('Docketed Comments'!N:N,MATCH(A974,'Docketed Comments'!H:H,0)),"")</f>
        <v>No</v>
      </c>
      <c r="O974" s="135" t="str">
        <f>IFERROR(INDEX('Docketed Comments'!L:L,MATCH(A974,'Docketed Comments'!H:H,0)),"")</f>
        <v>Frozen Plan</v>
      </c>
      <c r="P974" s="136">
        <f t="shared" si="30"/>
        <v>0</v>
      </c>
      <c r="Q974" s="140"/>
      <c r="R974" s="144">
        <v>1</v>
      </c>
    </row>
    <row r="975" spans="1:18" ht="21.95" customHeight="1">
      <c r="A975" s="71" t="s">
        <v>4438</v>
      </c>
      <c r="B975" s="69"/>
      <c r="C975" s="70"/>
      <c r="D975" s="69"/>
      <c r="E975" s="69"/>
      <c r="F975" s="65"/>
      <c r="G975" s="65" t="s">
        <v>5811</v>
      </c>
      <c r="H975" s="65" t="str">
        <f>IFERROR(INDEX('Docketed Comments'!C:C,MATCH(A975,'Docketed Comments'!H:H,0))&amp;", "&amp;INDEX('Docketed Comments'!B:B,MATCH(A975,'Docketed Comments'!H:H,0)),"")</f>
        <v>Dan, Shirk</v>
      </c>
      <c r="I975" s="65" t="str">
        <f>IFERROR(INDEX('Docketed Comments'!D:D,MATCH(A975,'Docketed Comments'!H:H,0)),"")</f>
        <v xml:space="preserve">Phoenix </v>
      </c>
      <c r="J975" s="65" t="str">
        <f>IFERROR(INDEX('Docketed Comments'!I:I,MATCH(A975,'Docketed Comments'!H:H,0)),"")</f>
        <v>R3-47</v>
      </c>
      <c r="K975" s="65" t="str">
        <f t="shared" si="31"/>
        <v>✅ On Best Plan</v>
      </c>
      <c r="L975" s="65" t="str">
        <f>IFERROR(INDEX('Docketed Comments'!F:F,MATCH(A975,'Docketed Comments'!H:H,0)),"")</f>
        <v>There presently no justification for an increase in utility rates. The present profit level meets their operating needs</v>
      </c>
      <c r="M975" s="137" t="str">
        <f>IFERROR(HYPERLINK(INDEX('Docketed Comments'!G:G,MATCH(A975,'Docketed Comments'!H:H,0)),"📄 View Docket"),"")</f>
        <v>📄 View Docket</v>
      </c>
      <c r="N975" s="135" t="str">
        <f>IFERROR(INDEX('Docketed Comments'!N:N,MATCH(A975,'Docketed Comments'!H:H,0)),"")</f>
        <v>No</v>
      </c>
      <c r="O975" s="135" t="str">
        <f>IFERROR(INDEX('Docketed Comments'!L:L,MATCH(A975,'Docketed Comments'!H:H,0)),"")</f>
        <v>Yes</v>
      </c>
      <c r="P975" s="136">
        <f t="shared" si="30"/>
        <v>0</v>
      </c>
      <c r="Q975" s="140"/>
      <c r="R975" s="144">
        <v>1</v>
      </c>
    </row>
    <row r="976" spans="1:18" ht="21.95" customHeight="1">
      <c r="A976" s="71" t="s">
        <v>5426</v>
      </c>
      <c r="B976" s="69"/>
      <c r="C976" s="70"/>
      <c r="D976" s="69"/>
      <c r="E976" s="69"/>
      <c r="F976" s="65"/>
      <c r="G976" s="65" t="s">
        <v>5811</v>
      </c>
      <c r="H976" s="65" t="str">
        <f>IFERROR(INDEX('Docketed Comments'!C:C,MATCH(A976,'Docketed Comments'!H:H,0))&amp;", "&amp;INDEX('Docketed Comments'!B:B,MATCH(A976,'Docketed Comments'!H:H,0)),"")</f>
        <v>Corinne, Morris</v>
      </c>
      <c r="I976" s="65" t="str">
        <f>IFERROR(INDEX('Docketed Comments'!D:D,MATCH(A976,'Docketed Comments'!H:H,0)),"")</f>
        <v>Flagstaff</v>
      </c>
      <c r="J976" s="65" t="str">
        <f>IFERROR(INDEX('Docketed Comments'!I:I,MATCH(A976,'Docketed Comments'!H:H,0)),"")</f>
        <v>R-XS</v>
      </c>
      <c r="K976" s="65" t="str">
        <f t="shared" si="31"/>
        <v>✅ On Best Plan</v>
      </c>
      <c r="L976" s="65" t="str">
        <f>IFERROR(INDEX('Docketed Comments'!F:F,MATCH(A976,'Docketed Comments'!H:H,0)),"")</f>
        <v xml:space="preserve">Proces on everything has increased enough and wages for my work aren't changing with it. </v>
      </c>
      <c r="M976" s="137" t="str">
        <f>IFERROR(HYPERLINK(INDEX('Docketed Comments'!G:G,MATCH(A976,'Docketed Comments'!H:H,0)),"📄 View Docket"),"")</f>
        <v>📄 View Docket</v>
      </c>
      <c r="N976" s="135" t="str">
        <f>IFERROR(INDEX('Docketed Comments'!N:N,MATCH(A976,'Docketed Comments'!H:H,0)),"")</f>
        <v>No</v>
      </c>
      <c r="O976" s="135" t="str">
        <f>IFERROR(INDEX('Docketed Comments'!L:L,MATCH(A976,'Docketed Comments'!H:H,0)),"")</f>
        <v>Yes</v>
      </c>
      <c r="P976" s="136">
        <f t="shared" si="30"/>
        <v>0</v>
      </c>
      <c r="Q976" s="140"/>
      <c r="R976" s="144">
        <v>1</v>
      </c>
    </row>
    <row r="977" spans="1:18" ht="21.95" customHeight="1">
      <c r="A977" s="71" t="s">
        <v>4446</v>
      </c>
      <c r="B977" s="69"/>
      <c r="C977" s="70"/>
      <c r="D977" s="69"/>
      <c r="E977" s="69"/>
      <c r="F977" s="65"/>
      <c r="G977" s="65" t="s">
        <v>5811</v>
      </c>
      <c r="H977" s="65" t="str">
        <f>IFERROR(INDEX('Docketed Comments'!C:C,MATCH(A977,'Docketed Comments'!H:H,0))&amp;", "&amp;INDEX('Docketed Comments'!B:B,MATCH(A977,'Docketed Comments'!H:H,0)),"")</f>
        <v>Craig, Pittenridge</v>
      </c>
      <c r="I977" s="65" t="str">
        <f>IFERROR(INDEX('Docketed Comments'!D:D,MATCH(A977,'Docketed Comments'!H:H,0)),"")</f>
        <v>Sun City</v>
      </c>
      <c r="J977" s="65" t="str">
        <f>IFERROR(INDEX('Docketed Comments'!I:I,MATCH(A977,'Docketed Comments'!H:H,0)),"")</f>
        <v>EPR6w/ET-1</v>
      </c>
      <c r="K977" s="65" t="str">
        <f t="shared" si="31"/>
        <v>⚠ Frozen Plan</v>
      </c>
      <c r="L977" s="65" t="str">
        <f>IFERROR(INDEX('Docketed Comments'!F:F,MATCH(A977,'Docketed Comments'!H:H,0)),"")</f>
        <v>My summer bills are already between $500-$600, I have solar (another $110) that APS buys for pennies on the dollar</v>
      </c>
      <c r="M977" s="137" t="str">
        <f>IFERROR(HYPERLINK(INDEX('Docketed Comments'!G:G,MATCH(A977,'Docketed Comments'!H:H,0)),"📄 View Docket"),"")</f>
        <v>📄 View Docket</v>
      </c>
      <c r="N977" s="135" t="str">
        <f>IFERROR(INDEX('Docketed Comments'!N:N,MATCH(A977,'Docketed Comments'!H:H,0)),"")</f>
        <v>No</v>
      </c>
      <c r="O977" s="135" t="str">
        <f>IFERROR(INDEX('Docketed Comments'!L:L,MATCH(A977,'Docketed Comments'!H:H,0)),"")</f>
        <v>Frozen Plan</v>
      </c>
      <c r="P977" s="136">
        <f t="shared" si="30"/>
        <v>0</v>
      </c>
      <c r="Q977" s="140"/>
      <c r="R977" s="144">
        <v>1</v>
      </c>
    </row>
    <row r="978" spans="1:18" ht="21.95" customHeight="1">
      <c r="A978" s="71" t="s">
        <v>4453</v>
      </c>
      <c r="B978" s="69"/>
      <c r="C978" s="70"/>
      <c r="D978" s="69"/>
      <c r="E978" s="69"/>
      <c r="F978" s="65"/>
      <c r="G978" s="65" t="s">
        <v>5811</v>
      </c>
      <c r="H978" s="65" t="str">
        <f>IFERROR(INDEX('Docketed Comments'!C:C,MATCH(A978,'Docketed Comments'!H:H,0))&amp;", "&amp;INDEX('Docketed Comments'!B:B,MATCH(A978,'Docketed Comments'!H:H,0)),"")</f>
        <v>Brian, Taylor</v>
      </c>
      <c r="I978" s="65" t="str">
        <f>IFERROR(INDEX('Docketed Comments'!D:D,MATCH(A978,'Docketed Comments'!H:H,0)),"")</f>
        <v>Surprise</v>
      </c>
      <c r="J978" s="65" t="str">
        <f>IFERROR(INDEX('Docketed Comments'!I:I,MATCH(A978,'Docketed Comments'!H:H,0)),"")</f>
        <v>R3-47</v>
      </c>
      <c r="K978" s="65" t="str">
        <f t="shared" si="31"/>
        <v>✅ On Best Plan</v>
      </c>
      <c r="L978" s="65" t="str">
        <f>IFERROR(INDEX('Docketed Comments'!F:F,MATCH(A978,'Docketed Comments'!H:H,0)),"")</f>
        <v>What we need is more reliable service before we ever discuss rate increases</v>
      </c>
      <c r="M978" s="137" t="str">
        <f>IFERROR(HYPERLINK(INDEX('Docketed Comments'!G:G,MATCH(A978,'Docketed Comments'!H:H,0)),"📄 View Docket"),"")</f>
        <v>📄 View Docket</v>
      </c>
      <c r="N978" s="135" t="str">
        <f>IFERROR(INDEX('Docketed Comments'!N:N,MATCH(A978,'Docketed Comments'!H:H,0)),"")</f>
        <v>No</v>
      </c>
      <c r="O978" s="135" t="str">
        <f>IFERROR(INDEX('Docketed Comments'!L:L,MATCH(A978,'Docketed Comments'!H:H,0)),"")</f>
        <v>Yes</v>
      </c>
      <c r="P978" s="136">
        <f t="shared" si="30"/>
        <v>0</v>
      </c>
      <c r="Q978" s="140"/>
      <c r="R978" s="144">
        <v>1</v>
      </c>
    </row>
    <row r="979" spans="1:18" ht="21.95" customHeight="1">
      <c r="A979" s="71" t="s">
        <v>4456</v>
      </c>
      <c r="B979" s="69"/>
      <c r="C979" s="70"/>
      <c r="D979" s="69"/>
      <c r="E979" s="69"/>
      <c r="F979" s="65"/>
      <c r="G979" s="65" t="s">
        <v>5811</v>
      </c>
      <c r="H979" s="65" t="str">
        <f>IFERROR(INDEX('Docketed Comments'!C:C,MATCH(A979,'Docketed Comments'!H:H,0))&amp;", "&amp;INDEX('Docketed Comments'!B:B,MATCH(A979,'Docketed Comments'!H:H,0)),"")</f>
        <v>Peter, Hunt</v>
      </c>
      <c r="I979" s="65" t="str">
        <f>IFERROR(INDEX('Docketed Comments'!D:D,MATCH(A979,'Docketed Comments'!H:H,0)),"")</f>
        <v>Buckeye</v>
      </c>
      <c r="J979" s="65" t="str">
        <f>IFERROR(INDEX('Docketed Comments'!I:I,MATCH(A979,'Docketed Comments'!H:H,0)),"")</f>
        <v>EPR6w/ET-2</v>
      </c>
      <c r="K979" s="65" t="str">
        <f t="shared" si="31"/>
        <v>⚠ Frozen Plan</v>
      </c>
      <c r="L979" s="65" t="str">
        <f>IFERROR(INDEX('Docketed Comments'!F:F,MATCH(A979,'Docketed Comments'!H:H,0)),"")</f>
        <v>I'm begging you to freeze the price increase. We simply can't afford to be squeezed any more,</v>
      </c>
      <c r="M979" s="137" t="str">
        <f>IFERROR(HYPERLINK(INDEX('Docketed Comments'!G:G,MATCH(A979,'Docketed Comments'!H:H,0)),"📄 View Docket"),"")</f>
        <v>📄 View Docket</v>
      </c>
      <c r="N979" s="135" t="str">
        <f>IFERROR(INDEX('Docketed Comments'!N:N,MATCH(A979,'Docketed Comments'!H:H,0)),"")</f>
        <v>No</v>
      </c>
      <c r="O979" s="135" t="str">
        <f>IFERROR(INDEX('Docketed Comments'!L:L,MATCH(A979,'Docketed Comments'!H:H,0)),"")</f>
        <v>Frozen Plan</v>
      </c>
      <c r="P979" s="136">
        <f t="shared" si="30"/>
        <v>0</v>
      </c>
      <c r="Q979" s="140"/>
      <c r="R979" s="144">
        <v>1</v>
      </c>
    </row>
    <row r="980" spans="1:18" ht="21.95" customHeight="1">
      <c r="A980" s="71" t="s">
        <v>4464</v>
      </c>
      <c r="B980" s="69"/>
      <c r="C980" s="70"/>
      <c r="D980" s="69"/>
      <c r="E980" s="69"/>
      <c r="F980" s="65"/>
      <c r="G980" s="65" t="s">
        <v>5811</v>
      </c>
      <c r="H980" s="65" t="str">
        <f>IFERROR(INDEX('Docketed Comments'!C:C,MATCH(A980,'Docketed Comments'!H:H,0))&amp;", "&amp;INDEX('Docketed Comments'!B:B,MATCH(A980,'Docketed Comments'!H:H,0)),"")</f>
        <v>Tina, Weston</v>
      </c>
      <c r="I980" s="65" t="str">
        <f>IFERROR(INDEX('Docketed Comments'!D:D,MATCH(A980,'Docketed Comments'!H:H,0)),"")</f>
        <v>Surprise</v>
      </c>
      <c r="J980" s="65" t="str">
        <f>IFERROR(INDEX('Docketed Comments'!I:I,MATCH(A980,'Docketed Comments'!H:H,0)),"")</f>
        <v>RCPw/RTOUE47</v>
      </c>
      <c r="K980" s="65" t="str">
        <f t="shared" si="31"/>
        <v>✅ On Best Plan</v>
      </c>
      <c r="L980" s="65" t="str">
        <f>IFERROR(INDEX('Docketed Comments'!F:F,MATCH(A980,'Docketed Comments'!H:H,0)),"")</f>
        <v>Your CEO and CFO and all the top executives are making a fortune off of us! Please think of the average Arizonans.</v>
      </c>
      <c r="M980" s="137" t="str">
        <f>IFERROR(HYPERLINK(INDEX('Docketed Comments'!G:G,MATCH(A980,'Docketed Comments'!H:H,0)),"📄 View Docket"),"")</f>
        <v>📄 View Docket</v>
      </c>
      <c r="N980" s="135" t="str">
        <f>IFERROR(INDEX('Docketed Comments'!N:N,MATCH(A980,'Docketed Comments'!H:H,0)),"")</f>
        <v>No</v>
      </c>
      <c r="O980" s="135" t="str">
        <f>IFERROR(INDEX('Docketed Comments'!L:L,MATCH(A980,'Docketed Comments'!H:H,0)),"")</f>
        <v>Yes</v>
      </c>
      <c r="P980" s="136">
        <f t="shared" si="30"/>
        <v>0</v>
      </c>
      <c r="Q980" s="140"/>
      <c r="R980" s="144">
        <v>1</v>
      </c>
    </row>
    <row r="981" spans="1:18" ht="21.95" customHeight="1">
      <c r="A981" s="71" t="s">
        <v>4470</v>
      </c>
      <c r="B981" s="69"/>
      <c r="C981" s="70"/>
      <c r="D981" s="69"/>
      <c r="E981" s="69"/>
      <c r="F981" s="65"/>
      <c r="G981" s="65" t="s">
        <v>5811</v>
      </c>
      <c r="H981" s="65" t="str">
        <f>IFERROR(INDEX('Docketed Comments'!C:C,MATCH(A981,'Docketed Comments'!H:H,0))&amp;", "&amp;INDEX('Docketed Comments'!B:B,MATCH(A981,'Docketed Comments'!H:H,0)),"")</f>
        <v>Daryl, Gunderson</v>
      </c>
      <c r="I981" s="65" t="str">
        <f>IFERROR(INDEX('Docketed Comments'!D:D,MATCH(A981,'Docketed Comments'!H:H,0)),"")</f>
        <v>Phoenix</v>
      </c>
      <c r="J981" s="65" t="str">
        <f>IFERROR(INDEX('Docketed Comments'!I:I,MATCH(A981,'Docketed Comments'!H:H,0)),"")</f>
        <v>R-XS</v>
      </c>
      <c r="K981" s="65" t="str">
        <f t="shared" si="31"/>
        <v>✅ On Best Plan</v>
      </c>
      <c r="L981" s="65" t="str">
        <f>IFERROR(INDEX('Docketed Comments'!F:F,MATCH(A981,'Docketed Comments'!H:H,0)),"")</f>
        <v>Please stop raising the utility rates</v>
      </c>
      <c r="M981" s="137" t="str">
        <f>IFERROR(HYPERLINK(INDEX('Docketed Comments'!G:G,MATCH(A981,'Docketed Comments'!H:H,0)),"📄 View Docket"),"")</f>
        <v>📄 View Docket</v>
      </c>
      <c r="N981" s="135" t="str">
        <f>IFERROR(INDEX('Docketed Comments'!N:N,MATCH(A981,'Docketed Comments'!H:H,0)),"")</f>
        <v>No</v>
      </c>
      <c r="O981" s="135" t="str">
        <f>IFERROR(INDEX('Docketed Comments'!L:L,MATCH(A981,'Docketed Comments'!H:H,0)),"")</f>
        <v>Yes</v>
      </c>
      <c r="P981" s="136">
        <f t="shared" si="30"/>
        <v>0</v>
      </c>
      <c r="Q981" s="140"/>
      <c r="R981" s="144">
        <v>1</v>
      </c>
    </row>
    <row r="982" spans="1:18" ht="21.95" customHeight="1">
      <c r="A982" s="71" t="s">
        <v>4483</v>
      </c>
      <c r="B982" s="69"/>
      <c r="C982" s="70"/>
      <c r="D982" s="69"/>
      <c r="E982" s="69"/>
      <c r="F982" s="65"/>
      <c r="G982" s="65" t="s">
        <v>5811</v>
      </c>
      <c r="H982" s="65" t="str">
        <f>IFERROR(INDEX('Docketed Comments'!C:C,MATCH(A982,'Docketed Comments'!H:H,0))&amp;", "&amp;INDEX('Docketed Comments'!B:B,MATCH(A982,'Docketed Comments'!H:H,0)),"")</f>
        <v>Audrey, DeMarco</v>
      </c>
      <c r="I982" s="65" t="str">
        <f>IFERROR(INDEX('Docketed Comments'!D:D,MATCH(A982,'Docketed Comments'!H:H,0)),"")</f>
        <v>Phoenix</v>
      </c>
      <c r="J982" s="65" t="str">
        <f>IFERROR(INDEX('Docketed Comments'!I:I,MATCH(A982,'Docketed Comments'!H:H,0)),"")</f>
        <v>R-BASIC</v>
      </c>
      <c r="K982" s="65" t="str">
        <f t="shared" si="31"/>
        <v>✅ On Best Plan</v>
      </c>
      <c r="L982" s="65" t="str">
        <f>IFERROR(INDEX('Docketed Comments'!F:F,MATCH(A982,'Docketed Comments'!H:H,0)),"")</f>
        <v>As it is as a senior it is hard enough to pay the electric bill now without a raise. Enough is enough.</v>
      </c>
      <c r="M982" s="137" t="str">
        <f>IFERROR(HYPERLINK(INDEX('Docketed Comments'!G:G,MATCH(A982,'Docketed Comments'!H:H,0)),"📄 View Docket"),"")</f>
        <v>📄 View Docket</v>
      </c>
      <c r="N982" s="135" t="str">
        <f>IFERROR(INDEX('Docketed Comments'!N:N,MATCH(A982,'Docketed Comments'!H:H,0)),"")</f>
        <v>No</v>
      </c>
      <c r="O982" s="135" t="str">
        <f>IFERROR(INDEX('Docketed Comments'!L:L,MATCH(A982,'Docketed Comments'!H:H,0)),"")</f>
        <v>Yes</v>
      </c>
      <c r="P982" s="136">
        <f t="shared" si="30"/>
        <v>0</v>
      </c>
      <c r="Q982" s="140"/>
      <c r="R982" s="144">
        <v>1</v>
      </c>
    </row>
    <row r="983" spans="1:18" ht="21.95" customHeight="1">
      <c r="A983" s="71" t="s">
        <v>4486</v>
      </c>
      <c r="B983" s="69"/>
      <c r="C983" s="70"/>
      <c r="D983" s="69"/>
      <c r="E983" s="69"/>
      <c r="F983" s="65"/>
      <c r="G983" s="65" t="s">
        <v>5811</v>
      </c>
      <c r="H983" s="65" t="str">
        <f>IFERROR(INDEX('Docketed Comments'!C:C,MATCH(A983,'Docketed Comments'!H:H,0))&amp;", "&amp;INDEX('Docketed Comments'!B:B,MATCH(A983,'Docketed Comments'!H:H,0)),"")</f>
        <v>Amy, Sluis</v>
      </c>
      <c r="I983" s="65" t="str">
        <f>IFERROR(INDEX('Docketed Comments'!D:D,MATCH(A983,'Docketed Comments'!H:H,0)),"")</f>
        <v>Payson</v>
      </c>
      <c r="J983" s="65" t="str">
        <f>IFERROR(INDEX('Docketed Comments'!I:I,MATCH(A983,'Docketed Comments'!H:H,0)),"")</f>
        <v>R-XS</v>
      </c>
      <c r="K983" s="65" t="str">
        <f t="shared" si="31"/>
        <v>✅ On Best Plan</v>
      </c>
      <c r="L983" s="65" t="str">
        <f>IFERROR(INDEX('Docketed Comments'!F:F,MATCH(A983,'Docketed Comments'!H:H,0)),"")</f>
        <v xml:space="preserve">I think the service fees are already very high. It is hard enough to pay the bills. </v>
      </c>
      <c r="M983" s="137" t="str">
        <f>IFERROR(HYPERLINK(INDEX('Docketed Comments'!G:G,MATCH(A983,'Docketed Comments'!H:H,0)),"📄 View Docket"),"")</f>
        <v>📄 View Docket</v>
      </c>
      <c r="N983" s="135" t="str">
        <f>IFERROR(INDEX('Docketed Comments'!N:N,MATCH(A983,'Docketed Comments'!H:H,0)),"")</f>
        <v>No</v>
      </c>
      <c r="O983" s="135" t="str">
        <f>IFERROR(INDEX('Docketed Comments'!L:L,MATCH(A983,'Docketed Comments'!H:H,0)),"")</f>
        <v>Yes</v>
      </c>
      <c r="P983" s="136">
        <f t="shared" si="30"/>
        <v>0</v>
      </c>
      <c r="Q983" s="140"/>
      <c r="R983" s="144">
        <v>1</v>
      </c>
    </row>
    <row r="984" spans="1:18" ht="21.95" customHeight="1">
      <c r="A984" s="71" t="s">
        <v>4497</v>
      </c>
      <c r="B984" s="69"/>
      <c r="C984" s="70"/>
      <c r="D984" s="69"/>
      <c r="E984" s="69"/>
      <c r="F984" s="65"/>
      <c r="G984" s="65" t="s">
        <v>5811</v>
      </c>
      <c r="H984" s="65" t="str">
        <f>IFERROR(INDEX('Docketed Comments'!C:C,MATCH(A984,'Docketed Comments'!H:H,0))&amp;", "&amp;INDEX('Docketed Comments'!B:B,MATCH(A984,'Docketed Comments'!H:H,0)),"")</f>
        <v>Debbie, Boyle</v>
      </c>
      <c r="I984" s="65" t="str">
        <f>IFERROR(INDEX('Docketed Comments'!D:D,MATCH(A984,'Docketed Comments'!H:H,0)),"")</f>
        <v>Buckeye</v>
      </c>
      <c r="J984" s="65" t="str">
        <f>IFERROR(INDEX('Docketed Comments'!I:I,MATCH(A984,'Docketed Comments'!H:H,0)),"")</f>
        <v>R3-47</v>
      </c>
      <c r="K984" s="65" t="str">
        <f t="shared" si="31"/>
        <v>✅ On Best Plan</v>
      </c>
      <c r="L984" s="65" t="str">
        <f>IFERROR(INDEX('Docketed Comments'!F:F,MATCH(A984,'Docketed Comments'!H:H,0)),"")</f>
        <v>nothing to do with improving services. They are pricing consumers right out of living.</v>
      </c>
      <c r="M984" s="137" t="str">
        <f>IFERROR(HYPERLINK(INDEX('Docketed Comments'!G:G,MATCH(A984,'Docketed Comments'!H:H,0)),"📄 View Docket"),"")</f>
        <v>📄 View Docket</v>
      </c>
      <c r="N984" s="135" t="str">
        <f>IFERROR(INDEX('Docketed Comments'!N:N,MATCH(A984,'Docketed Comments'!H:H,0)),"")</f>
        <v>No</v>
      </c>
      <c r="O984" s="135" t="str">
        <f>IFERROR(INDEX('Docketed Comments'!L:L,MATCH(A984,'Docketed Comments'!H:H,0)),"")</f>
        <v>Yes</v>
      </c>
      <c r="P984" s="136">
        <f t="shared" si="30"/>
        <v>0</v>
      </c>
      <c r="Q984" s="140"/>
      <c r="R984" s="144">
        <v>1</v>
      </c>
    </row>
    <row r="985" spans="1:18" ht="21.95" customHeight="1">
      <c r="A985" s="71" t="s">
        <v>4503</v>
      </c>
      <c r="B985" s="69"/>
      <c r="C985" s="70"/>
      <c r="D985" s="69"/>
      <c r="E985" s="69"/>
      <c r="F985" s="65"/>
      <c r="G985" s="65" t="s">
        <v>5811</v>
      </c>
      <c r="H985" s="65" t="str">
        <f>IFERROR(INDEX('Docketed Comments'!C:C,MATCH(A985,'Docketed Comments'!H:H,0))&amp;", "&amp;INDEX('Docketed Comments'!B:B,MATCH(A985,'Docketed Comments'!H:H,0)),"")</f>
        <v>Gayle, Anderson</v>
      </c>
      <c r="I985" s="65" t="str">
        <f>IFERROR(INDEX('Docketed Comments'!D:D,MATCH(A985,'Docketed Comments'!H:H,0)),"")</f>
        <v>Sun City West</v>
      </c>
      <c r="J985" s="65" t="str">
        <f>IFERROR(INDEX('Docketed Comments'!I:I,MATCH(A985,'Docketed Comments'!H:H,0)),"")</f>
        <v>R-2</v>
      </c>
      <c r="K985" s="65" t="str">
        <f t="shared" si="31"/>
        <v>⚠ Frozen Plan</v>
      </c>
      <c r="L985" s="65" t="str">
        <f>IFERROR(INDEX('Docketed Comments'!F:F,MATCH(A985,'Docketed Comments'!H:H,0)),"")</f>
        <v>APS is raping the customers! The educated have not forgotten the APS &amp; Republicans scandal just a few years ago! It's time to stop the corruption.</v>
      </c>
      <c r="M985" s="137" t="str">
        <f>IFERROR(HYPERLINK(INDEX('Docketed Comments'!G:G,MATCH(A985,'Docketed Comments'!H:H,0)),"📄 View Docket"),"")</f>
        <v>📄 View Docket</v>
      </c>
      <c r="N985" s="135" t="str">
        <f>IFERROR(INDEX('Docketed Comments'!N:N,MATCH(A985,'Docketed Comments'!H:H,0)),"")</f>
        <v>No</v>
      </c>
      <c r="O985" s="135" t="str">
        <f>IFERROR(INDEX('Docketed Comments'!L:L,MATCH(A985,'Docketed Comments'!H:H,0)),"")</f>
        <v>Frozen Plan</v>
      </c>
      <c r="P985" s="136">
        <f t="shared" si="30"/>
        <v>0</v>
      </c>
      <c r="Q985" s="140"/>
      <c r="R985" s="144">
        <v>1</v>
      </c>
    </row>
    <row r="986" spans="1:18" ht="21.95" customHeight="1">
      <c r="A986" s="71" t="s">
        <v>4509</v>
      </c>
      <c r="B986" s="69"/>
      <c r="C986" s="70"/>
      <c r="D986" s="69"/>
      <c r="E986" s="69"/>
      <c r="F986" s="65"/>
      <c r="G986" s="65" t="s">
        <v>5811</v>
      </c>
      <c r="H986" s="65" t="str">
        <f>IFERROR(INDEX('Docketed Comments'!C:C,MATCH(A986,'Docketed Comments'!H:H,0))&amp;", "&amp;INDEX('Docketed Comments'!B:B,MATCH(A986,'Docketed Comments'!H:H,0)),"")</f>
        <v>Susan, Vago</v>
      </c>
      <c r="I986" s="65" t="str">
        <f>IFERROR(INDEX('Docketed Comments'!D:D,MATCH(A986,'Docketed Comments'!H:H,0)),"")</f>
        <v>Phoenix</v>
      </c>
      <c r="J986" s="65" t="str">
        <f>IFERROR(INDEX('Docketed Comments'!I:I,MATCH(A986,'Docketed Comments'!H:H,0)),"")</f>
        <v>R3-47</v>
      </c>
      <c r="K986" s="65" t="str">
        <f t="shared" si="31"/>
        <v>✅ On Best Plan</v>
      </c>
      <c r="L986" s="65" t="str">
        <f>IFERROR(INDEX('Docketed Comments'!F:F,MATCH(A986,'Docketed Comments'!H:H,0)),"")</f>
        <v>Most of us are going to have to pay around 50.00 more per month than 2 years ago. When is the public going to get a break.</v>
      </c>
      <c r="M986" s="137" t="str">
        <f>IFERROR(HYPERLINK(INDEX('Docketed Comments'!G:G,MATCH(A986,'Docketed Comments'!H:H,0)),"📄 View Docket"),"")</f>
        <v>📄 View Docket</v>
      </c>
      <c r="N986" s="135" t="str">
        <f>IFERROR(INDEX('Docketed Comments'!N:N,MATCH(A986,'Docketed Comments'!H:H,0)),"")</f>
        <v>No</v>
      </c>
      <c r="O986" s="135" t="str">
        <f>IFERROR(INDEX('Docketed Comments'!L:L,MATCH(A986,'Docketed Comments'!H:H,0)),"")</f>
        <v>Yes</v>
      </c>
      <c r="P986" s="136">
        <f t="shared" si="30"/>
        <v>0</v>
      </c>
      <c r="Q986" s="140"/>
      <c r="R986" s="144">
        <v>1</v>
      </c>
    </row>
    <row r="987" spans="1:18" ht="21.95" customHeight="1">
      <c r="A987" s="71" t="s">
        <v>4518</v>
      </c>
      <c r="B987" s="69"/>
      <c r="C987" s="70"/>
      <c r="D987" s="69"/>
      <c r="E987" s="69"/>
      <c r="F987" s="65"/>
      <c r="G987" s="65" t="s">
        <v>5811</v>
      </c>
      <c r="H987" s="65" t="str">
        <f>IFERROR(INDEX('Docketed Comments'!C:C,MATCH(A987,'Docketed Comments'!H:H,0))&amp;", "&amp;INDEX('Docketed Comments'!B:B,MATCH(A987,'Docketed Comments'!H:H,0)),"")</f>
        <v>Scott, Dannen</v>
      </c>
      <c r="I987" s="65" t="str">
        <f>IFERROR(INDEX('Docketed Comments'!D:D,MATCH(A987,'Docketed Comments'!H:H,0)),"")</f>
        <v>Sun City West</v>
      </c>
      <c r="J987" s="65" t="str">
        <f>IFERROR(INDEX('Docketed Comments'!I:I,MATCH(A987,'Docketed Comments'!H:H,0)),"")</f>
        <v>RCPw/RTOUE47</v>
      </c>
      <c r="K987" s="65" t="str">
        <f t="shared" si="31"/>
        <v>✅ On Best Plan</v>
      </c>
      <c r="L987" s="65" t="str">
        <f>IFERROR(INDEX('Docketed Comments'!F:F,MATCH(A987,'Docketed Comments'!H:H,0)),"")</f>
        <v xml:space="preserve">APS needs to start cutting costs just like the rest of us... instead of running a poor business model and coming running to the Corporation Commission. </v>
      </c>
      <c r="M987" s="137" t="str">
        <f>IFERROR(HYPERLINK(INDEX('Docketed Comments'!G:G,MATCH(A987,'Docketed Comments'!H:H,0)),"📄 View Docket"),"")</f>
        <v>📄 View Docket</v>
      </c>
      <c r="N987" s="135" t="str">
        <f>IFERROR(INDEX('Docketed Comments'!N:N,MATCH(A987,'Docketed Comments'!H:H,0)),"")</f>
        <v>No</v>
      </c>
      <c r="O987" s="135" t="str">
        <f>IFERROR(INDEX('Docketed Comments'!L:L,MATCH(A987,'Docketed Comments'!H:H,0)),"")</f>
        <v>Yes</v>
      </c>
      <c r="P987" s="136">
        <f t="shared" si="30"/>
        <v>0</v>
      </c>
      <c r="Q987" s="140"/>
      <c r="R987" s="144">
        <v>1</v>
      </c>
    </row>
    <row r="988" spans="1:18" ht="21.95" customHeight="1">
      <c r="A988" s="71" t="s">
        <v>4521</v>
      </c>
      <c r="B988" s="69"/>
      <c r="C988" s="70"/>
      <c r="D988" s="69"/>
      <c r="E988" s="69"/>
      <c r="F988" s="65"/>
      <c r="G988" s="65" t="s">
        <v>5811</v>
      </c>
      <c r="H988" s="65" t="str">
        <f>IFERROR(INDEX('Docketed Comments'!C:C,MATCH(A988,'Docketed Comments'!H:H,0))&amp;", "&amp;INDEX('Docketed Comments'!B:B,MATCH(A988,'Docketed Comments'!H:H,0)),"")</f>
        <v>Heather, Bapst</v>
      </c>
      <c r="I988" s="65" t="str">
        <f>IFERROR(INDEX('Docketed Comments'!D:D,MATCH(A988,'Docketed Comments'!H:H,0)),"")</f>
        <v>Chino Valley</v>
      </c>
      <c r="J988" s="65" t="str">
        <f>IFERROR(INDEX('Docketed Comments'!I:I,MATCH(A988,'Docketed Comments'!H:H,0)),"")</f>
        <v>R-XS</v>
      </c>
      <c r="K988" s="65" t="str">
        <f t="shared" si="31"/>
        <v>✅ On Best Plan</v>
      </c>
      <c r="L988" s="65" t="str">
        <f>IFERROR(INDEX('Docketed Comments'!F:F,MATCH(A988,'Docketed Comments'!H:H,0)),"")</f>
        <v xml:space="preserve">I'm a single mom - I can't even afford internet let alone an increase in one of my normal costs. </v>
      </c>
      <c r="M988" s="137" t="str">
        <f>IFERROR(HYPERLINK(INDEX('Docketed Comments'!G:G,MATCH(A988,'Docketed Comments'!H:H,0)),"📄 View Docket"),"")</f>
        <v>📄 View Docket</v>
      </c>
      <c r="N988" s="135" t="str">
        <f>IFERROR(INDEX('Docketed Comments'!N:N,MATCH(A988,'Docketed Comments'!H:H,0)),"")</f>
        <v>No</v>
      </c>
      <c r="O988" s="135" t="str">
        <f>IFERROR(INDEX('Docketed Comments'!L:L,MATCH(A988,'Docketed Comments'!H:H,0)),"")</f>
        <v>Yes</v>
      </c>
      <c r="P988" s="136">
        <f t="shared" si="30"/>
        <v>0</v>
      </c>
      <c r="Q988" s="140"/>
      <c r="R988" s="144">
        <v>1</v>
      </c>
    </row>
    <row r="989" spans="1:18" ht="21.95" customHeight="1">
      <c r="A989" s="71" t="s">
        <v>4535</v>
      </c>
      <c r="B989" s="69"/>
      <c r="C989" s="70"/>
      <c r="D989" s="69"/>
      <c r="E989" s="69"/>
      <c r="F989" s="65"/>
      <c r="G989" s="65" t="s">
        <v>5811</v>
      </c>
      <c r="H989" s="65" t="str">
        <f>IFERROR(INDEX('Docketed Comments'!C:C,MATCH(A989,'Docketed Comments'!H:H,0))&amp;", "&amp;INDEX('Docketed Comments'!B:B,MATCH(A989,'Docketed Comments'!H:H,0)),"")</f>
        <v>James, Kamb</v>
      </c>
      <c r="I989" s="65" t="str">
        <f>IFERROR(INDEX('Docketed Comments'!D:D,MATCH(A989,'Docketed Comments'!H:H,0)),"")</f>
        <v>Gilbert</v>
      </c>
      <c r="J989" s="65" t="str">
        <f>IFERROR(INDEX('Docketed Comments'!I:I,MATCH(A989,'Docketed Comments'!H:H,0)),"")</f>
        <v>R-2</v>
      </c>
      <c r="K989" s="65" t="str">
        <f t="shared" si="31"/>
        <v>⚠ Frozen Plan</v>
      </c>
      <c r="L989" s="65" t="str">
        <f>IFERROR(INDEX('Docketed Comments'!F:F,MATCH(A989,'Docketed Comments'!H:H,0)),"")</f>
        <v>If the parent company is unable to run the utility without requiring huge profits from the public need, perhaps they should sell to the State of Arizona</v>
      </c>
      <c r="M989" s="137" t="str">
        <f>IFERROR(HYPERLINK(INDEX('Docketed Comments'!G:G,MATCH(A989,'Docketed Comments'!H:H,0)),"📄 View Docket"),"")</f>
        <v>📄 View Docket</v>
      </c>
      <c r="N989" s="135" t="str">
        <f>IFERROR(INDEX('Docketed Comments'!N:N,MATCH(A989,'Docketed Comments'!H:H,0)),"")</f>
        <v>No</v>
      </c>
      <c r="O989" s="135" t="str">
        <f>IFERROR(INDEX('Docketed Comments'!L:L,MATCH(A989,'Docketed Comments'!H:H,0)),"")</f>
        <v>Frozen Plan</v>
      </c>
      <c r="P989" s="136">
        <f t="shared" si="30"/>
        <v>0</v>
      </c>
      <c r="Q989" s="140"/>
      <c r="R989" s="144">
        <v>1</v>
      </c>
    </row>
    <row r="990" spans="1:18" ht="21.95" customHeight="1">
      <c r="A990" s="71" t="s">
        <v>4539</v>
      </c>
      <c r="B990" s="69"/>
      <c r="C990" s="70"/>
      <c r="D990" s="69"/>
      <c r="E990" s="69"/>
      <c r="F990" s="65"/>
      <c r="G990" s="65" t="s">
        <v>5811</v>
      </c>
      <c r="H990" s="65" t="str">
        <f>IFERROR(INDEX('Docketed Comments'!C:C,MATCH(A990,'Docketed Comments'!H:H,0))&amp;", "&amp;INDEX('Docketed Comments'!B:B,MATCH(A990,'Docketed Comments'!H:H,0)),"")</f>
        <v>Merry, Mikles</v>
      </c>
      <c r="I990" s="65" t="str">
        <f>IFERROR(INDEX('Docketed Comments'!D:D,MATCH(A990,'Docketed Comments'!H:H,0)),"")</f>
        <v>Coolidge</v>
      </c>
      <c r="J990" s="65" t="str">
        <f>IFERROR(INDEX('Docketed Comments'!I:I,MATCH(A990,'Docketed Comments'!H:H,0)),"")</f>
        <v>RCPw/RTOUE47</v>
      </c>
      <c r="K990" s="65" t="str">
        <f t="shared" si="31"/>
        <v>✅ On Best Plan</v>
      </c>
      <c r="L990" s="65" t="str">
        <f>IFERROR(INDEX('Docketed Comments'!F:F,MATCH(A990,'Docketed Comments'!H:H,0)),"")</f>
        <v>I invested in solar and they still charge excessive amounts in the summer when it's high usage in Arizona</v>
      </c>
      <c r="M990" s="137" t="str">
        <f>IFERROR(HYPERLINK(INDEX('Docketed Comments'!G:G,MATCH(A990,'Docketed Comments'!H:H,0)),"📄 View Docket"),"")</f>
        <v>📄 View Docket</v>
      </c>
      <c r="N990" s="135" t="str">
        <f>IFERROR(INDEX('Docketed Comments'!N:N,MATCH(A990,'Docketed Comments'!H:H,0)),"")</f>
        <v>No</v>
      </c>
      <c r="O990" s="135" t="str">
        <f>IFERROR(INDEX('Docketed Comments'!L:L,MATCH(A990,'Docketed Comments'!H:H,0)),"")</f>
        <v>Yes</v>
      </c>
      <c r="P990" s="136">
        <f t="shared" si="30"/>
        <v>0</v>
      </c>
      <c r="Q990" s="140"/>
      <c r="R990" s="144">
        <v>1</v>
      </c>
    </row>
    <row r="991" spans="1:18" ht="21.95" customHeight="1">
      <c r="A991" s="71" t="s">
        <v>4383</v>
      </c>
      <c r="B991" s="69"/>
      <c r="C991" s="70"/>
      <c r="D991" s="69"/>
      <c r="E991" s="69"/>
      <c r="F991" s="65"/>
      <c r="G991" s="65" t="s">
        <v>5811</v>
      </c>
      <c r="H991" s="65" t="str">
        <f>IFERROR(INDEX('Docketed Comments'!C:C,MATCH(A991,'Docketed Comments'!H:H,0))&amp;", "&amp;INDEX('Docketed Comments'!B:B,MATCH(A991,'Docketed Comments'!H:H,0)),"")</f>
        <v>Rosario, Zavala</v>
      </c>
      <c r="I991" s="65" t="str">
        <f>IFERROR(INDEX('Docketed Comments'!D:D,MATCH(A991,'Docketed Comments'!H:H,0)),"")</f>
        <v>Yuma</v>
      </c>
      <c r="J991" s="65" t="str">
        <f>IFERROR(INDEX('Docketed Comments'!I:I,MATCH(A991,'Docketed Comments'!H:H,0)),"")</f>
        <v>R-2</v>
      </c>
      <c r="K991" s="65" t="str">
        <f t="shared" si="31"/>
        <v>⚠ Frozen Plan</v>
      </c>
      <c r="L991" s="65" t="str">
        <f>IFERROR(INDEX('Docketed Comments'!F:F,MATCH(A991,'Docketed Comments'!H:H,0)),"")</f>
        <v>everything is so expensive we can't no longer are able to support ourselves on the income we receive from social security</v>
      </c>
      <c r="M991" s="137" t="str">
        <f>IFERROR(HYPERLINK(INDEX('Docketed Comments'!G:G,MATCH(A991,'Docketed Comments'!H:H,0)),"📄 View Docket"),"")</f>
        <v>📄 View Docket</v>
      </c>
      <c r="N991" s="135" t="str">
        <f>IFERROR(INDEX('Docketed Comments'!N:N,MATCH(A991,'Docketed Comments'!H:H,0)),"")</f>
        <v>No</v>
      </c>
      <c r="O991" s="135" t="str">
        <f>IFERROR(INDEX('Docketed Comments'!L:L,MATCH(A991,'Docketed Comments'!H:H,0)),"")</f>
        <v>Frozen Plan</v>
      </c>
      <c r="P991" s="136">
        <f t="shared" si="30"/>
        <v>0</v>
      </c>
      <c r="Q991" s="140"/>
      <c r="R991" s="144">
        <v>1</v>
      </c>
    </row>
    <row r="992" spans="1:18" ht="21.95" customHeight="1">
      <c r="A992" s="71" t="s">
        <v>4547</v>
      </c>
      <c r="B992" s="69"/>
      <c r="C992" s="70"/>
      <c r="D992" s="69"/>
      <c r="E992" s="69"/>
      <c r="F992" s="65"/>
      <c r="G992" s="65" t="s">
        <v>5811</v>
      </c>
      <c r="H992" s="65" t="str">
        <f>IFERROR(INDEX('Docketed Comments'!C:C,MATCH(A992,'Docketed Comments'!H:H,0))&amp;", "&amp;INDEX('Docketed Comments'!B:B,MATCH(A992,'Docketed Comments'!H:H,0)),"")</f>
        <v>Faith, Jorgensen</v>
      </c>
      <c r="I992" s="65" t="str">
        <f>IFERROR(INDEX('Docketed Comments'!D:D,MATCH(A992,'Docketed Comments'!H:H,0)),"")</f>
        <v>Arizona City</v>
      </c>
      <c r="J992" s="65" t="str">
        <f>IFERROR(INDEX('Docketed Comments'!I:I,MATCH(A992,'Docketed Comments'!H:H,0)),"")</f>
        <v>R3-47</v>
      </c>
      <c r="K992" s="65" t="str">
        <f t="shared" si="31"/>
        <v>✅ On Best Plan</v>
      </c>
      <c r="L992" s="65" t="str">
        <f>IFERROR(INDEX('Docketed Comments'!F:F,MATCH(A992,'Docketed Comments'!H:H,0)),"")</f>
        <v>We already pay incredibly high energy prices in the summer. I do not approve of any increases in prices.</v>
      </c>
      <c r="M992" s="137" t="str">
        <f>IFERROR(HYPERLINK(INDEX('Docketed Comments'!G:G,MATCH(A992,'Docketed Comments'!H:H,0)),"📄 View Docket"),"")</f>
        <v>📄 View Docket</v>
      </c>
      <c r="N992" s="135" t="str">
        <f>IFERROR(INDEX('Docketed Comments'!N:N,MATCH(A992,'Docketed Comments'!H:H,0)),"")</f>
        <v>No</v>
      </c>
      <c r="O992" s="135" t="str">
        <f>IFERROR(INDEX('Docketed Comments'!L:L,MATCH(A992,'Docketed Comments'!H:H,0)),"")</f>
        <v>Yes</v>
      </c>
      <c r="P992" s="136">
        <f t="shared" si="30"/>
        <v>0</v>
      </c>
      <c r="Q992" s="140"/>
      <c r="R992" s="144">
        <v>1</v>
      </c>
    </row>
    <row r="993" spans="1:18" ht="21.95" customHeight="1">
      <c r="A993" s="71" t="s">
        <v>4040</v>
      </c>
      <c r="B993" s="69"/>
      <c r="C993" s="70"/>
      <c r="D993" s="69"/>
      <c r="E993" s="69"/>
      <c r="F993" s="65"/>
      <c r="G993" s="65" t="s">
        <v>5811</v>
      </c>
      <c r="H993" s="65" t="str">
        <f>IFERROR(INDEX('Docketed Comments'!C:C,MATCH(A993,'Docketed Comments'!H:H,0))&amp;", "&amp;INDEX('Docketed Comments'!B:B,MATCH(A993,'Docketed Comments'!H:H,0)),"")</f>
        <v>Louis, Gardella</v>
      </c>
      <c r="I993" s="65" t="str">
        <f>IFERROR(INDEX('Docketed Comments'!D:D,MATCH(A993,'Docketed Comments'!H:H,0)),"")</f>
        <v>Sun City</v>
      </c>
      <c r="J993" s="65" t="str">
        <f>IFERROR(INDEX('Docketed Comments'!I:I,MATCH(A993,'Docketed Comments'!H:H,0)),"")</f>
        <v>R3-47</v>
      </c>
      <c r="K993" s="65" t="str">
        <f t="shared" si="31"/>
        <v>✅ On Best Plan</v>
      </c>
      <c r="L993" s="65" t="str">
        <f>IFERROR(INDEX('Docketed Comments'!F:F,MATCH(A993,'Docketed Comments'!H:H,0)),"")</f>
        <v>An average of $20 being added to simmer until bill will make it almost unmanageable for residents on a fixed income.</v>
      </c>
      <c r="M993" s="137" t="str">
        <f>IFERROR(HYPERLINK(INDEX('Docketed Comments'!G:G,MATCH(A993,'Docketed Comments'!H:H,0)),"📄 View Docket"),"")</f>
        <v>📄 View Docket</v>
      </c>
      <c r="N993" s="135" t="str">
        <f>IFERROR(INDEX('Docketed Comments'!N:N,MATCH(A993,'Docketed Comments'!H:H,0)),"")</f>
        <v>No</v>
      </c>
      <c r="O993" s="135" t="str">
        <f>IFERROR(INDEX('Docketed Comments'!L:L,MATCH(A993,'Docketed Comments'!H:H,0)),"")</f>
        <v>Yes</v>
      </c>
      <c r="P993" s="136">
        <f t="shared" si="30"/>
        <v>0</v>
      </c>
      <c r="Q993" s="140"/>
      <c r="R993" s="144">
        <v>1</v>
      </c>
    </row>
    <row r="994" spans="1:18" ht="21.95" customHeight="1">
      <c r="A994" s="71" t="s">
        <v>4553</v>
      </c>
      <c r="B994" s="69"/>
      <c r="C994" s="70"/>
      <c r="D994" s="69"/>
      <c r="E994" s="69"/>
      <c r="F994" s="65"/>
      <c r="G994" s="65" t="s">
        <v>5811</v>
      </c>
      <c r="H994" s="65" t="str">
        <f>IFERROR(INDEX('Docketed Comments'!C:C,MATCH(A994,'Docketed Comments'!H:H,0))&amp;", "&amp;INDEX('Docketed Comments'!B:B,MATCH(A994,'Docketed Comments'!H:H,0)),"")</f>
        <v>Jason, Thomas</v>
      </c>
      <c r="I994" s="65" t="str">
        <f>IFERROR(INDEX('Docketed Comments'!D:D,MATCH(A994,'Docketed Comments'!H:H,0)),"")</f>
        <v>Phoenix</v>
      </c>
      <c r="J994" s="65" t="str">
        <f>IFERROR(INDEX('Docketed Comments'!I:I,MATCH(A994,'Docketed Comments'!H:H,0)),"")</f>
        <v>R3-47</v>
      </c>
      <c r="K994" s="65" t="str">
        <f t="shared" si="31"/>
        <v>✅ On Best Plan</v>
      </c>
      <c r="L994" s="65" t="str">
        <f>IFERROR(INDEX('Docketed Comments'!F:F,MATCH(A994,'Docketed Comments'!H:H,0)),"")</f>
        <v>My experience with APS has been defined by a total lack of transparency and poor service</v>
      </c>
      <c r="M994" s="137" t="str">
        <f>IFERROR(HYPERLINK(INDEX('Docketed Comments'!G:G,MATCH(A994,'Docketed Comments'!H:H,0)),"📄 View Docket"),"")</f>
        <v>📄 View Docket</v>
      </c>
      <c r="N994" s="135" t="str">
        <f>IFERROR(INDEX('Docketed Comments'!N:N,MATCH(A994,'Docketed Comments'!H:H,0)),"")</f>
        <v>No</v>
      </c>
      <c r="O994" s="135" t="str">
        <f>IFERROR(INDEX('Docketed Comments'!L:L,MATCH(A994,'Docketed Comments'!H:H,0)),"")</f>
        <v>Yes</v>
      </c>
      <c r="P994" s="136">
        <f t="shared" si="30"/>
        <v>0</v>
      </c>
      <c r="Q994" s="140"/>
      <c r="R994" s="144">
        <v>1</v>
      </c>
    </row>
    <row r="995" spans="1:18" ht="21.95" customHeight="1">
      <c r="A995" s="71" t="s">
        <v>4563</v>
      </c>
      <c r="B995" s="69"/>
      <c r="C995" s="70"/>
      <c r="D995" s="69"/>
      <c r="E995" s="69"/>
      <c r="F995" s="65"/>
      <c r="G995" s="65" t="s">
        <v>5811</v>
      </c>
      <c r="H995" s="65" t="str">
        <f>IFERROR(INDEX('Docketed Comments'!C:C,MATCH(A995,'Docketed Comments'!H:H,0))&amp;", "&amp;INDEX('Docketed Comments'!B:B,MATCH(A995,'Docketed Comments'!H:H,0)),"")</f>
        <v>Christian, Pittman</v>
      </c>
      <c r="I995" s="65" t="str">
        <f>IFERROR(INDEX('Docketed Comments'!D:D,MATCH(A995,'Docketed Comments'!H:H,0)),"")</f>
        <v>Flagstaff</v>
      </c>
      <c r="J995" s="65" t="str">
        <f>IFERROR(INDEX('Docketed Comments'!I:I,MATCH(A995,'Docketed Comments'!H:H,0)),"")</f>
        <v>RTOUE47</v>
      </c>
      <c r="K995" s="65" t="str">
        <f t="shared" si="31"/>
        <v>✅ On Best Plan</v>
      </c>
      <c r="L995" s="65" t="str">
        <f>IFERROR(INDEX('Docketed Comments'!F:F,MATCH(A995,'Docketed Comments'!H:H,0)),"")</f>
        <v>you've supported everything the federal government has done in the last year. Eat your costs, provide your public service</v>
      </c>
      <c r="M995" s="137" t="str">
        <f>IFERROR(HYPERLINK(INDEX('Docketed Comments'!G:G,MATCH(A995,'Docketed Comments'!H:H,0)),"📄 View Docket"),"")</f>
        <v>📄 View Docket</v>
      </c>
      <c r="N995" s="135" t="str">
        <f>IFERROR(INDEX('Docketed Comments'!N:N,MATCH(A995,'Docketed Comments'!H:H,0)),"")</f>
        <v>No</v>
      </c>
      <c r="O995" s="135" t="str">
        <f>IFERROR(INDEX('Docketed Comments'!L:L,MATCH(A995,'Docketed Comments'!H:H,0)),"")</f>
        <v>Yes</v>
      </c>
      <c r="P995" s="136">
        <f t="shared" si="30"/>
        <v>0</v>
      </c>
      <c r="Q995" s="140"/>
      <c r="R995" s="144">
        <v>1</v>
      </c>
    </row>
    <row r="996" spans="1:18" ht="21.95" customHeight="1">
      <c r="A996" s="71" t="s">
        <v>4571</v>
      </c>
      <c r="B996" s="69"/>
      <c r="C996" s="70"/>
      <c r="D996" s="69"/>
      <c r="E996" s="69"/>
      <c r="F996" s="65"/>
      <c r="G996" s="65" t="s">
        <v>5811</v>
      </c>
      <c r="H996" s="65" t="str">
        <f>IFERROR(INDEX('Docketed Comments'!C:C,MATCH(A996,'Docketed Comments'!H:H,0))&amp;", "&amp;INDEX('Docketed Comments'!B:B,MATCH(A996,'Docketed Comments'!H:H,0)),"")</f>
        <v>Daniel, Vega</v>
      </c>
      <c r="I996" s="65" t="str">
        <f>IFERROR(INDEX('Docketed Comments'!D:D,MATCH(A996,'Docketed Comments'!H:H,0)),"")</f>
        <v>Phoenix</v>
      </c>
      <c r="J996" s="65" t="str">
        <f>IFERROR(INDEX('Docketed Comments'!I:I,MATCH(A996,'Docketed Comments'!H:H,0)),"")</f>
        <v>R-XS</v>
      </c>
      <c r="K996" s="65" t="str">
        <f t="shared" si="31"/>
        <v>✅ On Best Plan</v>
      </c>
      <c r="L996" s="65" t="str">
        <f>IFERROR(INDEX('Docketed Comments'!F:F,MATCH(A996,'Docketed Comments'!H:H,0)),"")</f>
        <v xml:space="preserve">My fiance and I are raising two kids as a middle-class household, but with these increasing costs, it doesn't even feel like we are middle class anymore. </v>
      </c>
      <c r="M996" s="137" t="str">
        <f>IFERROR(HYPERLINK(INDEX('Docketed Comments'!G:G,MATCH(A996,'Docketed Comments'!H:H,0)),"📄 View Docket"),"")</f>
        <v>📄 View Docket</v>
      </c>
      <c r="N996" s="135" t="str">
        <f>IFERROR(INDEX('Docketed Comments'!N:N,MATCH(A996,'Docketed Comments'!H:H,0)),"")</f>
        <v>No</v>
      </c>
      <c r="O996" s="135" t="str">
        <f>IFERROR(INDEX('Docketed Comments'!L:L,MATCH(A996,'Docketed Comments'!H:H,0)),"")</f>
        <v>Yes</v>
      </c>
      <c r="P996" s="136">
        <f t="shared" si="30"/>
        <v>0</v>
      </c>
      <c r="Q996" s="140"/>
      <c r="R996" s="144">
        <v>1</v>
      </c>
    </row>
    <row r="997" spans="1:18" ht="21.95" customHeight="1">
      <c r="A997" s="71" t="s">
        <v>4577</v>
      </c>
      <c r="B997" s="69"/>
      <c r="C997" s="70"/>
      <c r="D997" s="69"/>
      <c r="E997" s="69"/>
      <c r="F997" s="65"/>
      <c r="G997" s="65" t="s">
        <v>5811</v>
      </c>
      <c r="H997" s="65" t="str">
        <f>IFERROR(INDEX('Docketed Comments'!C:C,MATCH(A997,'Docketed Comments'!H:H,0))&amp;", "&amp;INDEX('Docketed Comments'!B:B,MATCH(A997,'Docketed Comments'!H:H,0)),"")</f>
        <v>Virginia, Crozier</v>
      </c>
      <c r="I997" s="65" t="str">
        <f>IFERROR(INDEX('Docketed Comments'!D:D,MATCH(A997,'Docketed Comments'!H:H,0)),"")</f>
        <v>Chino Valley</v>
      </c>
      <c r="J997" s="65" t="str">
        <f>IFERROR(INDEX('Docketed Comments'!I:I,MATCH(A997,'Docketed Comments'!H:H,0)),"")</f>
        <v>R-XS</v>
      </c>
      <c r="K997" s="65" t="str">
        <f t="shared" si="31"/>
        <v>✅ On Best Plan</v>
      </c>
      <c r="L997" s="65" t="str">
        <f>IFERROR(INDEX('Docketed Comments'!F:F,MATCH(A997,'Docketed Comments'!H:H,0)),"")</f>
        <v xml:space="preserve">We are living paycheck to paycheck, but it's just over the limit for help with our utilities. We live in a small trailer in a RV park. </v>
      </c>
      <c r="M997" s="137" t="str">
        <f>IFERROR(HYPERLINK(INDEX('Docketed Comments'!G:G,MATCH(A997,'Docketed Comments'!H:H,0)),"📄 View Docket"),"")</f>
        <v>📄 View Docket</v>
      </c>
      <c r="N997" s="135" t="str">
        <f>IFERROR(INDEX('Docketed Comments'!N:N,MATCH(A997,'Docketed Comments'!H:H,0)),"")</f>
        <v>No</v>
      </c>
      <c r="O997" s="135" t="str">
        <f>IFERROR(INDEX('Docketed Comments'!L:L,MATCH(A997,'Docketed Comments'!H:H,0)),"")</f>
        <v>Yes</v>
      </c>
      <c r="P997" s="136">
        <f t="shared" si="30"/>
        <v>0</v>
      </c>
      <c r="Q997" s="140"/>
      <c r="R997" s="144">
        <v>1</v>
      </c>
    </row>
    <row r="998" spans="1:18" ht="21.95" customHeight="1">
      <c r="A998" s="71" t="s">
        <v>4580</v>
      </c>
      <c r="B998" s="69"/>
      <c r="C998" s="70"/>
      <c r="D998" s="69"/>
      <c r="E998" s="69"/>
      <c r="F998" s="65"/>
      <c r="G998" s="65" t="s">
        <v>5811</v>
      </c>
      <c r="H998" s="65" t="str">
        <f>IFERROR(INDEX('Docketed Comments'!C:C,MATCH(A998,'Docketed Comments'!H:H,0))&amp;", "&amp;INDEX('Docketed Comments'!B:B,MATCH(A998,'Docketed Comments'!H:H,0)),"")</f>
        <v>Jennifer, Kolodinsky</v>
      </c>
      <c r="I998" s="65" t="str">
        <f>IFERROR(INDEX('Docketed Comments'!D:D,MATCH(A998,'Docketed Comments'!H:H,0)),"")</f>
        <v>Flagstaff</v>
      </c>
      <c r="J998" s="65" t="str">
        <f>IFERROR(INDEX('Docketed Comments'!I:I,MATCH(A998,'Docketed Comments'!H:H,0)),"")</f>
        <v>R-XS</v>
      </c>
      <c r="K998" s="65" t="str">
        <f t="shared" si="31"/>
        <v>✅ On Best Plan</v>
      </c>
      <c r="L998" s="65" t="str">
        <f>IFERROR(INDEX('Docketed Comments'!F:F,MATCH(A998,'Docketed Comments'!H:H,0)),"")</f>
        <v>seeking to skirt the historical process of public comment and rate making procedure. Particularly in light of the fact that APS has not followed through with prior commitment to clean energy</v>
      </c>
      <c r="M998" s="137" t="str">
        <f>IFERROR(HYPERLINK(INDEX('Docketed Comments'!G:G,MATCH(A998,'Docketed Comments'!H:H,0)),"📄 View Docket"),"")</f>
        <v>📄 View Docket</v>
      </c>
      <c r="N998" s="135" t="str">
        <f>IFERROR(INDEX('Docketed Comments'!N:N,MATCH(A998,'Docketed Comments'!H:H,0)),"")</f>
        <v>No</v>
      </c>
      <c r="O998" s="135" t="str">
        <f>IFERROR(INDEX('Docketed Comments'!L:L,MATCH(A998,'Docketed Comments'!H:H,0)),"")</f>
        <v>Yes</v>
      </c>
      <c r="P998" s="136">
        <f t="shared" si="30"/>
        <v>0</v>
      </c>
      <c r="Q998" s="140"/>
      <c r="R998" s="144">
        <v>1</v>
      </c>
    </row>
    <row r="999" spans="1:18" ht="21.95" customHeight="1">
      <c r="A999" s="71" t="s">
        <v>4584</v>
      </c>
      <c r="B999" s="69"/>
      <c r="C999" s="70"/>
      <c r="D999" s="69"/>
      <c r="E999" s="69"/>
      <c r="F999" s="65"/>
      <c r="G999" s="65" t="s">
        <v>5811</v>
      </c>
      <c r="H999" s="65" t="str">
        <f>IFERROR(INDEX('Docketed Comments'!C:C,MATCH(A999,'Docketed Comments'!H:H,0))&amp;", "&amp;INDEX('Docketed Comments'!B:B,MATCH(A999,'Docketed Comments'!H:H,0)),"")</f>
        <v>Darlene, Alsbrook</v>
      </c>
      <c r="I999" s="65" t="str">
        <f>IFERROR(INDEX('Docketed Comments'!D:D,MATCH(A999,'Docketed Comments'!H:H,0)),"")</f>
        <v>Scottsdale</v>
      </c>
      <c r="J999" s="65" t="str">
        <f>IFERROR(INDEX('Docketed Comments'!I:I,MATCH(A999,'Docketed Comments'!H:H,0)),"")</f>
        <v>RTOUE47</v>
      </c>
      <c r="K999" s="65" t="str">
        <f t="shared" si="31"/>
        <v>✅ On Best Plan</v>
      </c>
      <c r="L999" s="65" t="str">
        <f>IFERROR(INDEX('Docketed Comments'!F:F,MATCH(A999,'Docketed Comments'!H:H,0)),"")</f>
        <v>The  mental &amp; emotional impact of rising costs in each of these areas is contributing to the decline in mental health and directly to the riots &amp; civil unrest</v>
      </c>
      <c r="M999" s="137" t="str">
        <f>IFERROR(HYPERLINK(INDEX('Docketed Comments'!G:G,MATCH(A999,'Docketed Comments'!H:H,0)),"📄 View Docket"),"")</f>
        <v>📄 View Docket</v>
      </c>
      <c r="N999" s="135" t="str">
        <f>IFERROR(INDEX('Docketed Comments'!N:N,MATCH(A999,'Docketed Comments'!H:H,0)),"")</f>
        <v>No</v>
      </c>
      <c r="O999" s="135" t="str">
        <f>IFERROR(INDEX('Docketed Comments'!L:L,MATCH(A999,'Docketed Comments'!H:H,0)),"")</f>
        <v>Yes</v>
      </c>
      <c r="P999" s="136">
        <f t="shared" si="30"/>
        <v>0</v>
      </c>
      <c r="Q999" s="140"/>
      <c r="R999" s="144">
        <v>1</v>
      </c>
    </row>
    <row r="1000" spans="1:18" ht="21.95" customHeight="1">
      <c r="A1000" s="71" t="s">
        <v>4587</v>
      </c>
      <c r="B1000" s="69"/>
      <c r="C1000" s="70"/>
      <c r="D1000" s="69"/>
      <c r="E1000" s="69"/>
      <c r="F1000" s="65"/>
      <c r="G1000" s="65" t="s">
        <v>5811</v>
      </c>
      <c r="H1000" s="65" t="str">
        <f>IFERROR(INDEX('Docketed Comments'!C:C,MATCH(A1000,'Docketed Comments'!H:H,0))&amp;", "&amp;INDEX('Docketed Comments'!B:B,MATCH(A1000,'Docketed Comments'!H:H,0)),"")</f>
        <v>Frank, Craig</v>
      </c>
      <c r="I1000" s="65" t="str">
        <f>IFERROR(INDEX('Docketed Comments'!D:D,MATCH(A1000,'Docketed Comments'!H:H,0)),"")</f>
        <v>Cottonwood</v>
      </c>
      <c r="J1000" s="65" t="str">
        <f>IFERROR(INDEX('Docketed Comments'!I:I,MATCH(A1000,'Docketed Comments'!H:H,0)),"")</f>
        <v>RCPw/RTOUE47</v>
      </c>
      <c r="K1000" s="65" t="str">
        <f t="shared" si="31"/>
        <v>✅ On Best Plan</v>
      </c>
      <c r="L1000" s="65" t="str">
        <f>IFERROR(INDEX('Docketed Comments'!F:F,MATCH(A1000,'Docketed Comments'!H:H,0)),"")</f>
        <v>Opposed</v>
      </c>
      <c r="M1000" s="137" t="str">
        <f>IFERROR(HYPERLINK(INDEX('Docketed Comments'!G:G,MATCH(A1000,'Docketed Comments'!H:H,0)),"📄 View Docket"),"")</f>
        <v>📄 View Docket</v>
      </c>
      <c r="N1000" s="135" t="str">
        <f>IFERROR(INDEX('Docketed Comments'!N:N,MATCH(A1000,'Docketed Comments'!H:H,0)),"")</f>
        <v>No</v>
      </c>
      <c r="O1000" s="135" t="str">
        <f>IFERROR(INDEX('Docketed Comments'!L:L,MATCH(A1000,'Docketed Comments'!H:H,0)),"")</f>
        <v>Yes</v>
      </c>
      <c r="P1000" s="136">
        <f t="shared" si="30"/>
        <v>0</v>
      </c>
      <c r="Q1000" s="140"/>
      <c r="R1000" s="144">
        <v>1</v>
      </c>
    </row>
    <row r="1001" spans="1:18" ht="21.95" customHeight="1">
      <c r="A1001" s="71" t="s">
        <v>4594</v>
      </c>
      <c r="B1001" s="69"/>
      <c r="C1001" s="70"/>
      <c r="D1001" s="69"/>
      <c r="E1001" s="69"/>
      <c r="F1001" s="65"/>
      <c r="G1001" s="65" t="s">
        <v>5811</v>
      </c>
      <c r="H1001" s="65" t="str">
        <f>IFERROR(INDEX('Docketed Comments'!C:C,MATCH(A1001,'Docketed Comments'!H:H,0))&amp;", "&amp;INDEX('Docketed Comments'!B:B,MATCH(A1001,'Docketed Comments'!H:H,0)),"")</f>
        <v>Hollie, Tolmachoff</v>
      </c>
      <c r="I1001" s="65" t="str">
        <f>IFERROR(INDEX('Docketed Comments'!D:D,MATCH(A1001,'Docketed Comments'!H:H,0)),"")</f>
        <v>Waddell</v>
      </c>
      <c r="J1001" s="65" t="str">
        <f>IFERROR(INDEX('Docketed Comments'!I:I,MATCH(A1001,'Docketed Comments'!H:H,0)),"")</f>
        <v>R3-47</v>
      </c>
      <c r="K1001" s="65" t="str">
        <f t="shared" si="31"/>
        <v>✅ On Best Plan</v>
      </c>
      <c r="L1001" s="65" t="str">
        <f>IFERROR(INDEX('Docketed Comments'!F:F,MATCH(A1001,'Docketed Comments'!H:H,0)),"")</f>
        <v>As a mom helping to support a family of six, our electricity costs are already overwhelming</v>
      </c>
      <c r="M1001" s="137" t="str">
        <f>IFERROR(HYPERLINK(INDEX('Docketed Comments'!G:G,MATCH(A1001,'Docketed Comments'!H:H,0)),"📄 View Docket"),"")</f>
        <v>📄 View Docket</v>
      </c>
      <c r="N1001" s="135" t="str">
        <f>IFERROR(INDEX('Docketed Comments'!N:N,MATCH(A1001,'Docketed Comments'!H:H,0)),"")</f>
        <v>No</v>
      </c>
      <c r="O1001" s="135" t="str">
        <f>IFERROR(INDEX('Docketed Comments'!L:L,MATCH(A1001,'Docketed Comments'!H:H,0)),"")</f>
        <v>Yes</v>
      </c>
      <c r="P1001" s="136">
        <f t="shared" si="30"/>
        <v>0</v>
      </c>
      <c r="Q1001" s="140"/>
      <c r="R1001" s="144">
        <v>1</v>
      </c>
    </row>
    <row r="1002" spans="1:18" ht="21.95" customHeight="1">
      <c r="A1002" s="71" t="s">
        <v>4047</v>
      </c>
      <c r="B1002" s="69"/>
      <c r="C1002" s="70"/>
      <c r="D1002" s="69"/>
      <c r="E1002" s="69"/>
      <c r="F1002" s="65"/>
      <c r="G1002" s="65" t="s">
        <v>5811</v>
      </c>
      <c r="H1002" s="65" t="str">
        <f>IFERROR(INDEX('Docketed Comments'!C:C,MATCH(A1002,'Docketed Comments'!H:H,0))&amp;", "&amp;INDEX('Docketed Comments'!B:B,MATCH(A1002,'Docketed Comments'!H:H,0)),"")</f>
        <v>Adena, Franklin</v>
      </c>
      <c r="I1002" s="65" t="str">
        <f>IFERROR(INDEX('Docketed Comments'!D:D,MATCH(A1002,'Docketed Comments'!H:H,0)),"")</f>
        <v>Peoria</v>
      </c>
      <c r="J1002" s="65" t="str">
        <f>IFERROR(INDEX('Docketed Comments'!I:I,MATCH(A1002,'Docketed Comments'!H:H,0)),"")</f>
        <v>R3-47</v>
      </c>
      <c r="K1002" s="65" t="str">
        <f t="shared" si="31"/>
        <v>✅ On Best Plan</v>
      </c>
      <c r="L1002" s="65" t="str">
        <f>IFERROR(INDEX('Docketed Comments'!F:F,MATCH(A1002,'Docketed Comments'!H:H,0)),"")</f>
        <v>I live on a fixed income. Take care of an 82-year-old man you continuously increase these rates. I am unable to sustain payments so consider this my hardship letter if rates go up.</v>
      </c>
      <c r="M1002" s="137" t="str">
        <f>IFERROR(HYPERLINK(INDEX('Docketed Comments'!G:G,MATCH(A1002,'Docketed Comments'!H:H,0)),"📄 View Docket"),"")</f>
        <v>📄 View Docket</v>
      </c>
      <c r="N1002" s="135" t="str">
        <f>IFERROR(INDEX('Docketed Comments'!N:N,MATCH(A1002,'Docketed Comments'!H:H,0)),"")</f>
        <v>No</v>
      </c>
      <c r="O1002" s="135" t="str">
        <f>IFERROR(INDEX('Docketed Comments'!L:L,MATCH(A1002,'Docketed Comments'!H:H,0)),"")</f>
        <v>Yes</v>
      </c>
      <c r="P1002" s="136">
        <f t="shared" si="30"/>
        <v>0</v>
      </c>
      <c r="Q1002" s="140"/>
      <c r="R1002" s="144">
        <v>1</v>
      </c>
    </row>
    <row r="1003" spans="1:18" ht="21.95" customHeight="1">
      <c r="A1003" s="71" t="s">
        <v>4601</v>
      </c>
      <c r="B1003" s="69"/>
      <c r="C1003" s="70"/>
      <c r="D1003" s="69"/>
      <c r="E1003" s="69"/>
      <c r="F1003" s="65"/>
      <c r="G1003" s="65" t="s">
        <v>5811</v>
      </c>
      <c r="H1003" s="65" t="str">
        <f>IFERROR(INDEX('Docketed Comments'!C:C,MATCH(A1003,'Docketed Comments'!H:H,0))&amp;", "&amp;INDEX('Docketed Comments'!B:B,MATCH(A1003,'Docketed Comments'!H:H,0)),"")</f>
        <v>Andrew, Lenick</v>
      </c>
      <c r="I1003" s="65" t="str">
        <f>IFERROR(INDEX('Docketed Comments'!D:D,MATCH(A1003,'Docketed Comments'!H:H,0)),"")</f>
        <v>Phoenix</v>
      </c>
      <c r="J1003" s="65" t="str">
        <f>IFERROR(INDEX('Docketed Comments'!I:I,MATCH(A1003,'Docketed Comments'!H:H,0)),"")</f>
        <v>R-2</v>
      </c>
      <c r="K1003" s="65" t="str">
        <f t="shared" si="31"/>
        <v>⚠ Frozen Rate</v>
      </c>
      <c r="L1003" s="65" t="str">
        <f>IFERROR(INDEX('Docketed Comments'!F:F,MATCH(A1003,'Docketed Comments'!H:H,0)),"")</f>
        <v>Form letter</v>
      </c>
      <c r="M1003" s="137" t="str">
        <f>IFERROR(HYPERLINK(INDEX('Docketed Comments'!G:G,MATCH(A1003,'Docketed Comments'!H:H,0)),"📄 View Docket"),"")</f>
        <v>📄 View Docket</v>
      </c>
      <c r="N1003" s="135" t="str">
        <f>IFERROR(INDEX('Docketed Comments'!N:N,MATCH(A1003,'Docketed Comments'!H:H,0)),"")</f>
        <v>No</v>
      </c>
      <c r="O1003" s="135" t="str">
        <f>IFERROR(INDEX('Docketed Comments'!L:L,MATCH(A1003,'Docketed Comments'!H:H,0)),"")</f>
        <v>Frozen Rate</v>
      </c>
      <c r="P1003" s="136">
        <f t="shared" si="30"/>
        <v>0</v>
      </c>
      <c r="Q1003" s="140"/>
      <c r="R1003" s="144">
        <v>1</v>
      </c>
    </row>
    <row r="1004" spans="1:18" ht="21.95" customHeight="1">
      <c r="A1004" s="71" t="s">
        <v>4605</v>
      </c>
      <c r="B1004" s="69"/>
      <c r="C1004" s="70"/>
      <c r="D1004" s="69"/>
      <c r="E1004" s="69"/>
      <c r="F1004" s="65"/>
      <c r="G1004" s="65" t="s">
        <v>5811</v>
      </c>
      <c r="H1004" s="65" t="str">
        <f>IFERROR(INDEX('Docketed Comments'!C:C,MATCH(A1004,'Docketed Comments'!H:H,0))&amp;", "&amp;INDEX('Docketed Comments'!B:B,MATCH(A1004,'Docketed Comments'!H:H,0)),"")</f>
        <v>Siobhan, Ulreich-Power</v>
      </c>
      <c r="I1004" s="65" t="str">
        <f>IFERROR(INDEX('Docketed Comments'!D:D,MATCH(A1004,'Docketed Comments'!H:H,0)),"")</f>
        <v>Scottsdale</v>
      </c>
      <c r="J1004" s="65" t="str">
        <f>IFERROR(INDEX('Docketed Comments'!I:I,MATCH(A1004,'Docketed Comments'!H:H,0)),"")</f>
        <v>RCPw/R3-47</v>
      </c>
      <c r="K1004" s="65" t="str">
        <f t="shared" si="31"/>
        <v>✅ On Best Plan</v>
      </c>
      <c r="L1004" s="65" t="str">
        <f>IFERROR(INDEX('Docketed Comments'!F:F,MATCH(A1004,'Docketed Comments'!H:H,0)),"")</f>
        <v>Do NOT pass the bill to increase our costs. Encourage solar power - Arizona should be a leader in solar, not dragging our feet!</v>
      </c>
      <c r="M1004" s="137" t="str">
        <f>IFERROR(HYPERLINK(INDEX('Docketed Comments'!G:G,MATCH(A1004,'Docketed Comments'!H:H,0)),"📄 View Docket"),"")</f>
        <v>📄 View Docket</v>
      </c>
      <c r="N1004" s="135" t="str">
        <f>IFERROR(INDEX('Docketed Comments'!N:N,MATCH(A1004,'Docketed Comments'!H:H,0)),"")</f>
        <v>No</v>
      </c>
      <c r="O1004" s="135" t="str">
        <f>IFERROR(INDEX('Docketed Comments'!L:L,MATCH(A1004,'Docketed Comments'!H:H,0)),"")</f>
        <v>Yes</v>
      </c>
      <c r="P1004" s="136">
        <f t="shared" si="30"/>
        <v>0</v>
      </c>
      <c r="Q1004" s="140"/>
      <c r="R1004" s="144">
        <v>1</v>
      </c>
    </row>
    <row r="1005" spans="1:18" ht="21.95" customHeight="1">
      <c r="A1005" s="71" t="s">
        <v>5427</v>
      </c>
      <c r="B1005" s="69"/>
      <c r="C1005" s="70"/>
      <c r="D1005" s="69"/>
      <c r="E1005" s="69"/>
      <c r="F1005" s="65"/>
      <c r="G1005" s="65" t="s">
        <v>5811</v>
      </c>
      <c r="H1005" s="65" t="str">
        <f>IFERROR(INDEX('Docketed Comments'!C:C,MATCH(A1005,'Docketed Comments'!H:H,0))&amp;", "&amp;INDEX('Docketed Comments'!B:B,MATCH(A1005,'Docketed Comments'!H:H,0)),"")</f>
        <v>Jan, Stittleburg</v>
      </c>
      <c r="I1005" s="65" t="str">
        <f>IFERROR(INDEX('Docketed Comments'!D:D,MATCH(A1005,'Docketed Comments'!H:H,0)),"")</f>
        <v>Sun City West</v>
      </c>
      <c r="J1005" s="65" t="str">
        <f>IFERROR(INDEX('Docketed Comments'!I:I,MATCH(A1005,'Docketed Comments'!H:H,0)),"")</f>
        <v>RCPw/RTOUE47</v>
      </c>
      <c r="K1005" s="65" t="str">
        <f t="shared" si="31"/>
        <v>✅ On Best Plan</v>
      </c>
      <c r="L1005" s="65" t="str">
        <f>IFERROR(INDEX('Docketed Comments'!F:F,MATCH(A1005,'Docketed Comments'!H:H,0)),"")</f>
        <v>we just can not afford all these increases. Especially not when we see the savings being passed on to the large customers in terms of lower rates.</v>
      </c>
      <c r="M1005" s="137" t="str">
        <f>IFERROR(HYPERLINK(INDEX('Docketed Comments'!G:G,MATCH(A1005,'Docketed Comments'!H:H,0)),"📄 View Docket"),"")</f>
        <v>📄 View Docket</v>
      </c>
      <c r="N1005" s="135" t="str">
        <f>IFERROR(INDEX('Docketed Comments'!N:N,MATCH(A1005,'Docketed Comments'!H:H,0)),"")</f>
        <v>No</v>
      </c>
      <c r="O1005" s="135" t="str">
        <f>IFERROR(INDEX('Docketed Comments'!L:L,MATCH(A1005,'Docketed Comments'!H:H,0)),"")</f>
        <v>Yes</v>
      </c>
      <c r="P1005" s="136">
        <f t="shared" si="30"/>
        <v>0</v>
      </c>
      <c r="Q1005" s="140"/>
      <c r="R1005" s="144">
        <v>1</v>
      </c>
    </row>
    <row r="1006" spans="1:18" ht="21.95" customHeight="1">
      <c r="A1006" s="71" t="s">
        <v>5428</v>
      </c>
      <c r="B1006" s="69"/>
      <c r="C1006" s="70"/>
      <c r="D1006" s="69"/>
      <c r="E1006" s="69"/>
      <c r="F1006" s="65"/>
      <c r="G1006" s="65" t="s">
        <v>5811</v>
      </c>
      <c r="H1006" s="65" t="str">
        <f>IFERROR(INDEX('Docketed Comments'!C:C,MATCH(A1006,'Docketed Comments'!H:H,0))&amp;", "&amp;INDEX('Docketed Comments'!B:B,MATCH(A1006,'Docketed Comments'!H:H,0)),"")</f>
        <v>Brad, Thayer</v>
      </c>
      <c r="I1006" s="65" t="str">
        <f>IFERROR(INDEX('Docketed Comments'!D:D,MATCH(A1006,'Docketed Comments'!H:H,0)),"")</f>
        <v>Buckeye</v>
      </c>
      <c r="J1006" s="65" t="str">
        <f>IFERROR(INDEX('Docketed Comments'!I:I,MATCH(A1006,'Docketed Comments'!H:H,0)),"")</f>
        <v>R-BASIC</v>
      </c>
      <c r="K1006" s="65" t="str">
        <f t="shared" si="31"/>
        <v>✅ On Best Plan</v>
      </c>
      <c r="L1006" s="65" t="str">
        <f>IFERROR(INDEX('Docketed Comments'!F:F,MATCH(A1006,'Docketed Comments'!H:H,0)),"")</f>
        <v>No on APS rate increase until they stop all advertising at the Phoenix Suns! Do they have a suite there? No to data centers</v>
      </c>
      <c r="M1006" s="137" t="str">
        <f>IFERROR(HYPERLINK(INDEX('Docketed Comments'!G:G,MATCH(A1006,'Docketed Comments'!H:H,0)),"📄 View Docket"),"")</f>
        <v>📄 View Docket</v>
      </c>
      <c r="N1006" s="135" t="str">
        <f>IFERROR(INDEX('Docketed Comments'!N:N,MATCH(A1006,'Docketed Comments'!H:H,0)),"")</f>
        <v>No</v>
      </c>
      <c r="O1006" s="135" t="str">
        <f>IFERROR(INDEX('Docketed Comments'!L:L,MATCH(A1006,'Docketed Comments'!H:H,0)),"")</f>
        <v>Yes</v>
      </c>
      <c r="P1006" s="136">
        <f t="shared" si="30"/>
        <v>0</v>
      </c>
      <c r="Q1006" s="140"/>
      <c r="R1006" s="144">
        <v>1</v>
      </c>
    </row>
    <row r="1007" spans="1:18" ht="21.95" customHeight="1">
      <c r="A1007" s="71" t="s">
        <v>5429</v>
      </c>
      <c r="B1007" s="69"/>
      <c r="C1007" s="70"/>
      <c r="D1007" s="69"/>
      <c r="E1007" s="69"/>
      <c r="F1007" s="65"/>
      <c r="G1007" s="65" t="s">
        <v>5811</v>
      </c>
      <c r="H1007" s="65" t="str">
        <f>IFERROR(INDEX('Docketed Comments'!C:C,MATCH(A1007,'Docketed Comments'!H:H,0))&amp;", "&amp;INDEX('Docketed Comments'!B:B,MATCH(A1007,'Docketed Comments'!H:H,0)),"")</f>
        <v>Lonnie and Billie, Wederski</v>
      </c>
      <c r="I1007" s="65" t="str">
        <f>IFERROR(INDEX('Docketed Comments'!D:D,MATCH(A1007,'Docketed Comments'!H:H,0)),"")</f>
        <v>Prescott</v>
      </c>
      <c r="J1007" s="65" t="str">
        <f>IFERROR(INDEX('Docketed Comments'!I:I,MATCH(A1007,'Docketed Comments'!H:H,0)),"")</f>
        <v>R3-47</v>
      </c>
      <c r="K1007" s="65" t="str">
        <f t="shared" si="31"/>
        <v>✅ On Best Plan</v>
      </c>
      <c r="L1007" s="65" t="str">
        <f>IFERROR(INDEX('Docketed Comments'!F:F,MATCH(A1007,'Docketed Comments'!H:H,0)),"")</f>
        <v>I'm writing to request a no vot on the FRM which would allow APS free reign to raise rates</v>
      </c>
      <c r="M1007" s="137" t="str">
        <f>IFERROR(HYPERLINK(INDEX('Docketed Comments'!G:G,MATCH(A1007,'Docketed Comments'!H:H,0)),"📄 View Docket"),"")</f>
        <v>📄 View Docket</v>
      </c>
      <c r="N1007" s="135" t="str">
        <f>IFERROR(INDEX('Docketed Comments'!N:N,MATCH(A1007,'Docketed Comments'!H:H,0)),"")</f>
        <v>No</v>
      </c>
      <c r="O1007" s="135" t="str">
        <f>IFERROR(INDEX('Docketed Comments'!L:L,MATCH(A1007,'Docketed Comments'!H:H,0)),"")</f>
        <v>Yes</v>
      </c>
      <c r="P1007" s="136">
        <f t="shared" si="30"/>
        <v>0</v>
      </c>
      <c r="Q1007" s="140"/>
      <c r="R1007" s="144">
        <v>1</v>
      </c>
    </row>
    <row r="1008" spans="1:18" ht="21.95" customHeight="1">
      <c r="A1008" s="71" t="s">
        <v>5430</v>
      </c>
      <c r="B1008" s="69"/>
      <c r="C1008" s="70"/>
      <c r="D1008" s="69"/>
      <c r="E1008" s="69"/>
      <c r="F1008" s="65"/>
      <c r="G1008" s="65" t="s">
        <v>5811</v>
      </c>
      <c r="H1008" s="65" t="str">
        <f>IFERROR(INDEX('Docketed Comments'!C:C,MATCH(A1008,'Docketed Comments'!H:H,0))&amp;", "&amp;INDEX('Docketed Comments'!B:B,MATCH(A1008,'Docketed Comments'!H:H,0)),"")</f>
        <v>Maura, Valenzuela</v>
      </c>
      <c r="I1008" s="65" t="str">
        <f>IFERROR(INDEX('Docketed Comments'!D:D,MATCH(A1008,'Docketed Comments'!H:H,0)),"")</f>
        <v>Somerton</v>
      </c>
      <c r="J1008" s="65" t="str">
        <f>IFERROR(INDEX('Docketed Comments'!I:I,MATCH(A1008,'Docketed Comments'!H:H,0)),"")</f>
        <v>R-2</v>
      </c>
      <c r="K1008" s="65" t="str">
        <f t="shared" si="31"/>
        <v>⚠ Frozen Plan</v>
      </c>
      <c r="L1008" s="65" t="str">
        <f>IFERROR(INDEX('Docketed Comments'!F:F,MATCH(A1008,'Docketed Comments'!H:H,0)),"")</f>
        <v>*Spanish comments*</v>
      </c>
      <c r="M1008" s="137" t="str">
        <f>IFERROR(HYPERLINK(INDEX('Docketed Comments'!G:G,MATCH(A1008,'Docketed Comments'!H:H,0)),"📄 View Docket"),"")</f>
        <v>📄 View Docket</v>
      </c>
      <c r="N1008" s="135" t="str">
        <f>IFERROR(INDEX('Docketed Comments'!N:N,MATCH(A1008,'Docketed Comments'!H:H,0)),"")</f>
        <v>No</v>
      </c>
      <c r="O1008" s="135" t="str">
        <f>IFERROR(INDEX('Docketed Comments'!L:L,MATCH(A1008,'Docketed Comments'!H:H,0)),"")</f>
        <v>Frozen Plan</v>
      </c>
      <c r="P1008" s="136">
        <f t="shared" si="30"/>
        <v>0</v>
      </c>
      <c r="Q1008" s="140"/>
      <c r="R1008" s="144">
        <v>1</v>
      </c>
    </row>
    <row r="1009" spans="1:18" ht="21.95" customHeight="1">
      <c r="A1009" s="71" t="s">
        <v>5431</v>
      </c>
      <c r="B1009" s="69"/>
      <c r="C1009" s="70"/>
      <c r="D1009" s="69"/>
      <c r="E1009" s="69"/>
      <c r="F1009" s="65"/>
      <c r="G1009" s="65" t="s">
        <v>5811</v>
      </c>
      <c r="H1009" s="65" t="str">
        <f>IFERROR(INDEX('Docketed Comments'!C:C,MATCH(A1009,'Docketed Comments'!H:H,0))&amp;", "&amp;INDEX('Docketed Comments'!B:B,MATCH(A1009,'Docketed Comments'!H:H,0)),"")</f>
        <v>Derek, Ostreicher</v>
      </c>
      <c r="I1009" s="65" t="str">
        <f>IFERROR(INDEX('Docketed Comments'!D:D,MATCH(A1009,'Docketed Comments'!H:H,0)),"")</f>
        <v>Phoenix</v>
      </c>
      <c r="J1009" s="65" t="str">
        <f>IFERROR(INDEX('Docketed Comments'!I:I,MATCH(A1009,'Docketed Comments'!H:H,0)),"")</f>
        <v>R3-47</v>
      </c>
      <c r="K1009" s="65" t="str">
        <f t="shared" si="31"/>
        <v>✅ On Best Plan</v>
      </c>
      <c r="L1009" s="65" t="str">
        <f>IFERROR(INDEX('Docketed Comments'!F:F,MATCH(A1009,'Docketed Comments'!H:H,0)),"")</f>
        <v>As a single father of 2 kids, a 14% rate increase in just over a year is ridiculous</v>
      </c>
      <c r="M1009" s="137" t="str">
        <f>IFERROR(HYPERLINK(INDEX('Docketed Comments'!G:G,MATCH(A1009,'Docketed Comments'!H:H,0)),"📄 View Docket"),"")</f>
        <v>📄 View Docket</v>
      </c>
      <c r="N1009" s="135" t="str">
        <f>IFERROR(INDEX('Docketed Comments'!N:N,MATCH(A1009,'Docketed Comments'!H:H,0)),"")</f>
        <v>No</v>
      </c>
      <c r="O1009" s="135" t="str">
        <f>IFERROR(INDEX('Docketed Comments'!L:L,MATCH(A1009,'Docketed Comments'!H:H,0)),"")</f>
        <v>Yes</v>
      </c>
      <c r="P1009" s="136">
        <f t="shared" si="30"/>
        <v>0</v>
      </c>
      <c r="Q1009" s="140"/>
      <c r="R1009" s="144">
        <v>1</v>
      </c>
    </row>
    <row r="1010" spans="1:18" ht="21.95" customHeight="1">
      <c r="A1010" s="71" t="s">
        <v>5432</v>
      </c>
      <c r="B1010" s="69"/>
      <c r="C1010" s="70"/>
      <c r="D1010" s="69"/>
      <c r="E1010" s="69"/>
      <c r="F1010" s="65"/>
      <c r="G1010" s="65" t="s">
        <v>5811</v>
      </c>
      <c r="H1010" s="65" t="str">
        <f>IFERROR(INDEX('Docketed Comments'!C:C,MATCH(A1010,'Docketed Comments'!H:H,0))&amp;", "&amp;INDEX('Docketed Comments'!B:B,MATCH(A1010,'Docketed Comments'!H:H,0)),"")</f>
        <v>Timothy, Lewis</v>
      </c>
      <c r="I1010" s="65" t="str">
        <f>IFERROR(INDEX('Docketed Comments'!D:D,MATCH(A1010,'Docketed Comments'!H:H,0)),"")</f>
        <v>Chandler</v>
      </c>
      <c r="J1010" s="65" t="str">
        <f>IFERROR(INDEX('Docketed Comments'!I:I,MATCH(A1010,'Docketed Comments'!H:H,0)),"")</f>
        <v>R-XS</v>
      </c>
      <c r="K1010" s="65" t="str">
        <f t="shared" si="31"/>
        <v>✅ On Best Plan</v>
      </c>
      <c r="L1010" s="65" t="str">
        <f>IFERROR(INDEX('Docketed Comments'!F:F,MATCH(A1010,'Docketed Comments'!H:H,0)),"")</f>
        <v>I been living in my place for 24 years. I get low-income discounts and equalizer. I will start setting my AC to 85.</v>
      </c>
      <c r="M1010" s="137" t="str">
        <f>IFERROR(HYPERLINK(INDEX('Docketed Comments'!G:G,MATCH(A1010,'Docketed Comments'!H:H,0)),"📄 View Docket"),"")</f>
        <v>📄 View Docket</v>
      </c>
      <c r="N1010" s="135" t="str">
        <f>IFERROR(INDEX('Docketed Comments'!N:N,MATCH(A1010,'Docketed Comments'!H:H,0)),"")</f>
        <v>No</v>
      </c>
      <c r="O1010" s="135" t="str">
        <f>IFERROR(INDEX('Docketed Comments'!L:L,MATCH(A1010,'Docketed Comments'!H:H,0)),"")</f>
        <v>Yes</v>
      </c>
      <c r="P1010" s="136">
        <f t="shared" si="30"/>
        <v>0</v>
      </c>
      <c r="Q1010" s="140"/>
      <c r="R1010" s="144">
        <v>1</v>
      </c>
    </row>
    <row r="1011" spans="1:18" ht="21.95" customHeight="1">
      <c r="A1011" s="71" t="s">
        <v>5433</v>
      </c>
      <c r="B1011" s="69"/>
      <c r="C1011" s="70"/>
      <c r="D1011" s="69"/>
      <c r="E1011" s="69"/>
      <c r="F1011" s="65"/>
      <c r="G1011" s="65" t="s">
        <v>5811</v>
      </c>
      <c r="H1011" s="65" t="str">
        <f>IFERROR(INDEX('Docketed Comments'!C:C,MATCH(A1011,'Docketed Comments'!H:H,0))&amp;", "&amp;INDEX('Docketed Comments'!B:B,MATCH(A1011,'Docketed Comments'!H:H,0)),"")</f>
        <v>David, Gerkin</v>
      </c>
      <c r="I1011" s="65" t="str">
        <f>IFERROR(INDEX('Docketed Comments'!D:D,MATCH(A1011,'Docketed Comments'!H:H,0)),"")</f>
        <v>Phoenix</v>
      </c>
      <c r="J1011" s="65" t="str">
        <f>IFERROR(INDEX('Docketed Comments'!I:I,MATCH(A1011,'Docketed Comments'!H:H,0)),"")</f>
        <v>R3-47</v>
      </c>
      <c r="K1011" s="65" t="str">
        <f t="shared" si="31"/>
        <v>✅ On Best Plan</v>
      </c>
      <c r="L1011" s="65" t="str">
        <f>IFERROR(INDEX('Docketed Comments'!F:F,MATCH(A1011,'Docketed Comments'!H:H,0)),"")</f>
        <v>$240 extra per year for the average household. I am retired and on a fixed income, so I and many others like me, cannot afford</v>
      </c>
      <c r="M1011" s="137" t="str">
        <f>IFERROR(HYPERLINK(INDEX('Docketed Comments'!G:G,MATCH(A1011,'Docketed Comments'!H:H,0)),"📄 View Docket"),"")</f>
        <v>📄 View Docket</v>
      </c>
      <c r="N1011" s="135" t="str">
        <f>IFERROR(INDEX('Docketed Comments'!N:N,MATCH(A1011,'Docketed Comments'!H:H,0)),"")</f>
        <v>No</v>
      </c>
      <c r="O1011" s="135" t="str">
        <f>IFERROR(INDEX('Docketed Comments'!L:L,MATCH(A1011,'Docketed Comments'!H:H,0)),"")</f>
        <v>Yes</v>
      </c>
      <c r="P1011" s="136">
        <f t="shared" si="30"/>
        <v>0</v>
      </c>
      <c r="Q1011" s="140"/>
      <c r="R1011" s="144">
        <v>1</v>
      </c>
    </row>
    <row r="1012" spans="1:18" ht="21.95" customHeight="1">
      <c r="A1012" s="71" t="s">
        <v>5434</v>
      </c>
      <c r="B1012" s="69"/>
      <c r="C1012" s="70"/>
      <c r="D1012" s="69"/>
      <c r="E1012" s="69"/>
      <c r="F1012" s="65"/>
      <c r="G1012" s="65" t="s">
        <v>5811</v>
      </c>
      <c r="H1012" s="65" t="str">
        <f>IFERROR(INDEX('Docketed Comments'!C:C,MATCH(A1012,'Docketed Comments'!H:H,0))&amp;", "&amp;INDEX('Docketed Comments'!B:B,MATCH(A1012,'Docketed Comments'!H:H,0)),"")</f>
        <v>Michael, Graham</v>
      </c>
      <c r="I1012" s="65" t="str">
        <f>IFERROR(INDEX('Docketed Comments'!D:D,MATCH(A1012,'Docketed Comments'!H:H,0)),"")</f>
        <v>Sun City</v>
      </c>
      <c r="J1012" s="65" t="str">
        <f>IFERROR(INDEX('Docketed Comments'!I:I,MATCH(A1012,'Docketed Comments'!H:H,0)),"")</f>
        <v>R3-47</v>
      </c>
      <c r="K1012" s="65" t="str">
        <f t="shared" si="31"/>
        <v>✅ On Best Plan</v>
      </c>
      <c r="L1012" s="65" t="str">
        <f>IFERROR(INDEX('Docketed Comments'!F:F,MATCH(A1012,'Docketed Comments'!H:H,0)),"")</f>
        <v>86 y/o, lives alone, Social Security Cost of Living 2.8 percent</v>
      </c>
      <c r="M1012" s="137" t="str">
        <f>IFERROR(HYPERLINK(INDEX('Docketed Comments'!G:G,MATCH(A1012,'Docketed Comments'!H:H,0)),"📄 View Docket"),"")</f>
        <v>📄 View Docket</v>
      </c>
      <c r="N1012" s="135" t="str">
        <f>IFERROR(INDEX('Docketed Comments'!N:N,MATCH(A1012,'Docketed Comments'!H:H,0)),"")</f>
        <v>No</v>
      </c>
      <c r="O1012" s="135" t="str">
        <f>IFERROR(INDEX('Docketed Comments'!L:L,MATCH(A1012,'Docketed Comments'!H:H,0)),"")</f>
        <v>Yes</v>
      </c>
      <c r="P1012" s="136">
        <f t="shared" si="30"/>
        <v>0</v>
      </c>
      <c r="Q1012" s="140"/>
      <c r="R1012" s="144">
        <v>1</v>
      </c>
    </row>
    <row r="1013" spans="1:18" ht="21.95" customHeight="1">
      <c r="A1013" s="71" t="s">
        <v>5435</v>
      </c>
      <c r="B1013" s="69"/>
      <c r="C1013" s="70"/>
      <c r="D1013" s="69"/>
      <c r="E1013" s="69"/>
      <c r="F1013" s="65"/>
      <c r="G1013" s="65" t="s">
        <v>5811</v>
      </c>
      <c r="H1013" s="65" t="str">
        <f>IFERROR(INDEX('Docketed Comments'!C:C,MATCH(A1013,'Docketed Comments'!H:H,0))&amp;", "&amp;INDEX('Docketed Comments'!B:B,MATCH(A1013,'Docketed Comments'!H:H,0)),"")</f>
        <v>Katherine, Litke</v>
      </c>
      <c r="I1013" s="65" t="str">
        <f>IFERROR(INDEX('Docketed Comments'!D:D,MATCH(A1013,'Docketed Comments'!H:H,0)),"")</f>
        <v>Prescott</v>
      </c>
      <c r="J1013" s="65" t="str">
        <f>IFERROR(INDEX('Docketed Comments'!I:I,MATCH(A1013,'Docketed Comments'!H:H,0)),"")</f>
        <v>R-XS</v>
      </c>
      <c r="K1013" s="65" t="str">
        <f t="shared" si="31"/>
        <v>✅ On Best Plan</v>
      </c>
      <c r="L1013" s="65" t="str">
        <f>IFERROR(INDEX('Docketed Comments'!F:F,MATCH(A1013,'Docketed Comments'!H:H,0)),"")</f>
        <v>Senior living in subsidized housing on a low income</v>
      </c>
      <c r="M1013" s="137" t="str">
        <f>IFERROR(HYPERLINK(INDEX('Docketed Comments'!G:G,MATCH(A1013,'Docketed Comments'!H:H,0)),"📄 View Docket"),"")</f>
        <v>📄 View Docket</v>
      </c>
      <c r="N1013" s="135" t="str">
        <f>IFERROR(INDEX('Docketed Comments'!N:N,MATCH(A1013,'Docketed Comments'!H:H,0)),"")</f>
        <v>No</v>
      </c>
      <c r="O1013" s="135" t="str">
        <f>IFERROR(INDEX('Docketed Comments'!L:L,MATCH(A1013,'Docketed Comments'!H:H,0)),"")</f>
        <v>Yes</v>
      </c>
      <c r="P1013" s="136">
        <f t="shared" si="30"/>
        <v>0</v>
      </c>
      <c r="Q1013" s="140"/>
      <c r="R1013" s="144">
        <v>1</v>
      </c>
    </row>
    <row r="1014" spans="1:18" ht="21.95" customHeight="1">
      <c r="A1014" s="71" t="s">
        <v>5436</v>
      </c>
      <c r="B1014" s="69"/>
      <c r="C1014" s="70"/>
      <c r="D1014" s="69"/>
      <c r="E1014" s="69"/>
      <c r="F1014" s="65"/>
      <c r="G1014" s="65" t="s">
        <v>5811</v>
      </c>
      <c r="H1014" s="65" t="str">
        <f>IFERROR(INDEX('Docketed Comments'!C:C,MATCH(A1014,'Docketed Comments'!H:H,0))&amp;", "&amp;INDEX('Docketed Comments'!B:B,MATCH(A1014,'Docketed Comments'!H:H,0)),"")</f>
        <v>Joan, Varanauski</v>
      </c>
      <c r="I1014" s="65" t="str">
        <f>IFERROR(INDEX('Docketed Comments'!D:D,MATCH(A1014,'Docketed Comments'!H:H,0)),"")</f>
        <v>Sun City</v>
      </c>
      <c r="J1014" s="65" t="str">
        <f>IFERROR(INDEX('Docketed Comments'!I:I,MATCH(A1014,'Docketed Comments'!H:H,0)),"")</f>
        <v>RCPw/R-2</v>
      </c>
      <c r="K1014" s="65" t="str">
        <f t="shared" si="31"/>
        <v>⚠ Frozen Plan</v>
      </c>
      <c r="L1014" s="65" t="str">
        <f>IFERROR(INDEX('Docketed Comments'!F:F,MATCH(A1014,'Docketed Comments'!H:H,0)),"")</f>
        <v>A nearly 15% increase on my utility bill is an excessive financial burden that l simply cannot afford.</v>
      </c>
      <c r="M1014" s="137" t="str">
        <f>IFERROR(HYPERLINK(INDEX('Docketed Comments'!G:G,MATCH(A1014,'Docketed Comments'!H:H,0)),"📄 View Docket"),"")</f>
        <v>📄 View Docket</v>
      </c>
      <c r="N1014" s="135" t="str">
        <f>IFERROR(INDEX('Docketed Comments'!N:N,MATCH(A1014,'Docketed Comments'!H:H,0)),"")</f>
        <v>No</v>
      </c>
      <c r="O1014" s="135" t="str">
        <f>IFERROR(INDEX('Docketed Comments'!L:L,MATCH(A1014,'Docketed Comments'!H:H,0)),"")</f>
        <v>Frozen Plan</v>
      </c>
      <c r="P1014" s="136">
        <f t="shared" si="30"/>
        <v>0</v>
      </c>
      <c r="Q1014" s="140"/>
      <c r="R1014" s="144">
        <v>1</v>
      </c>
    </row>
    <row r="1015" spans="1:18" ht="21.95" customHeight="1">
      <c r="A1015" s="71" t="s">
        <v>5437</v>
      </c>
      <c r="B1015" s="69"/>
      <c r="C1015" s="70"/>
      <c r="D1015" s="69"/>
      <c r="E1015" s="69"/>
      <c r="F1015" s="65"/>
      <c r="G1015" s="65" t="s">
        <v>5811</v>
      </c>
      <c r="H1015" s="65" t="str">
        <f>IFERROR(INDEX('Docketed Comments'!C:C,MATCH(A1015,'Docketed Comments'!H:H,0))&amp;", "&amp;INDEX('Docketed Comments'!B:B,MATCH(A1015,'Docketed Comments'!H:H,0)),"")</f>
        <v>Rosalie, Malter</v>
      </c>
      <c r="I1015" s="65" t="str">
        <f>IFERROR(INDEX('Docketed Comments'!D:D,MATCH(A1015,'Docketed Comments'!H:H,0)),"")</f>
        <v>Cottonwood</v>
      </c>
      <c r="J1015" s="65" t="str">
        <f>IFERROR(INDEX('Docketed Comments'!I:I,MATCH(A1015,'Docketed Comments'!H:H,0)),"")</f>
        <v>EPR6w/E-12</v>
      </c>
      <c r="K1015" s="65" t="str">
        <f t="shared" si="31"/>
        <v>⚠ Frozen Plan</v>
      </c>
      <c r="L1015" s="65" t="str">
        <f>IFERROR(INDEX('Docketed Comments'!F:F,MATCH(A1015,'Docketed Comments'!H:H,0)),"")</f>
        <v>APS greed is causing suffering among people like us 80+ aged seniors.</v>
      </c>
      <c r="M1015" s="137" t="str">
        <f>IFERROR(HYPERLINK(INDEX('Docketed Comments'!G:G,MATCH(A1015,'Docketed Comments'!H:H,0)),"📄 View Docket"),"")</f>
        <v>📄 View Docket</v>
      </c>
      <c r="N1015" s="135" t="str">
        <f>IFERROR(INDEX('Docketed Comments'!N:N,MATCH(A1015,'Docketed Comments'!H:H,0)),"")</f>
        <v>No</v>
      </c>
      <c r="O1015" s="135" t="str">
        <f>IFERROR(INDEX('Docketed Comments'!L:L,MATCH(A1015,'Docketed Comments'!H:H,0)),"")</f>
        <v>Frozen Plan</v>
      </c>
      <c r="P1015" s="136">
        <f t="shared" si="30"/>
        <v>0</v>
      </c>
      <c r="Q1015" s="140"/>
      <c r="R1015" s="144">
        <v>1</v>
      </c>
    </row>
    <row r="1016" spans="1:18" ht="21.95" customHeight="1">
      <c r="A1016" s="71" t="s">
        <v>5438</v>
      </c>
      <c r="B1016" s="69"/>
      <c r="C1016" s="70"/>
      <c r="D1016" s="69"/>
      <c r="E1016" s="69"/>
      <c r="F1016" s="65"/>
      <c r="G1016" s="65" t="s">
        <v>5811</v>
      </c>
      <c r="H1016" s="65" t="str">
        <f>IFERROR(INDEX('Docketed Comments'!C:C,MATCH(A1016,'Docketed Comments'!H:H,0))&amp;", "&amp;INDEX('Docketed Comments'!B:B,MATCH(A1016,'Docketed Comments'!H:H,0)),"")</f>
        <v>Alan, Conner</v>
      </c>
      <c r="I1016" s="65" t="str">
        <f>IFERROR(INDEX('Docketed Comments'!D:D,MATCH(A1016,'Docketed Comments'!H:H,0)),"")</f>
        <v>Phoenix</v>
      </c>
      <c r="J1016" s="65" t="str">
        <f>IFERROR(INDEX('Docketed Comments'!I:I,MATCH(A1016,'Docketed Comments'!H:H,0)),"")</f>
        <v>RCPw/RTOUE47</v>
      </c>
      <c r="K1016" s="65" t="str">
        <f t="shared" si="31"/>
        <v>✅ On Best Plan</v>
      </c>
      <c r="L1016" s="65" t="str">
        <f>IFERROR(INDEX('Docketed Comments'!F:F,MATCH(A1016,'Docketed Comments'!H:H,0)),"")</f>
        <v xml:space="preserve">I am a retiree on a fixed income and am very concerned about the continuing raising costs of living. </v>
      </c>
      <c r="M1016" s="137" t="str">
        <f>IFERROR(HYPERLINK(INDEX('Docketed Comments'!G:G,MATCH(A1016,'Docketed Comments'!H:H,0)),"📄 View Docket"),"")</f>
        <v>📄 View Docket</v>
      </c>
      <c r="N1016" s="135" t="str">
        <f>IFERROR(INDEX('Docketed Comments'!N:N,MATCH(A1016,'Docketed Comments'!H:H,0)),"")</f>
        <v>No</v>
      </c>
      <c r="O1016" s="135" t="str">
        <f>IFERROR(INDEX('Docketed Comments'!L:L,MATCH(A1016,'Docketed Comments'!H:H,0)),"")</f>
        <v>Yes</v>
      </c>
      <c r="P1016" s="136">
        <f t="shared" si="30"/>
        <v>0</v>
      </c>
      <c r="Q1016" s="140"/>
      <c r="R1016" s="144">
        <v>1</v>
      </c>
    </row>
    <row r="1017" spans="1:18" ht="21.95" customHeight="1">
      <c r="A1017" s="71" t="s">
        <v>5439</v>
      </c>
      <c r="B1017" s="69"/>
      <c r="C1017" s="70"/>
      <c r="D1017" s="69"/>
      <c r="E1017" s="69"/>
      <c r="F1017" s="65"/>
      <c r="G1017" s="65" t="s">
        <v>5811</v>
      </c>
      <c r="H1017" s="65" t="str">
        <f>IFERROR(INDEX('Docketed Comments'!C:C,MATCH(A1017,'Docketed Comments'!H:H,0))&amp;", "&amp;INDEX('Docketed Comments'!B:B,MATCH(A1017,'Docketed Comments'!H:H,0)),"")</f>
        <v>William, Pappin</v>
      </c>
      <c r="I1017" s="65" t="str">
        <f>IFERROR(INDEX('Docketed Comments'!D:D,MATCH(A1017,'Docketed Comments'!H:H,0)),"")</f>
        <v>Yuma</v>
      </c>
      <c r="J1017" s="65" t="str">
        <f>IFERROR(INDEX('Docketed Comments'!I:I,MATCH(A1017,'Docketed Comments'!H:H,0)),"")</f>
        <v>R3-47</v>
      </c>
      <c r="K1017" s="65" t="str">
        <f t="shared" si="31"/>
        <v>✅ On Best Plan</v>
      </c>
      <c r="L1017" s="65" t="str">
        <f>IFERROR(INDEX('Docketed Comments'!F:F,MATCH(A1017,'Docketed Comments'!H:H,0)),"")</f>
        <v>My wife and I are retired and our only income is from My Navy Retirement and Social Security Benefits. You should limit the rate increase to the COLA increase.</v>
      </c>
      <c r="M1017" s="137" t="str">
        <f>IFERROR(HYPERLINK(INDEX('Docketed Comments'!G:G,MATCH(A1017,'Docketed Comments'!H:H,0)),"📄 View Docket"),"")</f>
        <v>📄 View Docket</v>
      </c>
      <c r="N1017" s="135" t="str">
        <f>IFERROR(INDEX('Docketed Comments'!N:N,MATCH(A1017,'Docketed Comments'!H:H,0)),"")</f>
        <v>No</v>
      </c>
      <c r="O1017" s="135" t="str">
        <f>IFERROR(INDEX('Docketed Comments'!L:L,MATCH(A1017,'Docketed Comments'!H:H,0)),"")</f>
        <v>Yes</v>
      </c>
      <c r="P1017" s="136">
        <f t="shared" si="30"/>
        <v>0</v>
      </c>
      <c r="Q1017" s="140"/>
      <c r="R1017" s="144">
        <v>1</v>
      </c>
    </row>
    <row r="1018" spans="1:18" ht="21.95" customHeight="1">
      <c r="A1018" s="71" t="s">
        <v>5440</v>
      </c>
      <c r="B1018" s="69"/>
      <c r="C1018" s="70"/>
      <c r="D1018" s="69"/>
      <c r="E1018" s="69"/>
      <c r="F1018" s="65"/>
      <c r="G1018" s="65" t="s">
        <v>5811</v>
      </c>
      <c r="H1018" s="65" t="str">
        <f>IFERROR(INDEX('Docketed Comments'!C:C,MATCH(A1018,'Docketed Comments'!H:H,0))&amp;", "&amp;INDEX('Docketed Comments'!B:B,MATCH(A1018,'Docketed Comments'!H:H,0)),"")</f>
        <v>Carol, Stoop</v>
      </c>
      <c r="I1018" s="65" t="str">
        <f>IFERROR(INDEX('Docketed Comments'!D:D,MATCH(A1018,'Docketed Comments'!H:H,0)),"")</f>
        <v>Buckeye</v>
      </c>
      <c r="J1018" s="65" t="str">
        <f>IFERROR(INDEX('Docketed Comments'!I:I,MATCH(A1018,'Docketed Comments'!H:H,0)),"")</f>
        <v>RCPw/RTOUE47</v>
      </c>
      <c r="K1018" s="65" t="str">
        <f t="shared" si="31"/>
        <v>✅ On Best Plan</v>
      </c>
      <c r="L1018" s="65" t="str">
        <f>IFERROR(INDEX('Docketed Comments'!F:F,MATCH(A1018,'Docketed Comments'!H:H,0)),"")</f>
        <v>I would like to know if The ACC is requiring APS to keep Four Corners Online?</v>
      </c>
      <c r="M1018" s="137" t="str">
        <f>IFERROR(HYPERLINK(INDEX('Docketed Comments'!G:G,MATCH(A1018,'Docketed Comments'!H:H,0)),"📄 View Docket"),"")</f>
        <v>📄 View Docket</v>
      </c>
      <c r="N1018" s="135" t="str">
        <f>IFERROR(INDEX('Docketed Comments'!N:N,MATCH(A1018,'Docketed Comments'!H:H,0)),"")</f>
        <v>No</v>
      </c>
      <c r="O1018" s="135" t="str">
        <f>IFERROR(INDEX('Docketed Comments'!L:L,MATCH(A1018,'Docketed Comments'!H:H,0)),"")</f>
        <v>Yes</v>
      </c>
      <c r="P1018" s="136">
        <f t="shared" si="30"/>
        <v>0</v>
      </c>
      <c r="Q1018" s="140"/>
      <c r="R1018" s="144">
        <v>1</v>
      </c>
    </row>
    <row r="1019" spans="1:18" ht="21.95" customHeight="1">
      <c r="A1019" s="71" t="s">
        <v>5441</v>
      </c>
      <c r="B1019" s="69"/>
      <c r="C1019" s="70"/>
      <c r="D1019" s="69"/>
      <c r="E1019" s="69"/>
      <c r="F1019" s="65"/>
      <c r="G1019" s="65" t="s">
        <v>5811</v>
      </c>
      <c r="H1019" s="65" t="str">
        <f>IFERROR(INDEX('Docketed Comments'!C:C,MATCH(A1019,'Docketed Comments'!H:H,0))&amp;", "&amp;INDEX('Docketed Comments'!B:B,MATCH(A1019,'Docketed Comments'!H:H,0)),"")</f>
        <v>Jesse, Williams</v>
      </c>
      <c r="I1019" s="65" t="str">
        <f>IFERROR(INDEX('Docketed Comments'!D:D,MATCH(A1019,'Docketed Comments'!H:H,0)),"")</f>
        <v>Phoenix</v>
      </c>
      <c r="J1019" s="65" t="str">
        <f>IFERROR(INDEX('Docketed Comments'!I:I,MATCH(A1019,'Docketed Comments'!H:H,0)),"")</f>
        <v>R3-47</v>
      </c>
      <c r="K1019" s="65" t="str">
        <f t="shared" si="31"/>
        <v>✅ On Best Plan</v>
      </c>
      <c r="L1019" s="65" t="str">
        <f>IFERROR(INDEX('Docketed Comments'!F:F,MATCH(A1019,'Docketed Comments'!H:H,0)),"")</f>
        <v>not all that long ago that APS did not need to have an "on peak/offpeak" ... renewable energy sources are driving up costs.</v>
      </c>
      <c r="M1019" s="137" t="str">
        <f>IFERROR(HYPERLINK(INDEX('Docketed Comments'!G:G,MATCH(A1019,'Docketed Comments'!H:H,0)),"📄 View Docket"),"")</f>
        <v>📄 View Docket</v>
      </c>
      <c r="N1019" s="135" t="str">
        <f>IFERROR(INDEX('Docketed Comments'!N:N,MATCH(A1019,'Docketed Comments'!H:H,0)),"")</f>
        <v>No</v>
      </c>
      <c r="O1019" s="135" t="str">
        <f>IFERROR(INDEX('Docketed Comments'!L:L,MATCH(A1019,'Docketed Comments'!H:H,0)),"")</f>
        <v>Yes</v>
      </c>
      <c r="P1019" s="136">
        <f t="shared" si="30"/>
        <v>0</v>
      </c>
      <c r="Q1019" s="140"/>
      <c r="R1019" s="144">
        <v>1</v>
      </c>
    </row>
    <row r="1020" spans="1:18" ht="21.95" customHeight="1">
      <c r="A1020" s="71" t="s">
        <v>5442</v>
      </c>
      <c r="B1020" s="69"/>
      <c r="C1020" s="70"/>
      <c r="D1020" s="69"/>
      <c r="E1020" s="69"/>
      <c r="F1020" s="65"/>
      <c r="G1020" s="65" t="s">
        <v>5811</v>
      </c>
      <c r="H1020" s="65" t="str">
        <f>IFERROR(INDEX('Docketed Comments'!C:C,MATCH(A1020,'Docketed Comments'!H:H,0))&amp;", "&amp;INDEX('Docketed Comments'!B:B,MATCH(A1020,'Docketed Comments'!H:H,0)),"")</f>
        <v>Kathleen, Murphy</v>
      </c>
      <c r="I1020" s="65" t="str">
        <f>IFERROR(INDEX('Docketed Comments'!D:D,MATCH(A1020,'Docketed Comments'!H:H,0)),"")</f>
        <v>Prescott</v>
      </c>
      <c r="J1020" s="65" t="str">
        <f>IFERROR(INDEX('Docketed Comments'!I:I,MATCH(A1020,'Docketed Comments'!H:H,0)),"")</f>
        <v>R-XS</v>
      </c>
      <c r="K1020" s="65" t="str">
        <f t="shared" si="31"/>
        <v>✅ On Best Plan</v>
      </c>
      <c r="L1020" s="65" t="str">
        <f>IFERROR(INDEX('Docketed Comments'!F:F,MATCH(A1020,'Docketed Comments'!H:H,0)),"")</f>
        <v>We had a rateincrease of 8% in 2024 another 8% increase in 2025 and now you expect that we should allow another increase of 14%</v>
      </c>
      <c r="M1020" s="137" t="str">
        <f>IFERROR(HYPERLINK(INDEX('Docketed Comments'!G:G,MATCH(A1020,'Docketed Comments'!H:H,0)),"📄 View Docket"),"")</f>
        <v>📄 View Docket</v>
      </c>
      <c r="N1020" s="135" t="str">
        <f>IFERROR(INDEX('Docketed Comments'!N:N,MATCH(A1020,'Docketed Comments'!H:H,0)),"")</f>
        <v>No</v>
      </c>
      <c r="O1020" s="135" t="str">
        <f>IFERROR(INDEX('Docketed Comments'!L:L,MATCH(A1020,'Docketed Comments'!H:H,0)),"")</f>
        <v>Yes</v>
      </c>
      <c r="P1020" s="136">
        <f t="shared" si="30"/>
        <v>0</v>
      </c>
      <c r="Q1020" s="140"/>
      <c r="R1020" s="144">
        <v>1</v>
      </c>
    </row>
    <row r="1021" spans="1:18" ht="21.95" customHeight="1">
      <c r="A1021" s="71" t="s">
        <v>5443</v>
      </c>
      <c r="B1021" s="69"/>
      <c r="C1021" s="70"/>
      <c r="D1021" s="69"/>
      <c r="E1021" s="69"/>
      <c r="F1021" s="65"/>
      <c r="G1021" s="65" t="s">
        <v>5811</v>
      </c>
      <c r="H1021" s="65" t="str">
        <f>IFERROR(INDEX('Docketed Comments'!C:C,MATCH(A1021,'Docketed Comments'!H:H,0))&amp;", "&amp;INDEX('Docketed Comments'!B:B,MATCH(A1021,'Docketed Comments'!H:H,0)),"")</f>
        <v>Wesley, Little</v>
      </c>
      <c r="I1021" s="65" t="str">
        <f>IFERROR(INDEX('Docketed Comments'!D:D,MATCH(A1021,'Docketed Comments'!H:H,0)),"")</f>
        <v>Sedona</v>
      </c>
      <c r="J1021" s="65" t="str">
        <f>IFERROR(INDEX('Docketed Comments'!I:I,MATCH(A1021,'Docketed Comments'!H:H,0)),"")</f>
        <v>RCPw/RTOUE47</v>
      </c>
      <c r="K1021" s="65" t="str">
        <f t="shared" si="31"/>
        <v>✅ On Best Plan</v>
      </c>
      <c r="L1021" s="65" t="str">
        <f>IFERROR(INDEX('Docketed Comments'!F:F,MATCH(A1021,'Docketed Comments'!H:H,0)),"")</f>
        <v>Despite ratepayers using virtually the same or fewer KWHs, we are now being asked AGAIN to accommodate a rate increase. Let those that use the most, pay the most.</v>
      </c>
      <c r="M1021" s="137" t="str">
        <f>IFERROR(HYPERLINK(INDEX('Docketed Comments'!G:G,MATCH(A1021,'Docketed Comments'!H:H,0)),"📄 View Docket"),"")</f>
        <v>📄 View Docket</v>
      </c>
      <c r="N1021" s="135" t="str">
        <f>IFERROR(INDEX('Docketed Comments'!N:N,MATCH(A1021,'Docketed Comments'!H:H,0)),"")</f>
        <v>No</v>
      </c>
      <c r="O1021" s="135" t="str">
        <f>IFERROR(INDEX('Docketed Comments'!L:L,MATCH(A1021,'Docketed Comments'!H:H,0)),"")</f>
        <v>Yes</v>
      </c>
      <c r="P1021" s="136">
        <f t="shared" si="30"/>
        <v>0</v>
      </c>
      <c r="Q1021" s="140"/>
      <c r="R1021" s="144">
        <v>1</v>
      </c>
    </row>
    <row r="1022" spans="1:18" ht="21.95" customHeight="1">
      <c r="A1022" s="71" t="s">
        <v>5444</v>
      </c>
      <c r="B1022" s="69"/>
      <c r="C1022" s="70"/>
      <c r="D1022" s="69"/>
      <c r="E1022" s="69"/>
      <c r="F1022" s="65"/>
      <c r="G1022" s="65" t="s">
        <v>5811</v>
      </c>
      <c r="H1022" s="65" t="str">
        <f>IFERROR(INDEX('Docketed Comments'!C:C,MATCH(A1022,'Docketed Comments'!H:H,0))&amp;", "&amp;INDEX('Docketed Comments'!B:B,MATCH(A1022,'Docketed Comments'!H:H,0)),"")</f>
        <v>Kelly, St Clair</v>
      </c>
      <c r="I1022" s="65" t="str">
        <f>IFERROR(INDEX('Docketed Comments'!D:D,MATCH(A1022,'Docketed Comments'!H:H,0)),"")</f>
        <v>Sedona</v>
      </c>
      <c r="J1022" s="65" t="str">
        <f>IFERROR(INDEX('Docketed Comments'!I:I,MATCH(A1022,'Docketed Comments'!H:H,0)),"")</f>
        <v>R3-47</v>
      </c>
      <c r="K1022" s="65" t="str">
        <f t="shared" si="31"/>
        <v>✅ On Best Plan</v>
      </c>
      <c r="L1022" s="65" t="str">
        <f>IFERROR(INDEX('Docketed Comments'!F:F,MATCH(A1022,'Docketed Comments'!H:H,0)),"")</f>
        <v>APS rate increase. When is enough, enough!?!? No more rate increases. It's outrageous!</v>
      </c>
      <c r="M1022" s="137" t="str">
        <f>IFERROR(HYPERLINK(INDEX('Docketed Comments'!G:G,MATCH(A1022,'Docketed Comments'!H:H,0)),"📄 View Docket"),"")</f>
        <v>📄 View Docket</v>
      </c>
      <c r="N1022" s="135" t="str">
        <f>IFERROR(INDEX('Docketed Comments'!N:N,MATCH(A1022,'Docketed Comments'!H:H,0)),"")</f>
        <v>No</v>
      </c>
      <c r="O1022" s="135" t="str">
        <f>IFERROR(INDEX('Docketed Comments'!L:L,MATCH(A1022,'Docketed Comments'!H:H,0)),"")</f>
        <v>Yes</v>
      </c>
      <c r="P1022" s="136">
        <f t="shared" si="30"/>
        <v>0</v>
      </c>
      <c r="Q1022" s="140"/>
      <c r="R1022" s="144">
        <v>1</v>
      </c>
    </row>
    <row r="1023" spans="1:18" ht="21.95" customHeight="1">
      <c r="A1023" s="71" t="s">
        <v>5445</v>
      </c>
      <c r="B1023" s="69"/>
      <c r="C1023" s="70"/>
      <c r="D1023" s="69"/>
      <c r="E1023" s="69"/>
      <c r="F1023" s="65"/>
      <c r="G1023" s="65" t="s">
        <v>5811</v>
      </c>
      <c r="H1023" s="65" t="str">
        <f>IFERROR(INDEX('Docketed Comments'!C:C,MATCH(A1023,'Docketed Comments'!H:H,0))&amp;", "&amp;INDEX('Docketed Comments'!B:B,MATCH(A1023,'Docketed Comments'!H:H,0)),"")</f>
        <v>Emily, Bowman</v>
      </c>
      <c r="I1023" s="65" t="str">
        <f>IFERROR(INDEX('Docketed Comments'!D:D,MATCH(A1023,'Docketed Comments'!H:H,0)),"")</f>
        <v>Flagstaff</v>
      </c>
      <c r="J1023" s="65" t="str">
        <f>IFERROR(INDEX('Docketed Comments'!I:I,MATCH(A1023,'Docketed Comments'!H:H,0)),"")</f>
        <v>R-XS</v>
      </c>
      <c r="K1023" s="65" t="str">
        <f t="shared" si="31"/>
        <v>✅ On Best Plan</v>
      </c>
      <c r="L1023" s="65" t="str">
        <f>IFERROR(INDEX('Docketed Comments'!F:F,MATCH(A1023,'Docketed Comments'!H:H,0)),"")</f>
        <v>My husband and I are both nurses and we have one child. Even living modestly with two professional degrees and employment, we struggle to keep up</v>
      </c>
      <c r="M1023" s="137" t="str">
        <f>IFERROR(HYPERLINK(INDEX('Docketed Comments'!G:G,MATCH(A1023,'Docketed Comments'!H:H,0)),"📄 View Docket"),"")</f>
        <v>📄 View Docket</v>
      </c>
      <c r="N1023" s="135" t="str">
        <f>IFERROR(INDEX('Docketed Comments'!N:N,MATCH(A1023,'Docketed Comments'!H:H,0)),"")</f>
        <v>No</v>
      </c>
      <c r="O1023" s="135" t="str">
        <f>IFERROR(INDEX('Docketed Comments'!L:L,MATCH(A1023,'Docketed Comments'!H:H,0)),"")</f>
        <v>Yes</v>
      </c>
      <c r="P1023" s="136">
        <f t="shared" si="30"/>
        <v>0</v>
      </c>
      <c r="Q1023" s="140"/>
      <c r="R1023" s="144">
        <v>1</v>
      </c>
    </row>
    <row r="1024" spans="1:18" ht="21.95" customHeight="1">
      <c r="A1024" s="71" t="s">
        <v>5446</v>
      </c>
      <c r="B1024" s="69"/>
      <c r="C1024" s="70"/>
      <c r="D1024" s="69"/>
      <c r="E1024" s="69"/>
      <c r="F1024" s="65"/>
      <c r="G1024" s="65" t="s">
        <v>5811</v>
      </c>
      <c r="H1024" s="65" t="str">
        <f>IFERROR(INDEX('Docketed Comments'!C:C,MATCH(A1024,'Docketed Comments'!H:H,0))&amp;", "&amp;INDEX('Docketed Comments'!B:B,MATCH(A1024,'Docketed Comments'!H:H,0)),"")</f>
        <v>Mike, Noyes</v>
      </c>
      <c r="I1024" s="65" t="str">
        <f>IFERROR(INDEX('Docketed Comments'!D:D,MATCH(A1024,'Docketed Comments'!H:H,0)),"")</f>
        <v>Gilbert</v>
      </c>
      <c r="J1024" s="65" t="str">
        <f>IFERROR(INDEX('Docketed Comments'!I:I,MATCH(A1024,'Docketed Comments'!H:H,0)),"")</f>
        <v>R-2</v>
      </c>
      <c r="K1024" s="65" t="str">
        <f t="shared" si="31"/>
        <v>⚠ Frozen Plan</v>
      </c>
      <c r="L1024" s="65" t="str">
        <f>IFERROR(INDEX('Docketed Comments'!F:F,MATCH(A1024,'Docketed Comments'!H:H,0)),"")</f>
        <v>Wage growth has not caught up to the rising costs of living, especially here in Arizona</v>
      </c>
      <c r="M1024" s="137" t="str">
        <f>IFERROR(HYPERLINK(INDEX('Docketed Comments'!G:G,MATCH(A1024,'Docketed Comments'!H:H,0)),"📄 View Docket"),"")</f>
        <v>📄 View Docket</v>
      </c>
      <c r="N1024" s="135" t="str">
        <f>IFERROR(INDEX('Docketed Comments'!N:N,MATCH(A1024,'Docketed Comments'!H:H,0)),"")</f>
        <v>No</v>
      </c>
      <c r="O1024" s="135" t="str">
        <f>IFERROR(INDEX('Docketed Comments'!L:L,MATCH(A1024,'Docketed Comments'!H:H,0)),"")</f>
        <v>Frozen Plan</v>
      </c>
      <c r="P1024" s="136">
        <f t="shared" si="30"/>
        <v>0</v>
      </c>
      <c r="Q1024" s="140"/>
      <c r="R1024" s="144">
        <v>1</v>
      </c>
    </row>
    <row r="1025" spans="1:18" ht="21.95" customHeight="1">
      <c r="A1025" s="71" t="s">
        <v>5447</v>
      </c>
      <c r="B1025" s="69"/>
      <c r="C1025" s="70"/>
      <c r="D1025" s="69"/>
      <c r="E1025" s="69"/>
      <c r="F1025" s="65"/>
      <c r="G1025" s="65" t="s">
        <v>5811</v>
      </c>
      <c r="H1025" s="65" t="str">
        <f>IFERROR(INDEX('Docketed Comments'!C:C,MATCH(A1025,'Docketed Comments'!H:H,0))&amp;", "&amp;INDEX('Docketed Comments'!B:B,MATCH(A1025,'Docketed Comments'!H:H,0)),"")</f>
        <v>Michelle, Jack</v>
      </c>
      <c r="I1025" s="65" t="str">
        <f>IFERROR(INDEX('Docketed Comments'!D:D,MATCH(A1025,'Docketed Comments'!H:H,0)),"")</f>
        <v>Sedona</v>
      </c>
      <c r="J1025" s="65" t="str">
        <f>IFERROR(INDEX('Docketed Comments'!I:I,MATCH(A1025,'Docketed Comments'!H:H,0)),"")</f>
        <v>R-XS</v>
      </c>
      <c r="K1025" s="65" t="str">
        <f t="shared" si="31"/>
        <v>✅ On Best Plan</v>
      </c>
      <c r="L1025" s="65" t="str">
        <f>IFERROR(INDEX('Docketed Comments'!F:F,MATCH(A1025,'Docketed Comments'!H:H,0)),"")</f>
        <v>I am a native born Arizonan and always believed APS was here to serve the people who lived in Arizona.But I no longer feel that way.</v>
      </c>
      <c r="M1025" s="137" t="str">
        <f>IFERROR(HYPERLINK(INDEX('Docketed Comments'!G:G,MATCH(A1025,'Docketed Comments'!H:H,0)),"📄 View Docket"),"")</f>
        <v>📄 View Docket</v>
      </c>
      <c r="N1025" s="135" t="str">
        <f>IFERROR(INDEX('Docketed Comments'!N:N,MATCH(A1025,'Docketed Comments'!H:H,0)),"")</f>
        <v>No</v>
      </c>
      <c r="O1025" s="135" t="str">
        <f>IFERROR(INDEX('Docketed Comments'!L:L,MATCH(A1025,'Docketed Comments'!H:H,0)),"")</f>
        <v>Yes</v>
      </c>
      <c r="P1025" s="136">
        <f t="shared" si="30"/>
        <v>0</v>
      </c>
      <c r="Q1025" s="140"/>
      <c r="R1025" s="144">
        <v>1</v>
      </c>
    </row>
    <row r="1026" spans="1:18" ht="21.95" customHeight="1">
      <c r="A1026" s="71" t="s">
        <v>5448</v>
      </c>
      <c r="B1026" s="69"/>
      <c r="C1026" s="70"/>
      <c r="D1026" s="69"/>
      <c r="E1026" s="69"/>
      <c r="F1026" s="65"/>
      <c r="G1026" s="65" t="s">
        <v>5811</v>
      </c>
      <c r="H1026" s="65" t="str">
        <f>IFERROR(INDEX('Docketed Comments'!C:C,MATCH(A1026,'Docketed Comments'!H:H,0))&amp;", "&amp;INDEX('Docketed Comments'!B:B,MATCH(A1026,'Docketed Comments'!H:H,0)),"")</f>
        <v>Cheryl, Fleet</v>
      </c>
      <c r="I1026" s="65" t="str">
        <f>IFERROR(INDEX('Docketed Comments'!D:D,MATCH(A1026,'Docketed Comments'!H:H,0)),"")</f>
        <v>Sedona</v>
      </c>
      <c r="J1026" s="65" t="str">
        <f>IFERROR(INDEX('Docketed Comments'!I:I,MATCH(A1026,'Docketed Comments'!H:H,0)),"")</f>
        <v>RCPw/TOUE47</v>
      </c>
      <c r="K1026" s="65" t="str">
        <f t="shared" si="31"/>
        <v>✅ On Best Plan</v>
      </c>
      <c r="L1026" s="65" t="str">
        <f>IFERROR(INDEX('Docketed Comments'!F:F,MATCH(A1026,'Docketed Comments'!H:H,0)),"")</f>
        <v>October 2023 $67 credit, October 2024 $71 credit, October 2025 $81 bill</v>
      </c>
      <c r="M1026" s="137" t="str">
        <f>IFERROR(HYPERLINK(INDEX('Docketed Comments'!G:G,MATCH(A1026,'Docketed Comments'!H:H,0)),"📄 View Docket"),"")</f>
        <v>📄 View Docket</v>
      </c>
      <c r="N1026" s="135" t="str">
        <f>IFERROR(INDEX('Docketed Comments'!N:N,MATCH(A1026,'Docketed Comments'!H:H,0)),"")</f>
        <v>No</v>
      </c>
      <c r="O1026" s="135" t="str">
        <f>IFERROR(INDEX('Docketed Comments'!L:L,MATCH(A1026,'Docketed Comments'!H:H,0)),"")</f>
        <v>Yes</v>
      </c>
      <c r="P1026" s="136">
        <f t="shared" ref="P1026:P1089" si="32">IFERROR(IF(ISNUMBER(SEARCH("$",O1026)),VALUE(SUBSTITUTE(SUBSTITUTE(MID(O1026,FIND("$",O1026)+1,FIND(")",O1026)-FIND("$",O1026)-1),",","")," ","")),VALUE(SUBSTITUTE(SUBSTITUTE(MID(O1026,FIND("(",O1026)+1,FIND(")",O1026)-FIND("(",O1026)-1),",","")," ",""))),0)</f>
        <v>0</v>
      </c>
      <c r="Q1026" s="140"/>
      <c r="R1026" s="144">
        <v>1</v>
      </c>
    </row>
    <row r="1027" spans="1:18" ht="21.95" customHeight="1">
      <c r="A1027" s="71" t="s">
        <v>5449</v>
      </c>
      <c r="B1027" s="69"/>
      <c r="C1027" s="70"/>
      <c r="D1027" s="69"/>
      <c r="E1027" s="69"/>
      <c r="F1027" s="65"/>
      <c r="G1027" s="65" t="s">
        <v>5811</v>
      </c>
      <c r="H1027" s="65" t="str">
        <f>IFERROR(INDEX('Docketed Comments'!C:C,MATCH(A1027,'Docketed Comments'!H:H,0))&amp;", "&amp;INDEX('Docketed Comments'!B:B,MATCH(A1027,'Docketed Comments'!H:H,0)),"")</f>
        <v>Carolyn, Thompson</v>
      </c>
      <c r="I1027" s="65" t="str">
        <f>IFERROR(INDEX('Docketed Comments'!D:D,MATCH(A1027,'Docketed Comments'!H:H,0)),"")</f>
        <v>Surprise</v>
      </c>
      <c r="J1027" s="65" t="str">
        <f>IFERROR(INDEX('Docketed Comments'!I:I,MATCH(A1027,'Docketed Comments'!H:H,0)),"")</f>
        <v>R3-47</v>
      </c>
      <c r="K1027" s="65" t="str">
        <f t="shared" ref="K1027:K1090" si="33">IFERROR(IF(OR(LEFT(O1027,2)="No",LEFT(O1027,3)="Not"),"❌ Not on Best Plan",IF(OR(O1027="Yes",O1027="Y",O1027="Yes "),"✅ On Best Plan","⚠ "&amp;O1027)),"")</f>
        <v>✅ On Best Plan</v>
      </c>
      <c r="L1027" s="65" t="str">
        <f>IFERROR(INDEX('Docketed Comments'!F:F,MATCH(A1027,'Docketed Comments'!H:H,0)),"")</f>
        <v>As a senior citizen the rate increase will impact me but I do have an income. My COLA from Social Security was 2.8% this past year.</v>
      </c>
      <c r="M1027" s="137" t="str">
        <f>IFERROR(HYPERLINK(INDEX('Docketed Comments'!G:G,MATCH(A1027,'Docketed Comments'!H:H,0)),"📄 View Docket"),"")</f>
        <v>📄 View Docket</v>
      </c>
      <c r="N1027" s="135" t="str">
        <f>IFERROR(INDEX('Docketed Comments'!N:N,MATCH(A1027,'Docketed Comments'!H:H,0)),"")</f>
        <v>No</v>
      </c>
      <c r="O1027" s="135" t="str">
        <f>IFERROR(INDEX('Docketed Comments'!L:L,MATCH(A1027,'Docketed Comments'!H:H,0)),"")</f>
        <v>Yes</v>
      </c>
      <c r="P1027" s="136">
        <f t="shared" si="32"/>
        <v>0</v>
      </c>
      <c r="Q1027" s="140"/>
      <c r="R1027" s="144">
        <v>1</v>
      </c>
    </row>
    <row r="1028" spans="1:18" ht="21.95" customHeight="1">
      <c r="A1028" s="71" t="s">
        <v>5450</v>
      </c>
      <c r="B1028" s="69"/>
      <c r="C1028" s="70"/>
      <c r="D1028" s="69"/>
      <c r="E1028" s="69"/>
      <c r="F1028" s="65"/>
      <c r="G1028" s="65" t="s">
        <v>5811</v>
      </c>
      <c r="H1028" s="65" t="str">
        <f>IFERROR(INDEX('Docketed Comments'!C:C,MATCH(A1028,'Docketed Comments'!H:H,0))&amp;", "&amp;INDEX('Docketed Comments'!B:B,MATCH(A1028,'Docketed Comments'!H:H,0)),"")</f>
        <v>ILiya, Sapundzhiev</v>
      </c>
      <c r="I1028" s="65" t="str">
        <f>IFERROR(INDEX('Docketed Comments'!D:D,MATCH(A1028,'Docketed Comments'!H:H,0)),"")</f>
        <v>Surprise</v>
      </c>
      <c r="J1028" s="65" t="str">
        <f>IFERROR(INDEX('Docketed Comments'!I:I,MATCH(A1028,'Docketed Comments'!H:H,0)),"")</f>
        <v>RCPw/RTOUE47</v>
      </c>
      <c r="K1028" s="65" t="str">
        <f t="shared" si="33"/>
        <v>✅ On Best Plan</v>
      </c>
      <c r="L1028" s="65" t="str">
        <f>IFERROR(INDEX('Docketed Comments'!F:F,MATCH(A1028,'Docketed Comments'!H:H,0)),"")</f>
        <v xml:space="preserve">I am an Arizona resident, a small business owner, and a solar customer since 2020. I am writing to strongly oppose. </v>
      </c>
      <c r="M1028" s="137" t="str">
        <f>IFERROR(HYPERLINK(INDEX('Docketed Comments'!G:G,MATCH(A1028,'Docketed Comments'!H:H,0)),"📄 View Docket"),"")</f>
        <v>📄 View Docket</v>
      </c>
      <c r="N1028" s="135" t="str">
        <f>IFERROR(INDEX('Docketed Comments'!N:N,MATCH(A1028,'Docketed Comments'!H:H,0)),"")</f>
        <v>No</v>
      </c>
      <c r="O1028" s="135" t="str">
        <f>IFERROR(INDEX('Docketed Comments'!L:L,MATCH(A1028,'Docketed Comments'!H:H,0)),"")</f>
        <v>Yes</v>
      </c>
      <c r="P1028" s="136">
        <f t="shared" si="32"/>
        <v>0</v>
      </c>
      <c r="Q1028" s="140"/>
      <c r="R1028" s="144">
        <v>1</v>
      </c>
    </row>
    <row r="1029" spans="1:18" ht="21.95" customHeight="1">
      <c r="A1029" s="71" t="s">
        <v>5451</v>
      </c>
      <c r="B1029" s="69"/>
      <c r="C1029" s="70"/>
      <c r="D1029" s="69"/>
      <c r="E1029" s="69"/>
      <c r="F1029" s="65"/>
      <c r="G1029" s="65" t="s">
        <v>5811</v>
      </c>
      <c r="H1029" s="65" t="str">
        <f>IFERROR(INDEX('Docketed Comments'!C:C,MATCH(A1029,'Docketed Comments'!H:H,0))&amp;", "&amp;INDEX('Docketed Comments'!B:B,MATCH(A1029,'Docketed Comments'!H:H,0)),"")</f>
        <v>Michael, Dallam</v>
      </c>
      <c r="I1029" s="65" t="str">
        <f>IFERROR(INDEX('Docketed Comments'!D:D,MATCH(A1029,'Docketed Comments'!H:H,0)),"")</f>
        <v>Flagstaff</v>
      </c>
      <c r="J1029" s="65" t="str">
        <f>IFERROR(INDEX('Docketed Comments'!I:I,MATCH(A1029,'Docketed Comments'!H:H,0)),"")</f>
        <v>RCPw/R3-47</v>
      </c>
      <c r="K1029" s="65" t="str">
        <f t="shared" si="33"/>
        <v>✅ On Best Plan</v>
      </c>
      <c r="L1029" s="65" t="str">
        <f>IFERROR(INDEX('Docketed Comments'!F:F,MATCH(A1029,'Docketed Comments'!H:H,0)),"")</f>
        <v>Enough with these unnecessary rate increases! You folks campaigned on the promise of keeping rates reasonable, what happened to that?</v>
      </c>
      <c r="M1029" s="137" t="str">
        <f>IFERROR(HYPERLINK(INDEX('Docketed Comments'!G:G,MATCH(A1029,'Docketed Comments'!H:H,0)),"📄 View Docket"),"")</f>
        <v>📄 View Docket</v>
      </c>
      <c r="N1029" s="135" t="str">
        <f>IFERROR(INDEX('Docketed Comments'!N:N,MATCH(A1029,'Docketed Comments'!H:H,0)),"")</f>
        <v>No</v>
      </c>
      <c r="O1029" s="135" t="str">
        <f>IFERROR(INDEX('Docketed Comments'!L:L,MATCH(A1029,'Docketed Comments'!H:H,0)),"")</f>
        <v>Yes</v>
      </c>
      <c r="P1029" s="136">
        <f t="shared" si="32"/>
        <v>0</v>
      </c>
      <c r="Q1029" s="140"/>
      <c r="R1029" s="144">
        <v>1</v>
      </c>
    </row>
    <row r="1030" spans="1:18" ht="21.95" customHeight="1">
      <c r="A1030" s="71" t="s">
        <v>5452</v>
      </c>
      <c r="B1030" s="69"/>
      <c r="C1030" s="70"/>
      <c r="D1030" s="69"/>
      <c r="E1030" s="69"/>
      <c r="F1030" s="65"/>
      <c r="G1030" s="65" t="s">
        <v>5811</v>
      </c>
      <c r="H1030" s="65" t="str">
        <f>IFERROR(INDEX('Docketed Comments'!C:C,MATCH(A1030,'Docketed Comments'!H:H,0))&amp;", "&amp;INDEX('Docketed Comments'!B:B,MATCH(A1030,'Docketed Comments'!H:H,0)),"")</f>
        <v>Wayne, Johnson</v>
      </c>
      <c r="I1030" s="65" t="str">
        <f>IFERROR(INDEX('Docketed Comments'!D:D,MATCH(A1030,'Docketed Comments'!H:H,0)),"")</f>
        <v>Glendale</v>
      </c>
      <c r="J1030" s="65" t="str">
        <f>IFERROR(INDEX('Docketed Comments'!I:I,MATCH(A1030,'Docketed Comments'!H:H,0)),"")</f>
        <v>EPR6w/ET-1</v>
      </c>
      <c r="K1030" s="65" t="str">
        <f t="shared" si="33"/>
        <v>⚠ Frozen Plan</v>
      </c>
      <c r="L1030" s="65" t="str">
        <f>IFERROR(INDEX('Docketed Comments'!F:F,MATCH(A1030,'Docketed Comments'!H:H,0)),"")</f>
        <v>We don't need rate hikes, we need more investment in solar and other lower cost forms of power.</v>
      </c>
      <c r="M1030" s="137" t="str">
        <f>IFERROR(HYPERLINK(INDEX('Docketed Comments'!G:G,MATCH(A1030,'Docketed Comments'!H:H,0)),"📄 View Docket"),"")</f>
        <v>📄 View Docket</v>
      </c>
      <c r="N1030" s="135" t="str">
        <f>IFERROR(INDEX('Docketed Comments'!N:N,MATCH(A1030,'Docketed Comments'!H:H,0)),"")</f>
        <v>No</v>
      </c>
      <c r="O1030" s="135" t="str">
        <f>IFERROR(INDEX('Docketed Comments'!L:L,MATCH(A1030,'Docketed Comments'!H:H,0)),"")</f>
        <v>Frozen Plan</v>
      </c>
      <c r="P1030" s="136">
        <f t="shared" si="32"/>
        <v>0</v>
      </c>
      <c r="Q1030" s="140"/>
      <c r="R1030" s="144">
        <v>1</v>
      </c>
    </row>
    <row r="1031" spans="1:18" ht="21.95" customHeight="1">
      <c r="A1031" s="71" t="s">
        <v>5453</v>
      </c>
      <c r="B1031" s="69"/>
      <c r="C1031" s="70"/>
      <c r="D1031" s="69"/>
      <c r="E1031" s="69"/>
      <c r="F1031" s="65"/>
      <c r="G1031" s="65" t="s">
        <v>5811</v>
      </c>
      <c r="H1031" s="65" t="str">
        <f>IFERROR(INDEX('Docketed Comments'!C:C,MATCH(A1031,'Docketed Comments'!H:H,0))&amp;", "&amp;INDEX('Docketed Comments'!B:B,MATCH(A1031,'Docketed Comments'!H:H,0)),"")</f>
        <v>Leonard, Lipson</v>
      </c>
      <c r="I1031" s="65" t="str">
        <f>IFERROR(INDEX('Docketed Comments'!D:D,MATCH(A1031,'Docketed Comments'!H:H,0)),"")</f>
        <v>Casa Grande</v>
      </c>
      <c r="J1031" s="65" t="str">
        <f>IFERROR(INDEX('Docketed Comments'!I:I,MATCH(A1031,'Docketed Comments'!H:H,0)),"")</f>
        <v>RCPw/TOUE47</v>
      </c>
      <c r="K1031" s="65" t="str">
        <f t="shared" si="33"/>
        <v>✅ On Best Plan</v>
      </c>
      <c r="L1031" s="65" t="str">
        <f>IFERROR(INDEX('Docketed Comments'!F:F,MATCH(A1031,'Docketed Comments'!H:H,0)),"")</f>
        <v>Solar panels worth les Retired on fixed income Paying enough now.</v>
      </c>
      <c r="M1031" s="137" t="str">
        <f>IFERROR(HYPERLINK(INDEX('Docketed Comments'!G:G,MATCH(A1031,'Docketed Comments'!H:H,0)),"📄 View Docket"),"")</f>
        <v>📄 View Docket</v>
      </c>
      <c r="N1031" s="135" t="str">
        <f>IFERROR(INDEX('Docketed Comments'!N:N,MATCH(A1031,'Docketed Comments'!H:H,0)),"")</f>
        <v>No</v>
      </c>
      <c r="O1031" s="135" t="str">
        <f>IFERROR(INDEX('Docketed Comments'!L:L,MATCH(A1031,'Docketed Comments'!H:H,0)),"")</f>
        <v>Yes</v>
      </c>
      <c r="P1031" s="136">
        <f t="shared" si="32"/>
        <v>0</v>
      </c>
      <c r="Q1031" s="140"/>
      <c r="R1031" s="144">
        <v>1</v>
      </c>
    </row>
    <row r="1032" spans="1:18" ht="21.95" customHeight="1">
      <c r="A1032" s="71" t="s">
        <v>5454</v>
      </c>
      <c r="B1032" s="69"/>
      <c r="C1032" s="70"/>
      <c r="D1032" s="69"/>
      <c r="E1032" s="69"/>
      <c r="F1032" s="65"/>
      <c r="G1032" s="65" t="s">
        <v>5811</v>
      </c>
      <c r="H1032" s="65" t="str">
        <f>IFERROR(INDEX('Docketed Comments'!C:C,MATCH(A1032,'Docketed Comments'!H:H,0))&amp;", "&amp;INDEX('Docketed Comments'!B:B,MATCH(A1032,'Docketed Comments'!H:H,0)),"")</f>
        <v>David, Perez</v>
      </c>
      <c r="I1032" s="65" t="str">
        <f>IFERROR(INDEX('Docketed Comments'!D:D,MATCH(A1032,'Docketed Comments'!H:H,0)),"")</f>
        <v>Phoenix</v>
      </c>
      <c r="J1032" s="65" t="str">
        <f>IFERROR(INDEX('Docketed Comments'!I:I,MATCH(A1032,'Docketed Comments'!H:H,0)),"")</f>
        <v>RCPw/TOUE47</v>
      </c>
      <c r="K1032" s="65" t="str">
        <f t="shared" si="33"/>
        <v>✅ On Best Plan</v>
      </c>
      <c r="L1032" s="65" t="str">
        <f>IFERROR(INDEX('Docketed Comments'!F:F,MATCH(A1032,'Docketed Comments'!H:H,0)),"")</f>
        <v>even with solar panels, I have to still pay APS bc of their rate increase through the years</v>
      </c>
      <c r="M1032" s="137" t="str">
        <f>IFERROR(HYPERLINK(INDEX('Docketed Comments'!G:G,MATCH(A1032,'Docketed Comments'!H:H,0)),"📄 View Docket"),"")</f>
        <v>📄 View Docket</v>
      </c>
      <c r="N1032" s="135" t="str">
        <f>IFERROR(INDEX('Docketed Comments'!N:N,MATCH(A1032,'Docketed Comments'!H:H,0)),"")</f>
        <v>No</v>
      </c>
      <c r="O1032" s="135" t="str">
        <f>IFERROR(INDEX('Docketed Comments'!L:L,MATCH(A1032,'Docketed Comments'!H:H,0)),"")</f>
        <v>Yes</v>
      </c>
      <c r="P1032" s="136">
        <f t="shared" si="32"/>
        <v>0</v>
      </c>
      <c r="Q1032" s="140"/>
      <c r="R1032" s="144">
        <v>1</v>
      </c>
    </row>
    <row r="1033" spans="1:18" ht="21.95" customHeight="1">
      <c r="A1033" s="71" t="s">
        <v>5455</v>
      </c>
      <c r="B1033" s="69"/>
      <c r="C1033" s="70"/>
      <c r="D1033" s="69"/>
      <c r="E1033" s="69"/>
      <c r="F1033" s="65"/>
      <c r="G1033" s="65" t="s">
        <v>5811</v>
      </c>
      <c r="H1033" s="65" t="str">
        <f>IFERROR(INDEX('Docketed Comments'!C:C,MATCH(A1033,'Docketed Comments'!H:H,0))&amp;", "&amp;INDEX('Docketed Comments'!B:B,MATCH(A1033,'Docketed Comments'!H:H,0)),"")</f>
        <v>Dwayne, Osborn</v>
      </c>
      <c r="I1033" s="65" t="str">
        <f>IFERROR(INDEX('Docketed Comments'!D:D,MATCH(A1033,'Docketed Comments'!H:H,0)),"")</f>
        <v>Tonopah</v>
      </c>
      <c r="J1033" s="65" t="str">
        <f>IFERROR(INDEX('Docketed Comments'!I:I,MATCH(A1033,'Docketed Comments'!H:H,0)),"")</f>
        <v>RCPw/RTOUE47</v>
      </c>
      <c r="K1033" s="65" t="str">
        <f t="shared" si="33"/>
        <v>✅ On Best Plan</v>
      </c>
      <c r="L1033" s="65" t="str">
        <f>IFERROR(INDEX('Docketed Comments'!F:F,MATCH(A1033,'Docketed Comments'!H:H,0)),"")</f>
        <v xml:space="preserve">fixed income, with solar, do not support any increase in APS rate increases while continuing to set record profits. </v>
      </c>
      <c r="M1033" s="137" t="str">
        <f>IFERROR(HYPERLINK(INDEX('Docketed Comments'!G:G,MATCH(A1033,'Docketed Comments'!H:H,0)),"📄 View Docket"),"")</f>
        <v>📄 View Docket</v>
      </c>
      <c r="N1033" s="135" t="str">
        <f>IFERROR(INDEX('Docketed Comments'!N:N,MATCH(A1033,'Docketed Comments'!H:H,0)),"")</f>
        <v>No</v>
      </c>
      <c r="O1033" s="135" t="str">
        <f>IFERROR(INDEX('Docketed Comments'!L:L,MATCH(A1033,'Docketed Comments'!H:H,0)),"")</f>
        <v>Yes</v>
      </c>
      <c r="P1033" s="136">
        <f t="shared" si="32"/>
        <v>0</v>
      </c>
      <c r="Q1033" s="140"/>
      <c r="R1033" s="144">
        <v>1</v>
      </c>
    </row>
    <row r="1034" spans="1:18" ht="21.95" customHeight="1">
      <c r="A1034" s="71" t="s">
        <v>5456</v>
      </c>
      <c r="B1034" s="69"/>
      <c r="C1034" s="70"/>
      <c r="D1034" s="69"/>
      <c r="E1034" s="69"/>
      <c r="F1034" s="65"/>
      <c r="G1034" s="65" t="s">
        <v>5811</v>
      </c>
      <c r="H1034" s="65" t="str">
        <f>IFERROR(INDEX('Docketed Comments'!C:C,MATCH(A1034,'Docketed Comments'!H:H,0))&amp;", "&amp;INDEX('Docketed Comments'!B:B,MATCH(A1034,'Docketed Comments'!H:H,0)),"")</f>
        <v>Kathleen, Armstrong</v>
      </c>
      <c r="I1034" s="65" t="str">
        <f>IFERROR(INDEX('Docketed Comments'!D:D,MATCH(A1034,'Docketed Comments'!H:H,0)),"")</f>
        <v>Flagstaff</v>
      </c>
      <c r="J1034" s="65" t="str">
        <f>IFERROR(INDEX('Docketed Comments'!I:I,MATCH(A1034,'Docketed Comments'!H:H,0)),"")</f>
        <v>R-XS</v>
      </c>
      <c r="K1034" s="65" t="str">
        <f t="shared" si="33"/>
        <v>✅ On Best Plan</v>
      </c>
      <c r="L1034" s="65" t="str">
        <f>IFERROR(INDEX('Docketed Comments'!F:F,MATCH(A1034,'Docketed Comments'!H:H,0)),"")</f>
        <v>It is criminal to ignore cheaper clearn energy like solar and wind. APS would not need to even consider a rate hike if they stopped ignoring clean</v>
      </c>
      <c r="M1034" s="137" t="str">
        <f>IFERROR(HYPERLINK(INDEX('Docketed Comments'!G:G,MATCH(A1034,'Docketed Comments'!H:H,0)),"📄 View Docket"),"")</f>
        <v>📄 View Docket</v>
      </c>
      <c r="N1034" s="135" t="str">
        <f>IFERROR(INDEX('Docketed Comments'!N:N,MATCH(A1034,'Docketed Comments'!H:H,0)),"")</f>
        <v>No</v>
      </c>
      <c r="O1034" s="135" t="str">
        <f>IFERROR(INDEX('Docketed Comments'!L:L,MATCH(A1034,'Docketed Comments'!H:H,0)),"")</f>
        <v>Yes</v>
      </c>
      <c r="P1034" s="136">
        <f t="shared" si="32"/>
        <v>0</v>
      </c>
      <c r="Q1034" s="140"/>
      <c r="R1034" s="144">
        <v>1</v>
      </c>
    </row>
    <row r="1035" spans="1:18" ht="21.95" customHeight="1">
      <c r="A1035" s="71" t="s">
        <v>5457</v>
      </c>
      <c r="B1035" s="69"/>
      <c r="C1035" s="70"/>
      <c r="D1035" s="69"/>
      <c r="E1035" s="69"/>
      <c r="F1035" s="65"/>
      <c r="G1035" s="65" t="s">
        <v>5811</v>
      </c>
      <c r="H1035" s="65" t="str">
        <f>IFERROR(INDEX('Docketed Comments'!C:C,MATCH(A1035,'Docketed Comments'!H:H,0))&amp;", "&amp;INDEX('Docketed Comments'!B:B,MATCH(A1035,'Docketed Comments'!H:H,0)),"")</f>
        <v>Judy, Martinez</v>
      </c>
      <c r="I1035" s="65" t="str">
        <f>IFERROR(INDEX('Docketed Comments'!D:D,MATCH(A1035,'Docketed Comments'!H:H,0)),"")</f>
        <v>Williams</v>
      </c>
      <c r="J1035" s="65" t="str">
        <f>IFERROR(INDEX('Docketed Comments'!I:I,MATCH(A1035,'Docketed Comments'!H:H,0)),"")</f>
        <v>R3-47</v>
      </c>
      <c r="K1035" s="65" t="str">
        <f t="shared" si="33"/>
        <v>✅ On Best Plan</v>
      </c>
      <c r="L1035" s="65" t="str">
        <f>IFERROR(INDEX('Docketed Comments'!F:F,MATCH(A1035,'Docketed Comments'!H:H,0)),"")</f>
        <v>Families across this state already struggle to pay their mortgages, cover their bills and make ends meet</v>
      </c>
      <c r="M1035" s="137" t="str">
        <f>IFERROR(HYPERLINK(INDEX('Docketed Comments'!G:G,MATCH(A1035,'Docketed Comments'!H:H,0)),"📄 View Docket"),"")</f>
        <v>📄 View Docket</v>
      </c>
      <c r="N1035" s="135" t="str">
        <f>IFERROR(INDEX('Docketed Comments'!N:N,MATCH(A1035,'Docketed Comments'!H:H,0)),"")</f>
        <v>No</v>
      </c>
      <c r="O1035" s="135" t="str">
        <f>IFERROR(INDEX('Docketed Comments'!L:L,MATCH(A1035,'Docketed Comments'!H:H,0)),"")</f>
        <v>Yes</v>
      </c>
      <c r="P1035" s="136">
        <f t="shared" si="32"/>
        <v>0</v>
      </c>
      <c r="Q1035" s="140"/>
      <c r="R1035" s="144">
        <v>1</v>
      </c>
    </row>
    <row r="1036" spans="1:18" ht="21.95" customHeight="1">
      <c r="A1036" s="71" t="s">
        <v>5458</v>
      </c>
      <c r="B1036" s="69"/>
      <c r="C1036" s="70"/>
      <c r="D1036" s="69"/>
      <c r="E1036" s="69"/>
      <c r="F1036" s="65"/>
      <c r="G1036" s="65" t="s">
        <v>5811</v>
      </c>
      <c r="H1036" s="65" t="str">
        <f>IFERROR(INDEX('Docketed Comments'!C:C,MATCH(A1036,'Docketed Comments'!H:H,0))&amp;", "&amp;INDEX('Docketed Comments'!B:B,MATCH(A1036,'Docketed Comments'!H:H,0)),"")</f>
        <v>Shawn, Newell</v>
      </c>
      <c r="I1036" s="65" t="str">
        <f>IFERROR(INDEX('Docketed Comments'!D:D,MATCH(A1036,'Docketed Comments'!H:H,0)),"")</f>
        <v>Flagstaff</v>
      </c>
      <c r="J1036" s="65" t="str">
        <f>IFERROR(INDEX('Docketed Comments'!I:I,MATCH(A1036,'Docketed Comments'!H:H,0)),"")</f>
        <v>EPR6w/E-12</v>
      </c>
      <c r="K1036" s="65" t="str">
        <f t="shared" si="33"/>
        <v>⚠ Frozen Plan</v>
      </c>
      <c r="L1036" s="65" t="str">
        <f>IFERROR(INDEX('Docketed Comments'!F:F,MATCH(A1036,'Docketed Comments'!H:H,0)),"")</f>
        <v>when APS customers like me are struggling with affordability, APS should not be guaranteed higher profits</v>
      </c>
      <c r="M1036" s="137" t="str">
        <f>IFERROR(HYPERLINK(INDEX('Docketed Comments'!G:G,MATCH(A1036,'Docketed Comments'!H:H,0)),"📄 View Docket"),"")</f>
        <v>📄 View Docket</v>
      </c>
      <c r="N1036" s="135" t="str">
        <f>IFERROR(INDEX('Docketed Comments'!N:N,MATCH(A1036,'Docketed Comments'!H:H,0)),"")</f>
        <v>No</v>
      </c>
      <c r="O1036" s="135" t="str">
        <f>IFERROR(INDEX('Docketed Comments'!L:L,MATCH(A1036,'Docketed Comments'!H:H,0)),"")</f>
        <v>Frozen Plan</v>
      </c>
      <c r="P1036" s="136">
        <f t="shared" si="32"/>
        <v>0</v>
      </c>
      <c r="Q1036" s="140"/>
      <c r="R1036" s="144">
        <v>1</v>
      </c>
    </row>
    <row r="1037" spans="1:18" ht="21.95" customHeight="1">
      <c r="A1037" s="71" t="s">
        <v>5459</v>
      </c>
      <c r="B1037" s="69"/>
      <c r="C1037" s="70"/>
      <c r="D1037" s="69"/>
      <c r="E1037" s="69"/>
      <c r="F1037" s="65"/>
      <c r="G1037" s="65" t="s">
        <v>5811</v>
      </c>
      <c r="H1037" s="65" t="str">
        <f>IFERROR(INDEX('Docketed Comments'!C:C,MATCH(A1037,'Docketed Comments'!H:H,0))&amp;", "&amp;INDEX('Docketed Comments'!B:B,MATCH(A1037,'Docketed Comments'!H:H,0)),"")</f>
        <v>Jay, Budde</v>
      </c>
      <c r="I1037" s="65" t="str">
        <f>IFERROR(INDEX('Docketed Comments'!D:D,MATCH(A1037,'Docketed Comments'!H:H,0)),"")</f>
        <v>Peoria</v>
      </c>
      <c r="J1037" s="65" t="str">
        <f>IFERROR(INDEX('Docketed Comments'!I:I,MATCH(A1037,'Docketed Comments'!H:H,0)),"")</f>
        <v>R3-47</v>
      </c>
      <c r="K1037" s="65" t="str">
        <f t="shared" si="33"/>
        <v>✅ On Best Plan</v>
      </c>
      <c r="L1037" s="65" t="str">
        <f>IFERROR(INDEX('Docketed Comments'!F:F,MATCH(A1037,'Docketed Comments'!H:H,0)),"")</f>
        <v>How about APS stop doing commercials using the money they charge us customers for</v>
      </c>
      <c r="M1037" s="137" t="str">
        <f>IFERROR(HYPERLINK(INDEX('Docketed Comments'!G:G,MATCH(A1037,'Docketed Comments'!H:H,0)),"📄 View Docket"),"")</f>
        <v>📄 View Docket</v>
      </c>
      <c r="N1037" s="135" t="str">
        <f>IFERROR(INDEX('Docketed Comments'!N:N,MATCH(A1037,'Docketed Comments'!H:H,0)),"")</f>
        <v>No</v>
      </c>
      <c r="O1037" s="135" t="str">
        <f>IFERROR(INDEX('Docketed Comments'!L:L,MATCH(A1037,'Docketed Comments'!H:H,0)),"")</f>
        <v>Yes</v>
      </c>
      <c r="P1037" s="136">
        <f t="shared" si="32"/>
        <v>0</v>
      </c>
      <c r="Q1037" s="140"/>
      <c r="R1037" s="144">
        <v>1</v>
      </c>
    </row>
    <row r="1038" spans="1:18" ht="21.95" customHeight="1">
      <c r="A1038" s="71" t="s">
        <v>5460</v>
      </c>
      <c r="B1038" s="69"/>
      <c r="C1038" s="70"/>
      <c r="D1038" s="69"/>
      <c r="E1038" s="69"/>
      <c r="F1038" s="65"/>
      <c r="G1038" s="65" t="s">
        <v>5811</v>
      </c>
      <c r="H1038" s="65" t="str">
        <f>IFERROR(INDEX('Docketed Comments'!C:C,MATCH(A1038,'Docketed Comments'!H:H,0))&amp;", "&amp;INDEX('Docketed Comments'!B:B,MATCH(A1038,'Docketed Comments'!H:H,0)),"")</f>
        <v>Mike, Martin</v>
      </c>
      <c r="I1038" s="65" t="str">
        <f>IFERROR(INDEX('Docketed Comments'!D:D,MATCH(A1038,'Docketed Comments'!H:H,0)),"")</f>
        <v>Phoenix</v>
      </c>
      <c r="J1038" s="65" t="str">
        <f>IFERROR(INDEX('Docketed Comments'!I:I,MATCH(A1038,'Docketed Comments'!H:H,0)),"")</f>
        <v>RCPw/R3-47</v>
      </c>
      <c r="K1038" s="65" t="str">
        <f t="shared" si="33"/>
        <v>✅ On Best Plan</v>
      </c>
      <c r="L1038" s="65" t="str">
        <f>IFERROR(INDEX('Docketed Comments'!F:F,MATCH(A1038,'Docketed Comments'!H:H,0)),"")</f>
        <v>l am a retired postal employee and on a pension. I am sick and tired of APS ripping off its Customers</v>
      </c>
      <c r="M1038" s="137" t="str">
        <f>IFERROR(HYPERLINK(INDEX('Docketed Comments'!G:G,MATCH(A1038,'Docketed Comments'!H:H,0)),"📄 View Docket"),"")</f>
        <v>📄 View Docket</v>
      </c>
      <c r="N1038" s="135" t="str">
        <f>IFERROR(INDEX('Docketed Comments'!N:N,MATCH(A1038,'Docketed Comments'!H:H,0)),"")</f>
        <v>No</v>
      </c>
      <c r="O1038" s="135" t="str">
        <f>IFERROR(INDEX('Docketed Comments'!L:L,MATCH(A1038,'Docketed Comments'!H:H,0)),"")</f>
        <v>Yes</v>
      </c>
      <c r="P1038" s="136">
        <f t="shared" si="32"/>
        <v>0</v>
      </c>
      <c r="Q1038" s="140"/>
      <c r="R1038" s="144">
        <v>1</v>
      </c>
    </row>
    <row r="1039" spans="1:18" ht="21.95" customHeight="1">
      <c r="A1039" s="71" t="s">
        <v>5461</v>
      </c>
      <c r="B1039" s="69"/>
      <c r="C1039" s="70"/>
      <c r="D1039" s="69"/>
      <c r="E1039" s="69"/>
      <c r="F1039" s="65"/>
      <c r="G1039" s="65" t="s">
        <v>5811</v>
      </c>
      <c r="H1039" s="65" t="str">
        <f>IFERROR(INDEX('Docketed Comments'!C:C,MATCH(A1039,'Docketed Comments'!H:H,0))&amp;", "&amp;INDEX('Docketed Comments'!B:B,MATCH(A1039,'Docketed Comments'!H:H,0)),"")</f>
        <v>James, Wesolowski</v>
      </c>
      <c r="I1039" s="65" t="str">
        <f>IFERROR(INDEX('Docketed Comments'!D:D,MATCH(A1039,'Docketed Comments'!H:H,0)),"")</f>
        <v>Tonto Basin</v>
      </c>
      <c r="J1039" s="65" t="str">
        <f>IFERROR(INDEX('Docketed Comments'!I:I,MATCH(A1039,'Docketed Comments'!H:H,0)),"")</f>
        <v>R-2</v>
      </c>
      <c r="K1039" s="65" t="str">
        <f t="shared" si="33"/>
        <v>⚠ Frozen Plan</v>
      </c>
      <c r="L1039" s="65" t="str">
        <f>IFERROR(INDEX('Docketed Comments'!F:F,MATCH(A1039,'Docketed Comments'!H:H,0)),"")</f>
        <v>Spent over 140k on solar to negate the costs of my electricity bills and used to actually get credit on my bill each month. 2025 I never once had a month where I got a credit</v>
      </c>
      <c r="M1039" s="137" t="str">
        <f>IFERROR(HYPERLINK(INDEX('Docketed Comments'!G:G,MATCH(A1039,'Docketed Comments'!H:H,0)),"📄 View Docket"),"")</f>
        <v>📄 View Docket</v>
      </c>
      <c r="N1039" s="135" t="str">
        <f>IFERROR(INDEX('Docketed Comments'!N:N,MATCH(A1039,'Docketed Comments'!H:H,0)),"")</f>
        <v>No</v>
      </c>
      <c r="O1039" s="135" t="str">
        <f>IFERROR(INDEX('Docketed Comments'!L:L,MATCH(A1039,'Docketed Comments'!H:H,0)),"")</f>
        <v>Frozen Plan</v>
      </c>
      <c r="P1039" s="136">
        <f t="shared" si="32"/>
        <v>0</v>
      </c>
      <c r="Q1039" s="140"/>
      <c r="R1039" s="144">
        <v>1</v>
      </c>
    </row>
    <row r="1040" spans="1:18" ht="21.95" customHeight="1">
      <c r="A1040" s="71" t="s">
        <v>5462</v>
      </c>
      <c r="B1040" s="69"/>
      <c r="C1040" s="70"/>
      <c r="D1040" s="69"/>
      <c r="E1040" s="69"/>
      <c r="F1040" s="65"/>
      <c r="G1040" s="65" t="s">
        <v>5811</v>
      </c>
      <c r="H1040" s="65" t="str">
        <f>IFERROR(INDEX('Docketed Comments'!C:C,MATCH(A1040,'Docketed Comments'!H:H,0))&amp;", "&amp;INDEX('Docketed Comments'!B:B,MATCH(A1040,'Docketed Comments'!H:H,0)),"")</f>
        <v>Donald, Pratt</v>
      </c>
      <c r="I1040" s="65" t="str">
        <f>IFERROR(INDEX('Docketed Comments'!D:D,MATCH(A1040,'Docketed Comments'!H:H,0)),"")</f>
        <v>Prescott</v>
      </c>
      <c r="J1040" s="65" t="str">
        <f>IFERROR(INDEX('Docketed Comments'!I:I,MATCH(A1040,'Docketed Comments'!H:H,0)),"")</f>
        <v>RCPw/RTOUE47</v>
      </c>
      <c r="K1040" s="65" t="str">
        <f t="shared" si="33"/>
        <v>✅ On Best Plan</v>
      </c>
      <c r="L1040" s="65" t="str">
        <f>IFERROR(INDEX('Docketed Comments'!F:F,MATCH(A1040,'Docketed Comments'!H:H,0)),"")</f>
        <v>As a retiree, fixed income, invested in solar, prior APS rate increase negated much of my actual financial benefit and anticipated return on investment.</v>
      </c>
      <c r="M1040" s="137" t="str">
        <f>IFERROR(HYPERLINK(INDEX('Docketed Comments'!G:G,MATCH(A1040,'Docketed Comments'!H:H,0)),"📄 View Docket"),"")</f>
        <v>📄 View Docket</v>
      </c>
      <c r="N1040" s="135" t="str">
        <f>IFERROR(INDEX('Docketed Comments'!N:N,MATCH(A1040,'Docketed Comments'!H:H,0)),"")</f>
        <v>No</v>
      </c>
      <c r="O1040" s="135" t="str">
        <f>IFERROR(INDEX('Docketed Comments'!L:L,MATCH(A1040,'Docketed Comments'!H:H,0)),"")</f>
        <v>Yes</v>
      </c>
      <c r="P1040" s="136">
        <f t="shared" si="32"/>
        <v>0</v>
      </c>
      <c r="Q1040" s="140"/>
      <c r="R1040" s="144">
        <v>1</v>
      </c>
    </row>
    <row r="1041" spans="1:18" ht="21.95" customHeight="1">
      <c r="A1041" s="71" t="s">
        <v>5463</v>
      </c>
      <c r="B1041" s="69"/>
      <c r="C1041" s="70"/>
      <c r="D1041" s="69"/>
      <c r="E1041" s="69"/>
      <c r="F1041" s="65"/>
      <c r="G1041" s="65" t="s">
        <v>5811</v>
      </c>
      <c r="H1041" s="65" t="str">
        <f>IFERROR(INDEX('Docketed Comments'!C:C,MATCH(A1041,'Docketed Comments'!H:H,0))&amp;", "&amp;INDEX('Docketed Comments'!B:B,MATCH(A1041,'Docketed Comments'!H:H,0)),"")</f>
        <v>Jewell, Hawthorne</v>
      </c>
      <c r="I1041" s="65" t="str">
        <f>IFERROR(INDEX('Docketed Comments'!D:D,MATCH(A1041,'Docketed Comments'!H:H,0)),"")</f>
        <v>Phoenix</v>
      </c>
      <c r="J1041" s="65" t="str">
        <f>IFERROR(INDEX('Docketed Comments'!I:I,MATCH(A1041,'Docketed Comments'!H:H,0)),"")</f>
        <v>EPR6w/E-12</v>
      </c>
      <c r="K1041" s="65" t="str">
        <f t="shared" si="33"/>
        <v>⚠ Frozen Plan</v>
      </c>
      <c r="L1041" s="65" t="str">
        <f>IFERROR(INDEX('Docketed Comments'!F:F,MATCH(A1041,'Docketed Comments'!H:H,0)),"")</f>
        <v>Three rate hikes in the past three years. And to make matters worse, the utility's proposed "formula rates" would allow them to increase annually</v>
      </c>
      <c r="M1041" s="137" t="str">
        <f>IFERROR(HYPERLINK(INDEX('Docketed Comments'!G:G,MATCH(A1041,'Docketed Comments'!H:H,0)),"📄 View Docket"),"")</f>
        <v>📄 View Docket</v>
      </c>
      <c r="N1041" s="135" t="str">
        <f>IFERROR(INDEX('Docketed Comments'!N:N,MATCH(A1041,'Docketed Comments'!H:H,0)),"")</f>
        <v>No</v>
      </c>
      <c r="O1041" s="135" t="str">
        <f>IFERROR(INDEX('Docketed Comments'!L:L,MATCH(A1041,'Docketed Comments'!H:H,0)),"")</f>
        <v>Frozen Plan</v>
      </c>
      <c r="P1041" s="136">
        <f t="shared" si="32"/>
        <v>0</v>
      </c>
      <c r="Q1041" s="140"/>
      <c r="R1041" s="144">
        <v>1</v>
      </c>
    </row>
    <row r="1042" spans="1:18" ht="21.95" customHeight="1">
      <c r="A1042" s="71" t="s">
        <v>5464</v>
      </c>
      <c r="B1042" s="69"/>
      <c r="C1042" s="70"/>
      <c r="D1042" s="69"/>
      <c r="E1042" s="69"/>
      <c r="F1042" s="65"/>
      <c r="G1042" s="65" t="s">
        <v>5811</v>
      </c>
      <c r="H1042" s="65" t="str">
        <f>IFERROR(INDEX('Docketed Comments'!C:C,MATCH(A1042,'Docketed Comments'!H:H,0))&amp;", "&amp;INDEX('Docketed Comments'!B:B,MATCH(A1042,'Docketed Comments'!H:H,0)),"")</f>
        <v>Katherine, McClellan</v>
      </c>
      <c r="I1042" s="65" t="str">
        <f>IFERROR(INDEX('Docketed Comments'!D:D,MATCH(A1042,'Docketed Comments'!H:H,0)),"")</f>
        <v>Glendale</v>
      </c>
      <c r="J1042" s="65" t="str">
        <f>IFERROR(INDEX('Docketed Comments'!I:I,MATCH(A1042,'Docketed Comments'!H:H,0)),"")</f>
        <v>RCPw/R3-47</v>
      </c>
      <c r="K1042" s="65" t="str">
        <f t="shared" si="33"/>
        <v>✅ On Best Plan</v>
      </c>
      <c r="L1042" s="65" t="str">
        <f>IFERROR(INDEX('Docketed Comments'!F:F,MATCH(A1042,'Docketed Comments'!H:H,0)),"")</f>
        <v xml:space="preserve">I am putting in more energy to their grid with my solar panels then I take out and yet they have still found back door methods to take money from  me. </v>
      </c>
      <c r="M1042" s="137" t="str">
        <f>IFERROR(HYPERLINK(INDEX('Docketed Comments'!G:G,MATCH(A1042,'Docketed Comments'!H:H,0)),"📄 View Docket"),"")</f>
        <v>📄 View Docket</v>
      </c>
      <c r="N1042" s="135" t="str">
        <f>IFERROR(INDEX('Docketed Comments'!N:N,MATCH(A1042,'Docketed Comments'!H:H,0)),"")</f>
        <v>No</v>
      </c>
      <c r="O1042" s="135" t="str">
        <f>IFERROR(INDEX('Docketed Comments'!L:L,MATCH(A1042,'Docketed Comments'!H:H,0)),"")</f>
        <v>Yes</v>
      </c>
      <c r="P1042" s="136">
        <f t="shared" si="32"/>
        <v>0</v>
      </c>
      <c r="Q1042" s="140"/>
      <c r="R1042" s="144">
        <v>1</v>
      </c>
    </row>
    <row r="1043" spans="1:18" ht="21.95" customHeight="1">
      <c r="A1043" s="71" t="s">
        <v>5465</v>
      </c>
      <c r="B1043" s="69"/>
      <c r="C1043" s="70"/>
      <c r="D1043" s="69"/>
      <c r="E1043" s="69"/>
      <c r="F1043" s="65"/>
      <c r="G1043" s="65" t="s">
        <v>5811</v>
      </c>
      <c r="H1043" s="65" t="str">
        <f>IFERROR(INDEX('Docketed Comments'!C:C,MATCH(A1043,'Docketed Comments'!H:H,0))&amp;", "&amp;INDEX('Docketed Comments'!B:B,MATCH(A1043,'Docketed Comments'!H:H,0)),"")</f>
        <v>Chris, Soto</v>
      </c>
      <c r="I1043" s="65" t="str">
        <f>IFERROR(INDEX('Docketed Comments'!D:D,MATCH(A1043,'Docketed Comments'!H:H,0)),"")</f>
        <v>Florence</v>
      </c>
      <c r="J1043" s="65" t="str">
        <f>IFERROR(INDEX('Docketed Comments'!I:I,MATCH(A1043,'Docketed Comments'!H:H,0)),"")</f>
        <v>RCPw/RTOUE47</v>
      </c>
      <c r="K1043" s="65" t="str">
        <f t="shared" si="33"/>
        <v>✅ On Best Plan</v>
      </c>
      <c r="L1043" s="65" t="str">
        <f>IFERROR(INDEX('Docketed Comments'!F:F,MATCH(A1043,'Docketed Comments'!H:H,0)),"")</f>
        <v xml:space="preserve">Ratepayers should not be asked to keep footing the bill for old, expensive coal plant when cleaner, cheaper options are available. </v>
      </c>
      <c r="M1043" s="137" t="str">
        <f>IFERROR(HYPERLINK(INDEX('Docketed Comments'!G:G,MATCH(A1043,'Docketed Comments'!H:H,0)),"📄 View Docket"),"")</f>
        <v>📄 View Docket</v>
      </c>
      <c r="N1043" s="135" t="str">
        <f>IFERROR(INDEX('Docketed Comments'!N:N,MATCH(A1043,'Docketed Comments'!H:H,0)),"")</f>
        <v>No</v>
      </c>
      <c r="O1043" s="135" t="str">
        <f>IFERROR(INDEX('Docketed Comments'!L:L,MATCH(A1043,'Docketed Comments'!H:H,0)),"")</f>
        <v>Yes</v>
      </c>
      <c r="P1043" s="136">
        <f t="shared" si="32"/>
        <v>0</v>
      </c>
      <c r="Q1043" s="140"/>
      <c r="R1043" s="144">
        <v>1</v>
      </c>
    </row>
    <row r="1044" spans="1:18" ht="21.95" customHeight="1">
      <c r="A1044" s="71" t="s">
        <v>5466</v>
      </c>
      <c r="B1044" s="69"/>
      <c r="C1044" s="70"/>
      <c r="D1044" s="69"/>
      <c r="E1044" s="69"/>
      <c r="F1044" s="65"/>
      <c r="G1044" s="65" t="s">
        <v>5811</v>
      </c>
      <c r="H1044" s="65" t="str">
        <f>IFERROR(INDEX('Docketed Comments'!C:C,MATCH(A1044,'Docketed Comments'!H:H,0))&amp;", "&amp;INDEX('Docketed Comments'!B:B,MATCH(A1044,'Docketed Comments'!H:H,0)),"")</f>
        <v>Adarsh, Ayyar</v>
      </c>
      <c r="I1044" s="65" t="str">
        <f>IFERROR(INDEX('Docketed Comments'!D:D,MATCH(A1044,'Docketed Comments'!H:H,0)),"")</f>
        <v>Paradise Valley</v>
      </c>
      <c r="J1044" s="65" t="str">
        <f>IFERROR(INDEX('Docketed Comments'!I:I,MATCH(A1044,'Docketed Comments'!H:H,0)),"")</f>
        <v>R-TOUE47</v>
      </c>
      <c r="K1044" s="65" t="str">
        <f t="shared" si="33"/>
        <v>✅ On Best Plan</v>
      </c>
      <c r="L1044" s="65" t="str">
        <f>IFERROR(INDEX('Docketed Comments'!F:F,MATCH(A1044,'Docketed Comments'!H:H,0)),"")</f>
        <v>concern with APS's proposed rate increases, particularly the solar Grid Access Charge</v>
      </c>
      <c r="M1044" s="137" t="str">
        <f>IFERROR(HYPERLINK(INDEX('Docketed Comments'!G:G,MATCH(A1044,'Docketed Comments'!H:H,0)),"📄 View Docket"),"")</f>
        <v>📄 View Docket</v>
      </c>
      <c r="N1044" s="135" t="str">
        <f>IFERROR(INDEX('Docketed Comments'!N:N,MATCH(A1044,'Docketed Comments'!H:H,0)),"")</f>
        <v>No</v>
      </c>
      <c r="O1044" s="135" t="str">
        <f>IFERROR(INDEX('Docketed Comments'!L:L,MATCH(A1044,'Docketed Comments'!H:H,0)),"")</f>
        <v>Yes</v>
      </c>
      <c r="P1044" s="136">
        <f t="shared" si="32"/>
        <v>0</v>
      </c>
      <c r="Q1044" s="140"/>
      <c r="R1044" s="144">
        <v>1</v>
      </c>
    </row>
    <row r="1045" spans="1:18" ht="21.95" customHeight="1">
      <c r="A1045" s="71" t="s">
        <v>5467</v>
      </c>
      <c r="B1045" s="69"/>
      <c r="C1045" s="70"/>
      <c r="D1045" s="69"/>
      <c r="E1045" s="69"/>
      <c r="F1045" s="65"/>
      <c r="G1045" s="65" t="s">
        <v>5811</v>
      </c>
      <c r="H1045" s="65" t="str">
        <f>IFERROR(INDEX('Docketed Comments'!C:C,MATCH(A1045,'Docketed Comments'!H:H,0))&amp;", "&amp;INDEX('Docketed Comments'!B:B,MATCH(A1045,'Docketed Comments'!H:H,0)),"")</f>
        <v>Sally, Rings</v>
      </c>
      <c r="I1045" s="65" t="str">
        <f>IFERROR(INDEX('Docketed Comments'!D:D,MATCH(A1045,'Docketed Comments'!H:H,0)),"")</f>
        <v>Phoenix</v>
      </c>
      <c r="J1045" s="65" t="str">
        <f>IFERROR(INDEX('Docketed Comments'!I:I,MATCH(A1045,'Docketed Comments'!H:H,0)),"")</f>
        <v>EPR6w/E-12</v>
      </c>
      <c r="K1045" s="65" t="str">
        <f t="shared" si="33"/>
        <v>⚠ Frozen Plan</v>
      </c>
      <c r="L1045" s="65" t="str">
        <f>IFERROR(INDEX('Docketed Comments'!F:F,MATCH(A1045,'Docketed Comments'!H:H,0)),"")</f>
        <v xml:space="preserve">After rate increases in both 2023 and 2024, this is unconscionable, especially when APS profits last year were over $6 million. </v>
      </c>
      <c r="M1045" s="137" t="str">
        <f>IFERROR(HYPERLINK(INDEX('Docketed Comments'!G:G,MATCH(A1045,'Docketed Comments'!H:H,0)),"📄 View Docket"),"")</f>
        <v>📄 View Docket</v>
      </c>
      <c r="N1045" s="135" t="str">
        <f>IFERROR(INDEX('Docketed Comments'!N:N,MATCH(A1045,'Docketed Comments'!H:H,0)),"")</f>
        <v>No</v>
      </c>
      <c r="O1045" s="135" t="str">
        <f>IFERROR(INDEX('Docketed Comments'!L:L,MATCH(A1045,'Docketed Comments'!H:H,0)),"")</f>
        <v>Frozen Plan</v>
      </c>
      <c r="P1045" s="136">
        <f t="shared" si="32"/>
        <v>0</v>
      </c>
      <c r="Q1045" s="140"/>
      <c r="R1045" s="144">
        <v>1</v>
      </c>
    </row>
    <row r="1046" spans="1:18" ht="21.95" customHeight="1">
      <c r="A1046" s="71" t="s">
        <v>5468</v>
      </c>
      <c r="B1046" s="69"/>
      <c r="C1046" s="70"/>
      <c r="D1046" s="69"/>
      <c r="E1046" s="69"/>
      <c r="F1046" s="65"/>
      <c r="G1046" s="65" t="s">
        <v>5811</v>
      </c>
      <c r="H1046" s="65" t="str">
        <f>IFERROR(INDEX('Docketed Comments'!C:C,MATCH(A1046,'Docketed Comments'!H:H,0))&amp;", "&amp;INDEX('Docketed Comments'!B:B,MATCH(A1046,'Docketed Comments'!H:H,0)),"")</f>
        <v>Barbara, Lyall</v>
      </c>
      <c r="I1046" s="65" t="str">
        <f>IFERROR(INDEX('Docketed Comments'!D:D,MATCH(A1046,'Docketed Comments'!H:H,0)),"")</f>
        <v>Prescott Valley</v>
      </c>
      <c r="J1046" s="65" t="str">
        <f>IFERROR(INDEX('Docketed Comments'!I:I,MATCH(A1046,'Docketed Comments'!H:H,0)),"")</f>
        <v>R-XS</v>
      </c>
      <c r="K1046" s="65" t="str">
        <f t="shared" si="33"/>
        <v>✅ On Best Plan</v>
      </c>
      <c r="L1046" s="65" t="str">
        <f>IFERROR(INDEX('Docketed Comments'!F:F,MATCH(A1046,'Docketed Comments'!H:H,0)),"")</f>
        <v xml:space="preserve">I am an 80 y/o low income senior citizen of Prescott Valley, AZ. I have trouble making ends meet on my Social Security income. </v>
      </c>
      <c r="M1046" s="137" t="str">
        <f>IFERROR(HYPERLINK(INDEX('Docketed Comments'!G:G,MATCH(A1046,'Docketed Comments'!H:H,0)),"📄 View Docket"),"")</f>
        <v>📄 View Docket</v>
      </c>
      <c r="N1046" s="135" t="str">
        <f>IFERROR(INDEX('Docketed Comments'!N:N,MATCH(A1046,'Docketed Comments'!H:H,0)),"")</f>
        <v>No</v>
      </c>
      <c r="O1046" s="135" t="str">
        <f>IFERROR(INDEX('Docketed Comments'!L:L,MATCH(A1046,'Docketed Comments'!H:H,0)),"")</f>
        <v>Yes</v>
      </c>
      <c r="P1046" s="136">
        <f t="shared" si="32"/>
        <v>0</v>
      </c>
      <c r="Q1046" s="140"/>
      <c r="R1046" s="144">
        <v>1</v>
      </c>
    </row>
    <row r="1047" spans="1:18" ht="21.95" customHeight="1">
      <c r="A1047" s="71" t="s">
        <v>5469</v>
      </c>
      <c r="B1047" s="69"/>
      <c r="C1047" s="70"/>
      <c r="D1047" s="69"/>
      <c r="E1047" s="69"/>
      <c r="F1047" s="65"/>
      <c r="G1047" s="65" t="s">
        <v>5811</v>
      </c>
      <c r="H1047" s="65" t="str">
        <f>IFERROR(INDEX('Docketed Comments'!C:C,MATCH(A1047,'Docketed Comments'!H:H,0))&amp;", "&amp;INDEX('Docketed Comments'!B:B,MATCH(A1047,'Docketed Comments'!H:H,0)),"")</f>
        <v>Jovita, Fine</v>
      </c>
      <c r="I1047" s="65" t="str">
        <f>IFERROR(INDEX('Docketed Comments'!D:D,MATCH(A1047,'Docketed Comments'!H:H,0)),"")</f>
        <v>Prescott</v>
      </c>
      <c r="J1047" s="65" t="str">
        <f>IFERROR(INDEX('Docketed Comments'!I:I,MATCH(A1047,'Docketed Comments'!H:H,0)),"")</f>
        <v>RCPw/RTOUE47</v>
      </c>
      <c r="K1047" s="65" t="str">
        <f t="shared" si="33"/>
        <v>✅ On Best Plan</v>
      </c>
      <c r="L1047" s="65" t="str">
        <f>IFERROR(INDEX('Docketed Comments'!F:F,MATCH(A1047,'Docketed Comments'!H:H,0)),"")</f>
        <v>installed solar on my house a few years ago, which I appreciate having, but already APS uses most of the energy</v>
      </c>
      <c r="M1047" s="137" t="str">
        <f>IFERROR(HYPERLINK(INDEX('Docketed Comments'!G:G,MATCH(A1047,'Docketed Comments'!H:H,0)),"📄 View Docket"),"")</f>
        <v>📄 View Docket</v>
      </c>
      <c r="N1047" s="135" t="str">
        <f>IFERROR(INDEX('Docketed Comments'!N:N,MATCH(A1047,'Docketed Comments'!H:H,0)),"")</f>
        <v>No</v>
      </c>
      <c r="O1047" s="135" t="str">
        <f>IFERROR(INDEX('Docketed Comments'!L:L,MATCH(A1047,'Docketed Comments'!H:H,0)),"")</f>
        <v>Yes</v>
      </c>
      <c r="P1047" s="136">
        <f t="shared" si="32"/>
        <v>0</v>
      </c>
      <c r="Q1047" s="140"/>
      <c r="R1047" s="144">
        <v>1</v>
      </c>
    </row>
    <row r="1048" spans="1:18" ht="21.95" customHeight="1">
      <c r="A1048" s="71" t="s">
        <v>5470</v>
      </c>
      <c r="B1048" s="69"/>
      <c r="C1048" s="70"/>
      <c r="D1048" s="69"/>
      <c r="E1048" s="69"/>
      <c r="F1048" s="65"/>
      <c r="G1048" s="65" t="s">
        <v>5811</v>
      </c>
      <c r="H1048" s="65" t="str">
        <f>IFERROR(INDEX('Docketed Comments'!C:C,MATCH(A1048,'Docketed Comments'!H:H,0))&amp;", "&amp;INDEX('Docketed Comments'!B:B,MATCH(A1048,'Docketed Comments'!H:H,0)),"")</f>
        <v>Kelly, Daily</v>
      </c>
      <c r="I1048" s="65" t="str">
        <f>IFERROR(INDEX('Docketed Comments'!D:D,MATCH(A1048,'Docketed Comments'!H:H,0)),"")</f>
        <v>Camp Verde</v>
      </c>
      <c r="J1048" s="65" t="str">
        <f>IFERROR(INDEX('Docketed Comments'!I:I,MATCH(A1048,'Docketed Comments'!H:H,0)),"")</f>
        <v>R-XS</v>
      </c>
      <c r="K1048" s="65" t="str">
        <f t="shared" si="33"/>
        <v>✅ On Best Plan</v>
      </c>
      <c r="L1048" s="65" t="str">
        <f>IFERROR(INDEX('Docketed Comments'!F:F,MATCH(A1048,'Docketed Comments'!H:H,0)),"")</f>
        <v xml:space="preserve">I think that a 14 % rate increase is a little to much to ask for all at once. Our COLA increase this year doesn't come clos to that. </v>
      </c>
      <c r="M1048" s="137" t="str">
        <f>IFERROR(HYPERLINK(INDEX('Docketed Comments'!G:G,MATCH(A1048,'Docketed Comments'!H:H,0)),"📄 View Docket"),"")</f>
        <v>📄 View Docket</v>
      </c>
      <c r="N1048" s="135" t="str">
        <f>IFERROR(INDEX('Docketed Comments'!N:N,MATCH(A1048,'Docketed Comments'!H:H,0)),"")</f>
        <v>No</v>
      </c>
      <c r="O1048" s="135" t="str">
        <f>IFERROR(INDEX('Docketed Comments'!L:L,MATCH(A1048,'Docketed Comments'!H:H,0)),"")</f>
        <v>Yes</v>
      </c>
      <c r="P1048" s="136">
        <f t="shared" si="32"/>
        <v>0</v>
      </c>
      <c r="Q1048" s="140"/>
      <c r="R1048" s="144">
        <v>1</v>
      </c>
    </row>
    <row r="1049" spans="1:18" ht="21.95" customHeight="1">
      <c r="A1049" s="71" t="s">
        <v>5471</v>
      </c>
      <c r="B1049" s="69"/>
      <c r="C1049" s="70"/>
      <c r="D1049" s="69"/>
      <c r="E1049" s="69"/>
      <c r="F1049" s="65"/>
      <c r="G1049" s="65" t="s">
        <v>5811</v>
      </c>
      <c r="H1049" s="65" t="str">
        <f>IFERROR(INDEX('Docketed Comments'!C:C,MATCH(A1049,'Docketed Comments'!H:H,0))&amp;", "&amp;INDEX('Docketed Comments'!B:B,MATCH(A1049,'Docketed Comments'!H:H,0)),"")</f>
        <v>Judith, Bihary</v>
      </c>
      <c r="I1049" s="65" t="str">
        <f>IFERROR(INDEX('Docketed Comments'!D:D,MATCH(A1049,'Docketed Comments'!H:H,0)),"")</f>
        <v>Goodyear</v>
      </c>
      <c r="J1049" s="65" t="str">
        <f>IFERROR(INDEX('Docketed Comments'!I:I,MATCH(A1049,'Docketed Comments'!H:H,0)),"")</f>
        <v>R3-47</v>
      </c>
      <c r="K1049" s="65" t="str">
        <f t="shared" si="33"/>
        <v>✅ On Best Plan</v>
      </c>
      <c r="L1049" s="65" t="str">
        <f>IFERROR(INDEX('Docketed Comments'!F:F,MATCH(A1049,'Docketed Comments'!H:H,0)),"")</f>
        <v xml:space="preserve">We need some assurances that rate hikes will have public oversight, so future rate hikes will not be easy for APS to put through. </v>
      </c>
      <c r="M1049" s="137" t="str">
        <f>IFERROR(HYPERLINK(INDEX('Docketed Comments'!G:G,MATCH(A1049,'Docketed Comments'!H:H,0)),"📄 View Docket"),"")</f>
        <v>📄 View Docket</v>
      </c>
      <c r="N1049" s="135" t="str">
        <f>IFERROR(INDEX('Docketed Comments'!N:N,MATCH(A1049,'Docketed Comments'!H:H,0)),"")</f>
        <v>No</v>
      </c>
      <c r="O1049" s="135" t="str">
        <f>IFERROR(INDEX('Docketed Comments'!L:L,MATCH(A1049,'Docketed Comments'!H:H,0)),"")</f>
        <v>Yes</v>
      </c>
      <c r="P1049" s="136">
        <f t="shared" si="32"/>
        <v>0</v>
      </c>
      <c r="Q1049" s="140"/>
      <c r="R1049" s="144">
        <v>1</v>
      </c>
    </row>
    <row r="1050" spans="1:18" ht="21.95" customHeight="1">
      <c r="A1050" s="71" t="s">
        <v>5472</v>
      </c>
      <c r="B1050" s="69"/>
      <c r="C1050" s="70"/>
      <c r="D1050" s="69"/>
      <c r="E1050" s="69"/>
      <c r="F1050" s="65"/>
      <c r="G1050" s="65" t="s">
        <v>5811</v>
      </c>
      <c r="H1050" s="65" t="str">
        <f>IFERROR(INDEX('Docketed Comments'!C:C,MATCH(A1050,'Docketed Comments'!H:H,0))&amp;", "&amp;INDEX('Docketed Comments'!B:B,MATCH(A1050,'Docketed Comments'!H:H,0)),"")</f>
        <v>Amy, Paul</v>
      </c>
      <c r="I1050" s="65" t="str">
        <f>IFERROR(INDEX('Docketed Comments'!D:D,MATCH(A1050,'Docketed Comments'!H:H,0)),"")</f>
        <v>Phoenix</v>
      </c>
      <c r="J1050" s="65" t="str">
        <f>IFERROR(INDEX('Docketed Comments'!I:I,MATCH(A1050,'Docketed Comments'!H:H,0)),"")</f>
        <v>EPR6w/ET-1</v>
      </c>
      <c r="K1050" s="65" t="str">
        <f t="shared" si="33"/>
        <v>⚠ Frozen Plan</v>
      </c>
      <c r="L1050" s="65" t="str">
        <f>IFERROR(INDEX('Docketed Comments'!F:F,MATCH(A1050,'Docketed Comments'!H:H,0)),"")</f>
        <v xml:space="preserve">considering their profits, and that they should be charging the data centers the appropriate rates they will consume, I believe they need to give consideration to permanent residents first, partial residents secondary and then businesses. </v>
      </c>
      <c r="M1050" s="137" t="str">
        <f>IFERROR(HYPERLINK(INDEX('Docketed Comments'!G:G,MATCH(A1050,'Docketed Comments'!H:H,0)),"📄 View Docket"),"")</f>
        <v>📄 View Docket</v>
      </c>
      <c r="N1050" s="135" t="str">
        <f>IFERROR(INDEX('Docketed Comments'!N:N,MATCH(A1050,'Docketed Comments'!H:H,0)),"")</f>
        <v>No</v>
      </c>
      <c r="O1050" s="135" t="str">
        <f>IFERROR(INDEX('Docketed Comments'!L:L,MATCH(A1050,'Docketed Comments'!H:H,0)),"")</f>
        <v>Frozen Plan</v>
      </c>
      <c r="P1050" s="136">
        <f t="shared" si="32"/>
        <v>0</v>
      </c>
      <c r="Q1050" s="140"/>
      <c r="R1050" s="144">
        <v>1</v>
      </c>
    </row>
    <row r="1051" spans="1:18" ht="21.95" customHeight="1">
      <c r="A1051" s="71" t="s">
        <v>5473</v>
      </c>
      <c r="B1051" s="69"/>
      <c r="C1051" s="70"/>
      <c r="D1051" s="69"/>
      <c r="E1051" s="69"/>
      <c r="F1051" s="65"/>
      <c r="G1051" s="65" t="s">
        <v>5811</v>
      </c>
      <c r="H1051" s="65" t="str">
        <f>IFERROR(INDEX('Docketed Comments'!C:C,MATCH(A1051,'Docketed Comments'!H:H,0))&amp;", "&amp;INDEX('Docketed Comments'!B:B,MATCH(A1051,'Docketed Comments'!H:H,0)),"")</f>
        <v>Leslie, Stallcop</v>
      </c>
      <c r="I1051" s="65" t="str">
        <f>IFERROR(INDEX('Docketed Comments'!D:D,MATCH(A1051,'Docketed Comments'!H:H,0)),"")</f>
        <v>Phoenix</v>
      </c>
      <c r="J1051" s="65" t="str">
        <f>IFERROR(INDEX('Docketed Comments'!I:I,MATCH(A1051,'Docketed Comments'!H:H,0)),"")</f>
        <v>R3-47</v>
      </c>
      <c r="K1051" s="65" t="str">
        <f t="shared" si="33"/>
        <v>✅ On Best Plan</v>
      </c>
      <c r="L1051" s="65" t="str">
        <f>IFERROR(INDEX('Docketed Comments'!F:F,MATCH(A1051,'Docketed Comments'!H:H,0)),"")</f>
        <v>I vehemently oppose the "formula rates," which would allow the utility to fast-track rate increases every year</v>
      </c>
      <c r="M1051" s="137" t="str">
        <f>IFERROR(HYPERLINK(INDEX('Docketed Comments'!G:G,MATCH(A1051,'Docketed Comments'!H:H,0)),"📄 View Docket"),"")</f>
        <v>📄 View Docket</v>
      </c>
      <c r="N1051" s="135" t="str">
        <f>IFERROR(INDEX('Docketed Comments'!N:N,MATCH(A1051,'Docketed Comments'!H:H,0)),"")</f>
        <v>No</v>
      </c>
      <c r="O1051" s="135" t="str">
        <f>IFERROR(INDEX('Docketed Comments'!L:L,MATCH(A1051,'Docketed Comments'!H:H,0)),"")</f>
        <v>Yes</v>
      </c>
      <c r="P1051" s="136">
        <f t="shared" si="32"/>
        <v>0</v>
      </c>
      <c r="Q1051" s="140"/>
      <c r="R1051" s="144">
        <v>1</v>
      </c>
    </row>
    <row r="1052" spans="1:18" ht="21.95" customHeight="1">
      <c r="A1052" s="71" t="s">
        <v>5474</v>
      </c>
      <c r="B1052" s="69"/>
      <c r="C1052" s="70"/>
      <c r="D1052" s="69"/>
      <c r="E1052" s="69"/>
      <c r="F1052" s="65"/>
      <c r="G1052" s="65" t="s">
        <v>5811</v>
      </c>
      <c r="H1052" s="65" t="str">
        <f>IFERROR(INDEX('Docketed Comments'!C:C,MATCH(A1052,'Docketed Comments'!H:H,0))&amp;", "&amp;INDEX('Docketed Comments'!B:B,MATCH(A1052,'Docketed Comments'!H:H,0)),"")</f>
        <v>Lana, Hakari</v>
      </c>
      <c r="I1052" s="65" t="str">
        <f>IFERROR(INDEX('Docketed Comments'!D:D,MATCH(A1052,'Docketed Comments'!H:H,0)),"")</f>
        <v>Sun City</v>
      </c>
      <c r="J1052" s="65" t="str">
        <f>IFERROR(INDEX('Docketed Comments'!I:I,MATCH(A1052,'Docketed Comments'!H:H,0)),"")</f>
        <v>R-BASIC</v>
      </c>
      <c r="K1052" s="65" t="str">
        <f t="shared" si="33"/>
        <v>✅ On Best Plan</v>
      </c>
      <c r="L1052" s="65" t="str">
        <f>IFERROR(INDEX('Docketed Comments'!F:F,MATCH(A1052,'Docketed Comments'!H:H,0)),"")</f>
        <v>The considerable increase of 14% would disproportionately affect fixed-income customers, such as myself</v>
      </c>
      <c r="M1052" s="137" t="str">
        <f>IFERROR(HYPERLINK(INDEX('Docketed Comments'!G:G,MATCH(A1052,'Docketed Comments'!H:H,0)),"📄 View Docket"),"")</f>
        <v>📄 View Docket</v>
      </c>
      <c r="N1052" s="135" t="str">
        <f>IFERROR(INDEX('Docketed Comments'!N:N,MATCH(A1052,'Docketed Comments'!H:H,0)),"")</f>
        <v>No</v>
      </c>
      <c r="O1052" s="135" t="str">
        <f>IFERROR(INDEX('Docketed Comments'!L:L,MATCH(A1052,'Docketed Comments'!H:H,0)),"")</f>
        <v>Yes</v>
      </c>
      <c r="P1052" s="136">
        <f t="shared" si="32"/>
        <v>0</v>
      </c>
      <c r="Q1052" s="140"/>
      <c r="R1052" s="144">
        <v>1</v>
      </c>
    </row>
    <row r="1053" spans="1:18" ht="21.95" customHeight="1">
      <c r="A1053" s="71" t="s">
        <v>5475</v>
      </c>
      <c r="B1053" s="69"/>
      <c r="C1053" s="70"/>
      <c r="D1053" s="69"/>
      <c r="E1053" s="69"/>
      <c r="F1053" s="65"/>
      <c r="G1053" s="65" t="s">
        <v>5811</v>
      </c>
      <c r="H1053" s="65" t="str">
        <f>IFERROR(INDEX('Docketed Comments'!C:C,MATCH(A1053,'Docketed Comments'!H:H,0))&amp;", "&amp;INDEX('Docketed Comments'!B:B,MATCH(A1053,'Docketed Comments'!H:H,0)),"")</f>
        <v>Karen, Peterson</v>
      </c>
      <c r="I1053" s="65" t="str">
        <f>IFERROR(INDEX('Docketed Comments'!D:D,MATCH(A1053,'Docketed Comments'!H:H,0)),"")</f>
        <v>Phoenix</v>
      </c>
      <c r="J1053" s="65" t="str">
        <f>IFERROR(INDEX('Docketed Comments'!I:I,MATCH(A1053,'Docketed Comments'!H:H,0)),"")</f>
        <v>RCPw/RTOUE</v>
      </c>
      <c r="K1053" s="65" t="str">
        <f t="shared" si="33"/>
        <v>✅ On Best Plan</v>
      </c>
      <c r="L1053" s="65" t="str">
        <f>IFERROR(INDEX('Docketed Comments'!F:F,MATCH(A1053,'Docketed Comments'!H:H,0)),"")</f>
        <v xml:space="preserve">I feel that APS is unfairly raising bills on homeowners without requiring the new chip manufacturers and the housing developers to pay their share of the rate increases. </v>
      </c>
      <c r="M1053" s="137" t="str">
        <f>IFERROR(HYPERLINK(INDEX('Docketed Comments'!G:G,MATCH(A1053,'Docketed Comments'!H:H,0)),"📄 View Docket"),"")</f>
        <v>📄 View Docket</v>
      </c>
      <c r="N1053" s="135" t="str">
        <f>IFERROR(INDEX('Docketed Comments'!N:N,MATCH(A1053,'Docketed Comments'!H:H,0)),"")</f>
        <v>No</v>
      </c>
      <c r="O1053" s="135" t="str">
        <f>IFERROR(INDEX('Docketed Comments'!L:L,MATCH(A1053,'Docketed Comments'!H:H,0)),"")</f>
        <v>Yes</v>
      </c>
      <c r="P1053" s="136">
        <f t="shared" si="32"/>
        <v>0</v>
      </c>
      <c r="Q1053" s="140"/>
      <c r="R1053" s="144">
        <v>1</v>
      </c>
    </row>
    <row r="1054" spans="1:18" ht="21.95" customHeight="1">
      <c r="A1054" s="71" t="s">
        <v>5476</v>
      </c>
      <c r="B1054" s="69"/>
      <c r="C1054" s="70"/>
      <c r="D1054" s="69"/>
      <c r="E1054" s="69"/>
      <c r="F1054" s="65"/>
      <c r="G1054" s="65" t="s">
        <v>5811</v>
      </c>
      <c r="H1054" s="65" t="str">
        <f>IFERROR(INDEX('Docketed Comments'!C:C,MATCH(A1054,'Docketed Comments'!H:H,0))&amp;", "&amp;INDEX('Docketed Comments'!B:B,MATCH(A1054,'Docketed Comments'!H:H,0)),"")</f>
        <v>Jeffrey, Brame</v>
      </c>
      <c r="I1054" s="65" t="str">
        <f>IFERROR(INDEX('Docketed Comments'!D:D,MATCH(A1054,'Docketed Comments'!H:H,0)),"")</f>
        <v>Sedona</v>
      </c>
      <c r="J1054" s="65" t="str">
        <f>IFERROR(INDEX('Docketed Comments'!I:I,MATCH(A1054,'Docketed Comments'!H:H,0)),"")</f>
        <v>R-XS</v>
      </c>
      <c r="K1054" s="65" t="str">
        <f t="shared" si="33"/>
        <v>✅ On Best Plan</v>
      </c>
      <c r="L1054" s="65" t="str">
        <f>IFERROR(INDEX('Docketed Comments'!F:F,MATCH(A1054,'Docketed Comments'!H:H,0)),"")</f>
        <v>conern with APS's proposed rate increases, particularly the solar Grid Access Charge</v>
      </c>
      <c r="M1054" s="137" t="str">
        <f>IFERROR(HYPERLINK(INDEX('Docketed Comments'!G:G,MATCH(A1054,'Docketed Comments'!H:H,0)),"📄 View Docket"),"")</f>
        <v>📄 View Docket</v>
      </c>
      <c r="N1054" s="135" t="str">
        <f>IFERROR(INDEX('Docketed Comments'!N:N,MATCH(A1054,'Docketed Comments'!H:H,0)),"")</f>
        <v>No</v>
      </c>
      <c r="O1054" s="135" t="str">
        <f>IFERROR(INDEX('Docketed Comments'!L:L,MATCH(A1054,'Docketed Comments'!H:H,0)),"")</f>
        <v>Yes</v>
      </c>
      <c r="P1054" s="136">
        <f t="shared" si="32"/>
        <v>0</v>
      </c>
      <c r="Q1054" s="140"/>
      <c r="R1054" s="144">
        <v>1</v>
      </c>
    </row>
    <row r="1055" spans="1:18" ht="21.95" customHeight="1">
      <c r="A1055" s="71" t="s">
        <v>5477</v>
      </c>
      <c r="B1055" s="69"/>
      <c r="C1055" s="70"/>
      <c r="D1055" s="69"/>
      <c r="E1055" s="69"/>
      <c r="F1055" s="65"/>
      <c r="G1055" s="65" t="s">
        <v>5811</v>
      </c>
      <c r="H1055" s="65" t="str">
        <f>IFERROR(INDEX('Docketed Comments'!C:C,MATCH(A1055,'Docketed Comments'!H:H,0))&amp;", "&amp;INDEX('Docketed Comments'!B:B,MATCH(A1055,'Docketed Comments'!H:H,0)),"")</f>
        <v>Jan, Kerata</v>
      </c>
      <c r="I1055" s="65" t="str">
        <f>IFERROR(INDEX('Docketed Comments'!D:D,MATCH(A1055,'Docketed Comments'!H:H,0)),"")</f>
        <v>Flagstaff</v>
      </c>
      <c r="J1055" s="65" t="str">
        <f>IFERROR(INDEX('Docketed Comments'!I:I,MATCH(A1055,'Docketed Comments'!H:H,0)),"")</f>
        <v>R-XS</v>
      </c>
      <c r="K1055" s="65" t="str">
        <f t="shared" si="33"/>
        <v>✅ On Best Plan</v>
      </c>
      <c r="L1055" s="65" t="str">
        <f>IFERROR(INDEX('Docketed Comments'!F:F,MATCH(A1055,'Docketed Comments'!H:H,0)),"")</f>
        <v>Pleas consider supporting solar power, solar tax credits and infrastructure so these electricity rates start to Go Down instead of continually UP.</v>
      </c>
      <c r="M1055" s="137" t="str">
        <f>IFERROR(HYPERLINK(INDEX('Docketed Comments'!G:G,MATCH(A1055,'Docketed Comments'!H:H,0)),"📄 View Docket"),"")</f>
        <v>📄 View Docket</v>
      </c>
      <c r="N1055" s="135" t="str">
        <f>IFERROR(INDEX('Docketed Comments'!N:N,MATCH(A1055,'Docketed Comments'!H:H,0)),"")</f>
        <v>No</v>
      </c>
      <c r="O1055" s="135" t="str">
        <f>IFERROR(INDEX('Docketed Comments'!L:L,MATCH(A1055,'Docketed Comments'!H:H,0)),"")</f>
        <v>Yes</v>
      </c>
      <c r="P1055" s="136">
        <f t="shared" si="32"/>
        <v>0</v>
      </c>
      <c r="Q1055" s="140"/>
      <c r="R1055" s="144">
        <v>1</v>
      </c>
    </row>
    <row r="1056" spans="1:18" ht="21.95" customHeight="1">
      <c r="A1056" s="71" t="s">
        <v>5478</v>
      </c>
      <c r="B1056" s="69"/>
      <c r="C1056" s="70"/>
      <c r="D1056" s="69"/>
      <c r="E1056" s="69"/>
      <c r="F1056" s="65"/>
      <c r="G1056" s="65" t="s">
        <v>5811</v>
      </c>
      <c r="H1056" s="65" t="str">
        <f>IFERROR(INDEX('Docketed Comments'!C:C,MATCH(A1056,'Docketed Comments'!H:H,0))&amp;", "&amp;INDEX('Docketed Comments'!B:B,MATCH(A1056,'Docketed Comments'!H:H,0)),"")</f>
        <v>Carol, Engelman</v>
      </c>
      <c r="I1056" s="65" t="str">
        <f>IFERROR(INDEX('Docketed Comments'!D:D,MATCH(A1056,'Docketed Comments'!H:H,0)),"")</f>
        <v>Peoria</v>
      </c>
      <c r="J1056" s="65" t="str">
        <f>IFERROR(INDEX('Docketed Comments'!I:I,MATCH(A1056,'Docketed Comments'!H:H,0)),"")</f>
        <v>RCPw/RTOUE</v>
      </c>
      <c r="K1056" s="65" t="str">
        <f t="shared" si="33"/>
        <v>✅ On Best Plan</v>
      </c>
      <c r="L1056" s="65" t="str">
        <f>IFERROR(INDEX('Docketed Comments'!F:F,MATCH(A1056,'Docketed Comments'!H:H,0)),"")</f>
        <v xml:space="preserve">try living in the AZ heat with minimal air conditioning such as this. Try it, and I can assure you, you would never approve a rate hike. </v>
      </c>
      <c r="M1056" s="137" t="str">
        <f>IFERROR(HYPERLINK(INDEX('Docketed Comments'!G:G,MATCH(A1056,'Docketed Comments'!H:H,0)),"📄 View Docket"),"")</f>
        <v>📄 View Docket</v>
      </c>
      <c r="N1056" s="135" t="str">
        <f>IFERROR(INDEX('Docketed Comments'!N:N,MATCH(A1056,'Docketed Comments'!H:H,0)),"")</f>
        <v>No</v>
      </c>
      <c r="O1056" s="135" t="str">
        <f>IFERROR(INDEX('Docketed Comments'!L:L,MATCH(A1056,'Docketed Comments'!H:H,0)),"")</f>
        <v>Yes</v>
      </c>
      <c r="P1056" s="136">
        <f t="shared" si="32"/>
        <v>0</v>
      </c>
      <c r="Q1056" s="140"/>
      <c r="R1056" s="144">
        <v>1</v>
      </c>
    </row>
    <row r="1057" spans="1:18" ht="21.95" customHeight="1">
      <c r="A1057" s="71" t="s">
        <v>5479</v>
      </c>
      <c r="B1057" s="69" t="s">
        <v>111</v>
      </c>
      <c r="C1057" s="70">
        <v>45997</v>
      </c>
      <c r="D1057" s="69" t="s">
        <v>4888</v>
      </c>
      <c r="E1057" s="69"/>
      <c r="F1057" s="65"/>
      <c r="G1057" s="65"/>
      <c r="H1057" s="65" t="str">
        <f>IFERROR(INDEX('Docketed Comments'!C:C,MATCH(A1057,'Docketed Comments'!H:H,0))&amp;", "&amp;INDEX('Docketed Comments'!B:B,MATCH(A1057,'Docketed Comments'!H:H,0)),"")</f>
        <v>Jacinta, Tolinos</v>
      </c>
      <c r="I1057" s="65" t="str">
        <f>IFERROR(INDEX('Docketed Comments'!D:D,MATCH(A1057,'Docketed Comments'!H:H,0)),"")</f>
        <v>Phoenix</v>
      </c>
      <c r="J1057" s="65" t="str">
        <f>IFERROR(INDEX('Docketed Comments'!I:I,MATCH(A1057,'Docketed Comments'!H:H,0)),"")</f>
        <v>R-BASIC</v>
      </c>
      <c r="K1057" s="65" t="str">
        <f t="shared" si="33"/>
        <v>✅ On Best Plan</v>
      </c>
      <c r="L1057" s="65" t="str">
        <f>IFERROR(INDEX('Docketed Comments'!F:F,MATCH(A1057,'Docketed Comments'!H:H,0)),"")</f>
        <v>Opposed</v>
      </c>
      <c r="M1057" s="137" t="str">
        <f>IFERROR(HYPERLINK(INDEX('Docketed Comments'!G:G,MATCH(A1057,'Docketed Comments'!H:H,0)),"📄 View Docket"),"")</f>
        <v>📄 View Docket</v>
      </c>
      <c r="N1057" s="135" t="str">
        <f>IFERROR(INDEX('Docketed Comments'!N:N,MATCH(A1057,'Docketed Comments'!H:H,0)),"")</f>
        <v>No</v>
      </c>
      <c r="O1057" s="135" t="str">
        <f>IFERROR(INDEX('Docketed Comments'!L:L,MATCH(A1057,'Docketed Comments'!H:H,0)),"")</f>
        <v>Yes</v>
      </c>
      <c r="P1057" s="136">
        <f t="shared" si="32"/>
        <v>0</v>
      </c>
      <c r="Q1057" s="140" t="s">
        <v>5809</v>
      </c>
      <c r="R1057" s="144">
        <v>0</v>
      </c>
    </row>
    <row r="1058" spans="1:18" ht="21.95" customHeight="1">
      <c r="A1058" s="71" t="s">
        <v>1326</v>
      </c>
      <c r="B1058" s="69" t="s">
        <v>111</v>
      </c>
      <c r="C1058" s="70">
        <v>45997</v>
      </c>
      <c r="D1058" s="69" t="s">
        <v>4865</v>
      </c>
      <c r="E1058" s="69"/>
      <c r="F1058" s="65" t="s">
        <v>4941</v>
      </c>
      <c r="G1058" s="65"/>
      <c r="H1058" s="65" t="str">
        <f>IFERROR(INDEX('Docketed Comments'!C:C,MATCH(A1058,'Docketed Comments'!H:H,0))&amp;", "&amp;INDEX('Docketed Comments'!B:B,MATCH(A1058,'Docketed Comments'!H:H,0)),"")</f>
        <v xml:space="preserve">Mark, White </v>
      </c>
      <c r="I1058" s="65" t="str">
        <f>IFERROR(INDEX('Docketed Comments'!D:D,MATCH(A1058,'Docketed Comments'!H:H,0)),"")</f>
        <v>Goodyear</v>
      </c>
      <c r="J1058" s="65" t="str">
        <f>IFERROR(INDEX('Docketed Comments'!I:I,MATCH(A1058,'Docketed Comments'!H:H,0)),"")</f>
        <v>RCPw/RTOUE47</v>
      </c>
      <c r="K1058" s="65" t="str">
        <f t="shared" si="33"/>
        <v>✅ On Best Plan</v>
      </c>
      <c r="L1058" s="65" t="str">
        <f>IFERROR(INDEX('Docketed Comments'!F:F,MATCH(A1058,'Docketed Comments'!H:H,0)),"")</f>
        <v>Opposed</v>
      </c>
      <c r="M1058" s="137" t="str">
        <f>IFERROR(HYPERLINK(INDEX('Docketed Comments'!G:G,MATCH(A1058,'Docketed Comments'!H:H,0)),"📄 View Docket"),"")</f>
        <v>📄 View Docket</v>
      </c>
      <c r="N1058" s="135" t="str">
        <f>IFERROR(INDEX('Docketed Comments'!N:N,MATCH(A1058,'Docketed Comments'!H:H,0)),"")</f>
        <v>No</v>
      </c>
      <c r="O1058" s="135" t="str">
        <f>IFERROR(INDEX('Docketed Comments'!L:L,MATCH(A1058,'Docketed Comments'!H:H,0)),"")</f>
        <v>Yes</v>
      </c>
      <c r="P1058" s="136">
        <f t="shared" si="32"/>
        <v>0</v>
      </c>
      <c r="Q1058" s="140" t="s">
        <v>5809</v>
      </c>
      <c r="R1058" s="144">
        <v>0</v>
      </c>
    </row>
    <row r="1059" spans="1:18" ht="21.95" customHeight="1">
      <c r="A1059" s="71" t="s">
        <v>5480</v>
      </c>
      <c r="B1059" s="69" t="s">
        <v>4887</v>
      </c>
      <c r="C1059" s="70">
        <v>46011</v>
      </c>
      <c r="D1059" s="69" t="s">
        <v>4888</v>
      </c>
      <c r="E1059" s="69"/>
      <c r="F1059" s="65" t="s">
        <v>4926</v>
      </c>
      <c r="G1059" s="65"/>
      <c r="H1059" s="65" t="str">
        <f>IFERROR(INDEX('Docketed Comments'!C:C,MATCH(A1059,'Docketed Comments'!H:H,0))&amp;", "&amp;INDEX('Docketed Comments'!B:B,MATCH(A1059,'Docketed Comments'!H:H,0)),"")</f>
        <v>Erin, O'Gorman</v>
      </c>
      <c r="I1059" s="65" t="str">
        <f>IFERROR(INDEX('Docketed Comments'!D:D,MATCH(A1059,'Docketed Comments'!H:H,0)),"")</f>
        <v>Prescott Valley</v>
      </c>
      <c r="J1059" s="65" t="str">
        <f>IFERROR(INDEX('Docketed Comments'!I:I,MATCH(A1059,'Docketed Comments'!H:H,0)),"")</f>
        <v>R-BASIC</v>
      </c>
      <c r="K1059" s="65" t="str">
        <f t="shared" si="33"/>
        <v>❌ Not on Best Plan</v>
      </c>
      <c r="L1059" s="65" t="str">
        <f>IFERROR(INDEX('Docketed Comments'!F:F,MATCH(A1059,'Docketed Comments'!H:H,0)),"")</f>
        <v>Opposed</v>
      </c>
      <c r="M1059" s="137" t="str">
        <f>IFERROR(HYPERLINK(INDEX('Docketed Comments'!G:G,MATCH(A1059,'Docketed Comments'!H:H,0)),"📄 View Docket"),"")</f>
        <v>📄 View Docket</v>
      </c>
      <c r="N1059" s="135">
        <f>IFERROR(INDEX('Docketed Comments'!N:N,MATCH(A1059,'Docketed Comments'!H:H,0)),"")</f>
        <v>605.92999999999995</v>
      </c>
      <c r="O1059" s="135" t="str">
        <f>IFERROR(INDEX('Docketed Comments'!L:L,MATCH(A1059,'Docketed Comments'!H:H,0)),"")</f>
        <v>No-MEP R3-47($141.01)</v>
      </c>
      <c r="P1059" s="136">
        <f t="shared" si="32"/>
        <v>141.01</v>
      </c>
      <c r="Q1059" s="140" t="s">
        <v>5809</v>
      </c>
      <c r="R1059" s="144">
        <v>0</v>
      </c>
    </row>
    <row r="1060" spans="1:18" ht="21.95" customHeight="1">
      <c r="A1060" s="71" t="s">
        <v>185</v>
      </c>
      <c r="B1060" s="69" t="s">
        <v>4887</v>
      </c>
      <c r="C1060" s="70">
        <v>46011</v>
      </c>
      <c r="D1060" s="69" t="s">
        <v>4888</v>
      </c>
      <c r="E1060" s="69"/>
      <c r="F1060" s="65" t="s">
        <v>4930</v>
      </c>
      <c r="G1060" s="65"/>
      <c r="H1060" s="65" t="str">
        <f>IFERROR(INDEX('Docketed Comments'!C:C,MATCH(A1060,'Docketed Comments'!H:H,0))&amp;", "&amp;INDEX('Docketed Comments'!B:B,MATCH(A1060,'Docketed Comments'!H:H,0)),"")</f>
        <v>David  , Schilling</v>
      </c>
      <c r="I1060" s="65" t="str">
        <f>IFERROR(INDEX('Docketed Comments'!D:D,MATCH(A1060,'Docketed Comments'!H:H,0)),"")</f>
        <v>Buckeye</v>
      </c>
      <c r="J1060" s="65" t="str">
        <f>IFERROR(INDEX('Docketed Comments'!I:I,MATCH(A1060,'Docketed Comments'!H:H,0)),"")</f>
        <v>R-BASIC</v>
      </c>
      <c r="K1060" s="65" t="str">
        <f t="shared" si="33"/>
        <v>❌ Not on Best Plan</v>
      </c>
      <c r="L1060" s="65" t="str">
        <f>IFERROR(INDEX('Docketed Comments'!F:F,MATCH(A1060,'Docketed Comments'!H:H,0)),"")</f>
        <v xml:space="preserve">Opposed </v>
      </c>
      <c r="M1060" s="137" t="str">
        <f>IFERROR(HYPERLINK(INDEX('Docketed Comments'!G:G,MATCH(A1060,'Docketed Comments'!H:H,0)),"📄 View Docket"),"")</f>
        <v>📄 View Docket</v>
      </c>
      <c r="N1060" s="135" t="str">
        <f>IFERROR(INDEX('Docketed Comments'!N:N,MATCH(A1060,'Docketed Comments'!H:H,0)),"")</f>
        <v>No</v>
      </c>
      <c r="O1060" s="135" t="str">
        <f>IFERROR(INDEX('Docketed Comments'!L:L,MATCH(A1060,'Docketed Comments'!H:H,0)),"")</f>
        <v>No-Mep R3-47($87.55)</v>
      </c>
      <c r="P1060" s="136">
        <f t="shared" si="32"/>
        <v>87.55</v>
      </c>
      <c r="Q1060" s="140" t="s">
        <v>5809</v>
      </c>
      <c r="R1060" s="144">
        <v>0</v>
      </c>
    </row>
    <row r="1061" spans="1:18" ht="21.95" customHeight="1">
      <c r="A1061" s="71" t="s">
        <v>400</v>
      </c>
      <c r="B1061" s="69" t="s">
        <v>4887</v>
      </c>
      <c r="C1061" s="70">
        <v>46011</v>
      </c>
      <c r="D1061" s="69" t="s">
        <v>4888</v>
      </c>
      <c r="E1061" s="69"/>
      <c r="F1061" s="65"/>
      <c r="G1061" s="65"/>
      <c r="H1061" s="65" t="str">
        <f>IFERROR(INDEX('Docketed Comments'!C:C,MATCH(A1061,'Docketed Comments'!H:H,0))&amp;", "&amp;INDEX('Docketed Comments'!B:B,MATCH(A1061,'Docketed Comments'!H:H,0)),"")</f>
        <v>Leanne, Hay</v>
      </c>
      <c r="I1061" s="65" t="str">
        <f>IFERROR(INDEX('Docketed Comments'!D:D,MATCH(A1061,'Docketed Comments'!H:H,0)),"")</f>
        <v>Phoenix</v>
      </c>
      <c r="J1061" s="65" t="str">
        <f>IFERROR(INDEX('Docketed Comments'!I:I,MATCH(A1061,'Docketed Comments'!H:H,0)),"")</f>
        <v>R-BASICL</v>
      </c>
      <c r="K1061" s="65" t="str">
        <f t="shared" si="33"/>
        <v>❌ Not on Best Plan</v>
      </c>
      <c r="L1061" s="65" t="str">
        <f>IFERROR(INDEX('Docketed Comments'!F:F,MATCH(A1061,'Docketed Comments'!H:H,0)),"")</f>
        <v>Opposed</v>
      </c>
      <c r="M1061" s="137" t="str">
        <f>IFERROR(HYPERLINK(INDEX('Docketed Comments'!G:G,MATCH(A1061,'Docketed Comments'!H:H,0)),"📄 View Docket"),"")</f>
        <v>📄 View Docket</v>
      </c>
      <c r="N1061" s="135" t="str">
        <f>IFERROR(INDEX('Docketed Comments'!N:N,MATCH(A1061,'Docketed Comments'!H:H,0)),"")</f>
        <v>No</v>
      </c>
      <c r="O1061" s="135" t="str">
        <f>IFERROR(INDEX('Docketed Comments'!L:L,MATCH(A1061,'Docketed Comments'!H:H,0)),"")</f>
        <v>No MEP R3-47($261.63)</v>
      </c>
      <c r="P1061" s="136">
        <f t="shared" si="32"/>
        <v>261.63</v>
      </c>
      <c r="Q1061" s="140" t="s">
        <v>5809</v>
      </c>
      <c r="R1061" s="144">
        <v>0</v>
      </c>
    </row>
    <row r="1062" spans="1:18" ht="21.95" customHeight="1">
      <c r="A1062" s="71" t="s">
        <v>2980</v>
      </c>
      <c r="B1062" s="69" t="s">
        <v>4887</v>
      </c>
      <c r="C1062" s="70">
        <v>45997</v>
      </c>
      <c r="D1062" s="69" t="s">
        <v>4888</v>
      </c>
      <c r="E1062" s="69"/>
      <c r="F1062" s="65" t="s">
        <v>4929</v>
      </c>
      <c r="G1062" s="65"/>
      <c r="H1062" s="65" t="str">
        <f>IFERROR(INDEX('Docketed Comments'!C:C,MATCH(A1062,'Docketed Comments'!H:H,0))&amp;", "&amp;INDEX('Docketed Comments'!B:B,MATCH(A1062,'Docketed Comments'!H:H,0)),"")</f>
        <v>Mary Lynne, Shroyer</v>
      </c>
      <c r="I1062" s="65" t="str">
        <f>IFERROR(INDEX('Docketed Comments'!D:D,MATCH(A1062,'Docketed Comments'!H:H,0)),"")</f>
        <v>Sun City</v>
      </c>
      <c r="J1062" s="65" t="str">
        <f>IFERROR(INDEX('Docketed Comments'!I:I,MATCH(A1062,'Docketed Comments'!H:H,0)),"")</f>
        <v>R-XS</v>
      </c>
      <c r="K1062" s="65" t="str">
        <f t="shared" si="33"/>
        <v>✅ On Best Plan</v>
      </c>
      <c r="L1062" s="65" t="str">
        <f>IFERROR(INDEX('Docketed Comments'!F:F,MATCH(A1062,'Docketed Comments'!H:H,0)),"")</f>
        <v>Opposed</v>
      </c>
      <c r="M1062" s="137" t="str">
        <f>IFERROR(HYPERLINK(INDEX('Docketed Comments'!G:G,MATCH(A1062,'Docketed Comments'!H:H,0)),"📄 View Docket"),"")</f>
        <v>📄 View Docket</v>
      </c>
      <c r="N1062" s="135" t="str">
        <f>IFERROR(INDEX('Docketed Comments'!N:N,MATCH(A1062,'Docketed Comments'!H:H,0)),"")</f>
        <v>No</v>
      </c>
      <c r="O1062" s="135" t="str">
        <f>IFERROR(INDEX('Docketed Comments'!L:L,MATCH(A1062,'Docketed Comments'!H:H,0)),"")</f>
        <v>Yes</v>
      </c>
      <c r="P1062" s="136">
        <f t="shared" si="32"/>
        <v>0</v>
      </c>
      <c r="Q1062" s="140" t="s">
        <v>5809</v>
      </c>
      <c r="R1062" s="144">
        <v>0</v>
      </c>
    </row>
    <row r="1063" spans="1:18" ht="21.95" customHeight="1">
      <c r="A1063" s="71" t="s">
        <v>112</v>
      </c>
      <c r="B1063" s="69" t="s">
        <v>4887</v>
      </c>
      <c r="C1063" s="70">
        <v>45997</v>
      </c>
      <c r="D1063" s="69" t="s">
        <v>4888</v>
      </c>
      <c r="E1063" s="69"/>
      <c r="F1063" s="65" t="s">
        <v>4940</v>
      </c>
      <c r="G1063" s="65"/>
      <c r="H1063" s="65" t="str">
        <f>IFERROR(INDEX('Docketed Comments'!C:C,MATCH(A1063,'Docketed Comments'!H:H,0))&amp;", "&amp;INDEX('Docketed Comments'!B:B,MATCH(A1063,'Docketed Comments'!H:H,0)),"")</f>
        <v xml:space="preserve">Michelle, Neal </v>
      </c>
      <c r="I1063" s="65" t="str">
        <f>IFERROR(INDEX('Docketed Comments'!D:D,MATCH(A1063,'Docketed Comments'!H:H,0)),"")</f>
        <v>Glendale</v>
      </c>
      <c r="J1063" s="65" t="str">
        <f>IFERROR(INDEX('Docketed Comments'!I:I,MATCH(A1063,'Docketed Comments'!H:H,0)),"")</f>
        <v>R3-47</v>
      </c>
      <c r="K1063" s="65" t="str">
        <f t="shared" si="33"/>
        <v>✅ On Best Plan</v>
      </c>
      <c r="L1063" s="65" t="str">
        <f>IFERROR(INDEX('Docketed Comments'!F:F,MATCH(A1063,'Docketed Comments'!H:H,0)),"")</f>
        <v>Opposed</v>
      </c>
      <c r="M1063" s="137" t="str">
        <f>IFERROR(HYPERLINK(INDEX('Docketed Comments'!G:G,MATCH(A1063,'Docketed Comments'!H:H,0)),"📄 View Docket"),"")</f>
        <v>📄 View Docket</v>
      </c>
      <c r="N1063" s="135" t="str">
        <f>IFERROR(INDEX('Docketed Comments'!N:N,MATCH(A1063,'Docketed Comments'!H:H,0)),"")</f>
        <v>No</v>
      </c>
      <c r="O1063" s="135" t="str">
        <f>IFERROR(INDEX('Docketed Comments'!L:L,MATCH(A1063,'Docketed Comments'!H:H,0)),"")</f>
        <v>Yes</v>
      </c>
      <c r="P1063" s="136">
        <f t="shared" si="32"/>
        <v>0</v>
      </c>
      <c r="Q1063" s="140" t="s">
        <v>5809</v>
      </c>
      <c r="R1063" s="144">
        <v>0</v>
      </c>
    </row>
    <row r="1064" spans="1:18" ht="21.95" customHeight="1">
      <c r="A1064" s="71" t="s">
        <v>573</v>
      </c>
      <c r="B1064" s="69" t="s">
        <v>4887</v>
      </c>
      <c r="C1064" s="70">
        <v>46011</v>
      </c>
      <c r="D1064" s="69" t="s">
        <v>4888</v>
      </c>
      <c r="E1064" s="69"/>
      <c r="F1064" s="65" t="s">
        <v>4930</v>
      </c>
      <c r="G1064" s="65"/>
      <c r="H1064" s="65" t="str">
        <f>IFERROR(INDEX('Docketed Comments'!C:C,MATCH(A1064,'Docketed Comments'!H:H,0))&amp;", "&amp;INDEX('Docketed Comments'!B:B,MATCH(A1064,'Docketed Comments'!H:H,0)),"")</f>
        <v>Nicholas, Lichtner</v>
      </c>
      <c r="I1064" s="65" t="str">
        <f>IFERROR(INDEX('Docketed Comments'!D:D,MATCH(A1064,'Docketed Comments'!H:H,0)),"")</f>
        <v>Phoenix</v>
      </c>
      <c r="J1064" s="65" t="str">
        <f>IFERROR(INDEX('Docketed Comments'!I:I,MATCH(A1064,'Docketed Comments'!H:H,0)),"")</f>
        <v>R-BASICL</v>
      </c>
      <c r="K1064" s="65" t="str">
        <f t="shared" si="33"/>
        <v>❌ Not on Best Plan</v>
      </c>
      <c r="L1064" s="65" t="str">
        <f>IFERROR(INDEX('Docketed Comments'!F:F,MATCH(A1064,'Docketed Comments'!H:H,0)),"")</f>
        <v>Form letter</v>
      </c>
      <c r="M1064" s="137" t="str">
        <f>IFERROR(HYPERLINK(INDEX('Docketed Comments'!G:G,MATCH(A1064,'Docketed Comments'!H:H,0)),"📄 View Docket"),"")</f>
        <v>📄 View Docket</v>
      </c>
      <c r="N1064" s="135" t="str">
        <f>IFERROR(INDEX('Docketed Comments'!N:N,MATCH(A1064,'Docketed Comments'!H:H,0)),"")</f>
        <v>No</v>
      </c>
      <c r="O1064" s="135" t="str">
        <f>IFERROR(INDEX('Docketed Comments'!L:L,MATCH(A1064,'Docketed Comments'!H:H,0)),"")</f>
        <v>No MEP R3-47($45.27)</v>
      </c>
      <c r="P1064" s="136">
        <f t="shared" si="32"/>
        <v>45.27</v>
      </c>
      <c r="Q1064" s="140" t="s">
        <v>5809</v>
      </c>
      <c r="R1064" s="144">
        <v>0</v>
      </c>
    </row>
    <row r="1065" spans="1:18" ht="21.95" customHeight="1">
      <c r="A1065" s="71" t="s">
        <v>396</v>
      </c>
      <c r="B1065" s="69" t="s">
        <v>4887</v>
      </c>
      <c r="C1065" s="70">
        <v>46011</v>
      </c>
      <c r="D1065" s="69" t="s">
        <v>4888</v>
      </c>
      <c r="E1065" s="69"/>
      <c r="F1065" s="65"/>
      <c r="G1065" s="65"/>
      <c r="H1065" s="65" t="str">
        <f>IFERROR(INDEX('Docketed Comments'!C:C,MATCH(A1065,'Docketed Comments'!H:H,0))&amp;", "&amp;INDEX('Docketed Comments'!B:B,MATCH(A1065,'Docketed Comments'!H:H,0)),"")</f>
        <v>Alfredo, Nava</v>
      </c>
      <c r="I1065" s="65" t="str">
        <f>IFERROR(INDEX('Docketed Comments'!D:D,MATCH(A1065,'Docketed Comments'!H:H,0)),"")</f>
        <v>Glendale</v>
      </c>
      <c r="J1065" s="65" t="str">
        <f>IFERROR(INDEX('Docketed Comments'!I:I,MATCH(A1065,'Docketed Comments'!H:H,0)),"")</f>
        <v>R-BASIC</v>
      </c>
      <c r="K1065" s="65" t="str">
        <f t="shared" si="33"/>
        <v>❌ Not on Best Plan</v>
      </c>
      <c r="L1065" s="65" t="str">
        <f>IFERROR(INDEX('Docketed Comments'!F:F,MATCH(A1065,'Docketed Comments'!H:H,0)),"")</f>
        <v>Form letter</v>
      </c>
      <c r="M1065" s="137" t="str">
        <f>IFERROR(HYPERLINK(INDEX('Docketed Comments'!G:G,MATCH(A1065,'Docketed Comments'!H:H,0)),"📄 View Docket"),"")</f>
        <v>📄 View Docket</v>
      </c>
      <c r="N1065" s="135" t="str">
        <f>IFERROR(INDEX('Docketed Comments'!N:N,MATCH(A1065,'Docketed Comments'!H:H,0)),"")</f>
        <v>No</v>
      </c>
      <c r="O1065" s="135" t="str">
        <f>IFERROR(INDEX('Docketed Comments'!L:L,MATCH(A1065,'Docketed Comments'!H:H,0)),"")</f>
        <v>No MEP-R3-47($66.86)</v>
      </c>
      <c r="P1065" s="136">
        <f t="shared" si="32"/>
        <v>66.86</v>
      </c>
      <c r="Q1065" s="140" t="s">
        <v>5809</v>
      </c>
      <c r="R1065" s="144">
        <v>0</v>
      </c>
    </row>
    <row r="1066" spans="1:18" ht="21.95" customHeight="1">
      <c r="A1066" s="71" t="s">
        <v>565</v>
      </c>
      <c r="B1066" s="69" t="s">
        <v>111</v>
      </c>
      <c r="C1066" s="70">
        <v>45997</v>
      </c>
      <c r="D1066" s="69" t="s">
        <v>4888</v>
      </c>
      <c r="E1066" s="69"/>
      <c r="F1066" s="65" t="s">
        <v>4901</v>
      </c>
      <c r="G1066" s="65"/>
      <c r="H1066" s="65" t="str">
        <f>IFERROR(INDEX('Docketed Comments'!C:C,MATCH(A1066,'Docketed Comments'!H:H,0))&amp;", "&amp;INDEX('Docketed Comments'!B:B,MATCH(A1066,'Docketed Comments'!H:H,0)),"")</f>
        <v>Anurag, Mandloi</v>
      </c>
      <c r="I1066" s="65" t="str">
        <f>IFERROR(INDEX('Docketed Comments'!D:D,MATCH(A1066,'Docketed Comments'!H:H,0)),"")</f>
        <v>Phoenix</v>
      </c>
      <c r="J1066" s="65" t="str">
        <f>IFERROR(INDEX('Docketed Comments'!I:I,MATCH(A1066,'Docketed Comments'!H:H,0)),"")</f>
        <v>RTOUE47</v>
      </c>
      <c r="K1066" s="65" t="str">
        <f t="shared" si="33"/>
        <v>✅ On Best Plan</v>
      </c>
      <c r="L1066" s="65" t="str">
        <f>IFERROR(INDEX('Docketed Comments'!F:F,MATCH(A1066,'Docketed Comments'!H:H,0)),"")</f>
        <v>Form letter</v>
      </c>
      <c r="M1066" s="137" t="str">
        <f>IFERROR(HYPERLINK(INDEX('Docketed Comments'!G:G,MATCH(A1066,'Docketed Comments'!H:H,0)),"📄 View Docket"),"")</f>
        <v>📄 View Docket</v>
      </c>
      <c r="N1066" s="135" t="str">
        <f>IFERROR(INDEX('Docketed Comments'!N:N,MATCH(A1066,'Docketed Comments'!H:H,0)),"")</f>
        <v>No</v>
      </c>
      <c r="O1066" s="135" t="str">
        <f>IFERROR(INDEX('Docketed Comments'!L:L,MATCH(A1066,'Docketed Comments'!H:H,0)),"")</f>
        <v>Yes</v>
      </c>
      <c r="P1066" s="136">
        <f t="shared" si="32"/>
        <v>0</v>
      </c>
      <c r="Q1066" s="140" t="s">
        <v>5809</v>
      </c>
      <c r="R1066" s="144">
        <v>0</v>
      </c>
    </row>
    <row r="1067" spans="1:18" ht="21.95" customHeight="1">
      <c r="A1067" s="71" t="s">
        <v>5481</v>
      </c>
      <c r="B1067" s="69" t="s">
        <v>4887</v>
      </c>
      <c r="C1067" s="70">
        <v>45997</v>
      </c>
      <c r="D1067" s="69"/>
      <c r="E1067" s="69"/>
      <c r="F1067" s="65" t="s">
        <v>4939</v>
      </c>
      <c r="G1067" s="65"/>
      <c r="H1067" s="65" t="str">
        <f>IFERROR(INDEX('Docketed Comments'!C:C,MATCH(A1067,'Docketed Comments'!H:H,0))&amp;", "&amp;INDEX('Docketed Comments'!B:B,MATCH(A1067,'Docketed Comments'!H:H,0)),"")</f>
        <v>Kim &amp; Dave, Berto</v>
      </c>
      <c r="I1067" s="65" t="str">
        <f>IFERROR(INDEX('Docketed Comments'!D:D,MATCH(A1067,'Docketed Comments'!H:H,0)),"")</f>
        <v>Chino Valley</v>
      </c>
      <c r="J1067" s="65" t="str">
        <f>IFERROR(INDEX('Docketed Comments'!I:I,MATCH(A1067,'Docketed Comments'!H:H,0)),"")</f>
        <v>RCPw/RTOUE47</v>
      </c>
      <c r="K1067" s="65" t="str">
        <f t="shared" si="33"/>
        <v>✅ On Best Plan</v>
      </c>
      <c r="L1067" s="65" t="str">
        <f>IFERROR(INDEX('Docketed Comments'!F:F,MATCH(A1067,'Docketed Comments'!H:H,0)),"")</f>
        <v>Opposed</v>
      </c>
      <c r="M1067" s="137" t="str">
        <f>IFERROR(HYPERLINK(INDEX('Docketed Comments'!G:G,MATCH(A1067,'Docketed Comments'!H:H,0)),"📄 View Docket"),"")</f>
        <v>📄 View Docket</v>
      </c>
      <c r="N1067" s="135" t="str">
        <f>IFERROR(INDEX('Docketed Comments'!N:N,MATCH(A1067,'Docketed Comments'!H:H,0)),"")</f>
        <v>No</v>
      </c>
      <c r="O1067" s="135" t="str">
        <f>IFERROR(INDEX('Docketed Comments'!L:L,MATCH(A1067,'Docketed Comments'!H:H,0)),"")</f>
        <v>Yes</v>
      </c>
      <c r="P1067" s="136">
        <f t="shared" si="32"/>
        <v>0</v>
      </c>
      <c r="Q1067" s="140" t="s">
        <v>5809</v>
      </c>
      <c r="R1067" s="144">
        <v>0</v>
      </c>
    </row>
    <row r="1068" spans="1:18" ht="21.95" customHeight="1">
      <c r="A1068" s="71" t="s">
        <v>39</v>
      </c>
      <c r="B1068" s="69" t="s">
        <v>4887</v>
      </c>
      <c r="C1068" s="70">
        <v>45997</v>
      </c>
      <c r="D1068" s="69"/>
      <c r="E1068" s="69"/>
      <c r="F1068" s="65" t="s">
        <v>4928</v>
      </c>
      <c r="G1068" s="65"/>
      <c r="H1068" s="65" t="str">
        <f>IFERROR(INDEX('Docketed Comments'!C:C,MATCH(A1068,'Docketed Comments'!H:H,0))&amp;", "&amp;INDEX('Docketed Comments'!B:B,MATCH(A1068,'Docketed Comments'!H:H,0)),"")</f>
        <v>Patricia, Gwiazda</v>
      </c>
      <c r="I1068" s="65" t="str">
        <f>IFERROR(INDEX('Docketed Comments'!D:D,MATCH(A1068,'Docketed Comments'!H:H,0)),"")</f>
        <v>Youngtown</v>
      </c>
      <c r="J1068" s="65" t="str">
        <f>IFERROR(INDEX('Docketed Comments'!I:I,MATCH(A1068,'Docketed Comments'!H:H,0)),"")</f>
        <v>RCPw/RTOUE47</v>
      </c>
      <c r="K1068" s="65" t="str">
        <f t="shared" si="33"/>
        <v>❌ Not on Best Plan</v>
      </c>
      <c r="L1068" s="65" t="str">
        <f>IFERROR(INDEX('Docketed Comments'!F:F,MATCH(A1068,'Docketed Comments'!H:H,0)),"")</f>
        <v>Opposed</v>
      </c>
      <c r="M1068" s="137" t="str">
        <f>IFERROR(HYPERLINK(INDEX('Docketed Comments'!G:G,MATCH(A1068,'Docketed Comments'!H:H,0)),"📄 View Docket"),"")</f>
        <v>📄 View Docket</v>
      </c>
      <c r="N1068" s="135" t="str">
        <f>IFERROR(INDEX('Docketed Comments'!N:N,MATCH(A1068,'Docketed Comments'!H:H,0)),"")</f>
        <v>No</v>
      </c>
      <c r="O1068" s="135" t="str">
        <f>IFERROR(INDEX('Docketed Comments'!L:L,MATCH(A1068,'Docketed Comments'!H:H,0)),"")</f>
        <v>No - MEP is R3-47 ($65.13)</v>
      </c>
      <c r="P1068" s="136">
        <f t="shared" si="32"/>
        <v>65.13</v>
      </c>
      <c r="Q1068" s="140" t="s">
        <v>5809</v>
      </c>
      <c r="R1068" s="144">
        <v>0</v>
      </c>
    </row>
    <row r="1069" spans="1:18" ht="21.95" customHeight="1">
      <c r="A1069" s="71" t="s">
        <v>315</v>
      </c>
      <c r="B1069" s="69" t="s">
        <v>4887</v>
      </c>
      <c r="C1069" s="70">
        <v>46011</v>
      </c>
      <c r="D1069" s="69" t="s">
        <v>4888</v>
      </c>
      <c r="E1069" s="69"/>
      <c r="F1069" s="65" t="s">
        <v>4932</v>
      </c>
      <c r="G1069" s="65"/>
      <c r="H1069" s="65" t="str">
        <f>IFERROR(INDEX('Docketed Comments'!C:C,MATCH(A1069,'Docketed Comments'!H:H,0))&amp;", "&amp;INDEX('Docketed Comments'!B:B,MATCH(A1069,'Docketed Comments'!H:H,0)),"")</f>
        <v>Jennifer, Simmons</v>
      </c>
      <c r="I1069" s="65" t="str">
        <f>IFERROR(INDEX('Docketed Comments'!D:D,MATCH(A1069,'Docketed Comments'!H:H,0)),"")</f>
        <v>Scottsdale</v>
      </c>
      <c r="J1069" s="65" t="str">
        <f>IFERROR(INDEX('Docketed Comments'!I:I,MATCH(A1069,'Docketed Comments'!H:H,0)),"")</f>
        <v>RTOUE47</v>
      </c>
      <c r="K1069" s="65" t="str">
        <f t="shared" si="33"/>
        <v>❌ Not on Best Plan</v>
      </c>
      <c r="L1069" s="65" t="str">
        <f>IFERROR(INDEX('Docketed Comments'!F:F,MATCH(A1069,'Docketed Comments'!H:H,0)),"")</f>
        <v>Opposed</v>
      </c>
      <c r="M1069" s="137" t="str">
        <f>IFERROR(HYPERLINK(INDEX('Docketed Comments'!G:G,MATCH(A1069,'Docketed Comments'!H:H,0)),"📄 View Docket"),"")</f>
        <v>📄 View Docket</v>
      </c>
      <c r="N1069" s="135" t="str">
        <f>IFERROR(INDEX('Docketed Comments'!N:N,MATCH(A1069,'Docketed Comments'!H:H,0)),"")</f>
        <v>No</v>
      </c>
      <c r="O1069" s="135" t="str">
        <f>IFERROR(INDEX('Docketed Comments'!L:L,MATCH(A1069,'Docketed Comments'!H:H,0)),"")</f>
        <v>No MEP R3-47 ($61.45)</v>
      </c>
      <c r="P1069" s="136">
        <f t="shared" si="32"/>
        <v>61.45</v>
      </c>
      <c r="Q1069" s="140" t="s">
        <v>5809</v>
      </c>
      <c r="R1069" s="144">
        <v>0</v>
      </c>
    </row>
    <row r="1070" spans="1:18" ht="21.95" customHeight="1">
      <c r="A1070" s="71" t="s">
        <v>593</v>
      </c>
      <c r="B1070" s="69" t="s">
        <v>4887</v>
      </c>
      <c r="C1070" s="70">
        <v>46011</v>
      </c>
      <c r="D1070" s="69" t="s">
        <v>4888</v>
      </c>
      <c r="E1070" s="69"/>
      <c r="F1070" s="65" t="s">
        <v>4930</v>
      </c>
      <c r="G1070" s="65"/>
      <c r="H1070" s="65" t="str">
        <f>IFERROR(INDEX('Docketed Comments'!C:C,MATCH(A1070,'Docketed Comments'!H:H,0))&amp;", "&amp;INDEX('Docketed Comments'!B:B,MATCH(A1070,'Docketed Comments'!H:H,0)),"")</f>
        <v>Sara , Kontryn</v>
      </c>
      <c r="I1070" s="65" t="str">
        <f>IFERROR(INDEX('Docketed Comments'!D:D,MATCH(A1070,'Docketed Comments'!H:H,0)),"")</f>
        <v>Phoenix</v>
      </c>
      <c r="J1070" s="65" t="str">
        <f>IFERROR(INDEX('Docketed Comments'!I:I,MATCH(A1070,'Docketed Comments'!H:H,0)),"")</f>
        <v>RTOUE47</v>
      </c>
      <c r="K1070" s="65" t="str">
        <f t="shared" si="33"/>
        <v>❌ Not on Best Plan</v>
      </c>
      <c r="L1070" s="65" t="str">
        <f>IFERROR(INDEX('Docketed Comments'!F:F,MATCH(A1070,'Docketed Comments'!H:H,0)),"")</f>
        <v>Form letter</v>
      </c>
      <c r="M1070" s="137" t="str">
        <f>IFERROR(HYPERLINK(INDEX('Docketed Comments'!G:G,MATCH(A1070,'Docketed Comments'!H:H,0)),"📄 View Docket"),"")</f>
        <v>📄 View Docket</v>
      </c>
      <c r="N1070" s="135" t="str">
        <f>IFERROR(INDEX('Docketed Comments'!N:N,MATCH(A1070,'Docketed Comments'!H:H,0)),"")</f>
        <v>No</v>
      </c>
      <c r="O1070" s="135" t="str">
        <f>IFERROR(INDEX('Docketed Comments'!L:L,MATCH(A1070,'Docketed Comments'!H:H,0)),"")</f>
        <v>No MEP R3-47($91.81)</v>
      </c>
      <c r="P1070" s="136">
        <f t="shared" si="32"/>
        <v>91.81</v>
      </c>
      <c r="Q1070" s="140" t="s">
        <v>5809</v>
      </c>
      <c r="R1070" s="144">
        <v>0</v>
      </c>
    </row>
    <row r="1071" spans="1:18" ht="21.95" customHeight="1">
      <c r="A1071" s="71" t="s">
        <v>272</v>
      </c>
      <c r="B1071" s="69" t="s">
        <v>4887</v>
      </c>
      <c r="C1071" s="70">
        <v>46011</v>
      </c>
      <c r="D1071" s="69" t="s">
        <v>4865</v>
      </c>
      <c r="E1071" s="69"/>
      <c r="F1071" s="65" t="s">
        <v>4934</v>
      </c>
      <c r="G1071" s="65"/>
      <c r="H1071" s="65" t="str">
        <f>IFERROR(INDEX('Docketed Comments'!C:C,MATCH(A1071,'Docketed Comments'!H:H,0))&amp;", "&amp;INDEX('Docketed Comments'!B:B,MATCH(A1071,'Docketed Comments'!H:H,0)),"")</f>
        <v>Michelle, Seabrook</v>
      </c>
      <c r="I1071" s="65" t="str">
        <f>IFERROR(INDEX('Docketed Comments'!D:D,MATCH(A1071,'Docketed Comments'!H:H,0)),"")</f>
        <v>Phoenix</v>
      </c>
      <c r="J1071" s="65" t="str">
        <f>IFERROR(INDEX('Docketed Comments'!I:I,MATCH(A1071,'Docketed Comments'!H:H,0)),"")</f>
        <v>R-BASICL</v>
      </c>
      <c r="K1071" s="65" t="str">
        <f t="shared" si="33"/>
        <v>❌ Not on Best Plan</v>
      </c>
      <c r="L1071" s="65" t="str">
        <f>IFERROR(INDEX('Docketed Comments'!F:F,MATCH(A1071,'Docketed Comments'!H:H,0)),"")</f>
        <v>Opposed</v>
      </c>
      <c r="M1071" s="137" t="str">
        <f>IFERROR(HYPERLINK(INDEX('Docketed Comments'!G:G,MATCH(A1071,'Docketed Comments'!H:H,0)),"📄 View Docket"),"")</f>
        <v>📄 View Docket</v>
      </c>
      <c r="N1071" s="135" t="str">
        <f>IFERROR(INDEX('Docketed Comments'!N:N,MATCH(A1071,'Docketed Comments'!H:H,0)),"")</f>
        <v>No</v>
      </c>
      <c r="O1071" s="135" t="str">
        <f>IFERROR(INDEX('Docketed Comments'!L:L,MATCH(A1071,'Docketed Comments'!H:H,0)),"")</f>
        <v>No MEP R-BASIC ($170.13)</v>
      </c>
      <c r="P1071" s="136">
        <f t="shared" si="32"/>
        <v>170.13</v>
      </c>
      <c r="Q1071" s="140" t="s">
        <v>5809</v>
      </c>
      <c r="R1071" s="144">
        <v>0</v>
      </c>
    </row>
    <row r="1072" spans="1:18" ht="21.95" customHeight="1">
      <c r="A1072" s="71" t="s">
        <v>370</v>
      </c>
      <c r="B1072" s="69" t="s">
        <v>4887</v>
      </c>
      <c r="C1072" s="70">
        <v>46011</v>
      </c>
      <c r="D1072" s="69" t="s">
        <v>4888</v>
      </c>
      <c r="E1072" s="69"/>
      <c r="F1072" s="65" t="s">
        <v>4935</v>
      </c>
      <c r="G1072" s="65"/>
      <c r="H1072" s="65" t="str">
        <f>IFERROR(INDEX('Docketed Comments'!C:C,MATCH(A1072,'Docketed Comments'!H:H,0))&amp;", "&amp;INDEX('Docketed Comments'!B:B,MATCH(A1072,'Docketed Comments'!H:H,0)),"")</f>
        <v>Jose, Melendez</v>
      </c>
      <c r="I1072" s="65" t="str">
        <f>IFERROR(INDEX('Docketed Comments'!D:D,MATCH(A1072,'Docketed Comments'!H:H,0)),"")</f>
        <v>Surprise</v>
      </c>
      <c r="J1072" s="65" t="str">
        <f>IFERROR(INDEX('Docketed Comments'!I:I,MATCH(A1072,'Docketed Comments'!H:H,0)),"")</f>
        <v>RTOUE47</v>
      </c>
      <c r="K1072" s="65" t="str">
        <f t="shared" si="33"/>
        <v>❌ Not on Best Plan</v>
      </c>
      <c r="L1072" s="65" t="str">
        <f>IFERROR(INDEX('Docketed Comments'!F:F,MATCH(A1072,'Docketed Comments'!H:H,0)),"")</f>
        <v>Opposed</v>
      </c>
      <c r="M1072" s="137" t="str">
        <f>IFERROR(HYPERLINK(INDEX('Docketed Comments'!G:G,MATCH(A1072,'Docketed Comments'!H:H,0)),"📄 View Docket"),"")</f>
        <v>📄 View Docket</v>
      </c>
      <c r="N1072" s="135" t="str">
        <f>IFERROR(INDEX('Docketed Comments'!N:N,MATCH(A1072,'Docketed Comments'!H:H,0)),"")</f>
        <v>No</v>
      </c>
      <c r="O1072" s="135" t="str">
        <f>IFERROR(INDEX('Docketed Comments'!L:L,MATCH(A1072,'Docketed Comments'!H:H,0)),"")</f>
        <v>No MEP R3-47 ($128.91)</v>
      </c>
      <c r="P1072" s="136">
        <f t="shared" si="32"/>
        <v>128.91</v>
      </c>
      <c r="Q1072" s="140" t="s">
        <v>5809</v>
      </c>
      <c r="R1072" s="144">
        <v>0</v>
      </c>
    </row>
    <row r="1073" spans="1:18" ht="21.95" customHeight="1">
      <c r="A1073" s="71" t="s">
        <v>473</v>
      </c>
      <c r="B1073" s="69" t="s">
        <v>4887</v>
      </c>
      <c r="C1073" s="70">
        <v>46011</v>
      </c>
      <c r="D1073" s="69" t="s">
        <v>4888</v>
      </c>
      <c r="E1073" s="69"/>
      <c r="F1073" s="65" t="s">
        <v>5691</v>
      </c>
      <c r="G1073" s="65"/>
      <c r="H1073" s="65" t="str">
        <f>IFERROR(INDEX('Docketed Comments'!C:C,MATCH(A1073,'Docketed Comments'!H:H,0))&amp;", "&amp;INDEX('Docketed Comments'!B:B,MATCH(A1073,'Docketed Comments'!H:H,0)),"")</f>
        <v>Michael, Wasserman</v>
      </c>
      <c r="I1073" s="65" t="str">
        <f>IFERROR(INDEX('Docketed Comments'!D:D,MATCH(A1073,'Docketed Comments'!H:H,0)),"")</f>
        <v>Phoenix</v>
      </c>
      <c r="J1073" s="65" t="str">
        <f>IFERROR(INDEX('Docketed Comments'!I:I,MATCH(A1073,'Docketed Comments'!H:H,0)),"")</f>
        <v>RCPw/RTOUE47</v>
      </c>
      <c r="K1073" s="65" t="str">
        <f t="shared" si="33"/>
        <v>❌ Not on Best Plan</v>
      </c>
      <c r="L1073" s="65" t="str">
        <f>IFERROR(INDEX('Docketed Comments'!F:F,MATCH(A1073,'Docketed Comments'!H:H,0)),"")</f>
        <v>Form letter</v>
      </c>
      <c r="M1073" s="137" t="str">
        <f>IFERROR(HYPERLINK(INDEX('Docketed Comments'!G:G,MATCH(A1073,'Docketed Comments'!H:H,0)),"📄 View Docket"),"")</f>
        <v>📄 View Docket</v>
      </c>
      <c r="N1073" s="135" t="str">
        <f>IFERROR(INDEX('Docketed Comments'!N:N,MATCH(A1073,'Docketed Comments'!H:H,0)),"")</f>
        <v>No</v>
      </c>
      <c r="O1073" s="135" t="str">
        <f>IFERROR(INDEX('Docketed Comments'!L:L,MATCH(A1073,'Docketed Comments'!H:H,0)),"")</f>
        <v>No MEP R3-47($123.47)</v>
      </c>
      <c r="P1073" s="136">
        <f t="shared" si="32"/>
        <v>123.47</v>
      </c>
      <c r="Q1073" s="140" t="s">
        <v>5809</v>
      </c>
      <c r="R1073" s="144">
        <v>0</v>
      </c>
    </row>
    <row r="1074" spans="1:18" ht="21.95" customHeight="1">
      <c r="A1074" s="71" t="s">
        <v>509</v>
      </c>
      <c r="B1074" s="69" t="s">
        <v>4887</v>
      </c>
      <c r="C1074" s="70">
        <v>46011</v>
      </c>
      <c r="D1074" s="69" t="s">
        <v>4865</v>
      </c>
      <c r="E1074" s="69" t="s">
        <v>4899</v>
      </c>
      <c r="F1074" s="65" t="s">
        <v>4900</v>
      </c>
      <c r="G1074" s="65"/>
      <c r="H1074" s="65" t="str">
        <f>IFERROR(INDEX('Docketed Comments'!C:C,MATCH(A1074,'Docketed Comments'!H:H,0))&amp;", "&amp;INDEX('Docketed Comments'!B:B,MATCH(A1074,'Docketed Comments'!H:H,0)),"")</f>
        <v>Jayesh, Premjee</v>
      </c>
      <c r="I1074" s="65" t="str">
        <f>IFERROR(INDEX('Docketed Comments'!D:D,MATCH(A1074,'Docketed Comments'!H:H,0)),"")</f>
        <v>Peoria</v>
      </c>
      <c r="J1074" s="65" t="str">
        <f>IFERROR(INDEX('Docketed Comments'!I:I,MATCH(A1074,'Docketed Comments'!H:H,0)),"")</f>
        <v>RTOUE47</v>
      </c>
      <c r="K1074" s="65" t="str">
        <f t="shared" si="33"/>
        <v>❌ Not on Best Plan</v>
      </c>
      <c r="L1074" s="65" t="str">
        <f>IFERROR(INDEX('Docketed Comments'!F:F,MATCH(A1074,'Docketed Comments'!H:H,0)),"")</f>
        <v>Financial burden</v>
      </c>
      <c r="M1074" s="137" t="str">
        <f>IFERROR(HYPERLINK(INDEX('Docketed Comments'!G:G,MATCH(A1074,'Docketed Comments'!H:H,0)),"📄 View Docket"),"")</f>
        <v>📄 View Docket</v>
      </c>
      <c r="N1074" s="135" t="str">
        <f>IFERROR(INDEX('Docketed Comments'!N:N,MATCH(A1074,'Docketed Comments'!H:H,0)),"")</f>
        <v>No</v>
      </c>
      <c r="O1074" s="135" t="str">
        <f>IFERROR(INDEX('Docketed Comments'!L:L,MATCH(A1074,'Docketed Comments'!H:H,0)),"")</f>
        <v>No MEP R3-47($176.22)</v>
      </c>
      <c r="P1074" s="136">
        <f t="shared" si="32"/>
        <v>176.22</v>
      </c>
      <c r="Q1074" s="140" t="s">
        <v>5809</v>
      </c>
      <c r="R1074" s="144">
        <v>0</v>
      </c>
    </row>
    <row r="1075" spans="1:18" ht="21.95" customHeight="1">
      <c r="A1075" s="71" t="s">
        <v>5482</v>
      </c>
      <c r="B1075" s="69" t="s">
        <v>111</v>
      </c>
      <c r="C1075" s="70">
        <v>45997</v>
      </c>
      <c r="D1075" s="69" t="s">
        <v>4888</v>
      </c>
      <c r="E1075" s="69"/>
      <c r="F1075" s="65" t="s">
        <v>4904</v>
      </c>
      <c r="G1075" s="65"/>
      <c r="H1075" s="65" t="str">
        <f>IFERROR(INDEX('Docketed Comments'!C:C,MATCH(A1075,'Docketed Comments'!H:H,0))&amp;", "&amp;INDEX('Docketed Comments'!B:B,MATCH(A1075,'Docketed Comments'!H:H,0)),"")</f>
        <v>Jared, Brooksby</v>
      </c>
      <c r="I1075" s="65" t="str">
        <f>IFERROR(INDEX('Docketed Comments'!D:D,MATCH(A1075,'Docketed Comments'!H:H,0)),"")</f>
        <v>Phoenix</v>
      </c>
      <c r="J1075" s="65" t="str">
        <f>IFERROR(INDEX('Docketed Comments'!I:I,MATCH(A1075,'Docketed Comments'!H:H,0)),"")</f>
        <v>R-XS</v>
      </c>
      <c r="K1075" s="65" t="str">
        <f t="shared" si="33"/>
        <v>✅ On Best Plan</v>
      </c>
      <c r="L1075" s="65" t="str">
        <f>IFERROR(INDEX('Docketed Comments'!F:F,MATCH(A1075,'Docketed Comments'!H:H,0)),"")</f>
        <v>Impossible to keep up with</v>
      </c>
      <c r="M1075" s="137" t="str">
        <f>IFERROR(HYPERLINK(INDEX('Docketed Comments'!G:G,MATCH(A1075,'Docketed Comments'!H:H,0)),"📄 View Docket"),"")</f>
        <v>📄 View Docket</v>
      </c>
      <c r="N1075" s="135" t="str">
        <f>IFERROR(INDEX('Docketed Comments'!N:N,MATCH(A1075,'Docketed Comments'!H:H,0)),"")</f>
        <v>No</v>
      </c>
      <c r="O1075" s="135" t="str">
        <f>IFERROR(INDEX('Docketed Comments'!L:L,MATCH(A1075,'Docketed Comments'!H:H,0)),"")</f>
        <v>Yes</v>
      </c>
      <c r="P1075" s="136">
        <f t="shared" si="32"/>
        <v>0</v>
      </c>
      <c r="Q1075" s="140" t="s">
        <v>5809</v>
      </c>
      <c r="R1075" s="144">
        <v>0</v>
      </c>
    </row>
    <row r="1076" spans="1:18" ht="21.95" customHeight="1">
      <c r="A1076" s="71" t="s">
        <v>140</v>
      </c>
      <c r="B1076" s="69" t="s">
        <v>111</v>
      </c>
      <c r="C1076" s="70">
        <v>45997</v>
      </c>
      <c r="D1076" s="69" t="s">
        <v>4865</v>
      </c>
      <c r="E1076" s="69"/>
      <c r="F1076" s="65" t="s">
        <v>4892</v>
      </c>
      <c r="G1076" s="65"/>
      <c r="H1076" s="65" t="str">
        <f>IFERROR(INDEX('Docketed Comments'!C:C,MATCH(A1076,'Docketed Comments'!H:H,0))&amp;", "&amp;INDEX('Docketed Comments'!B:B,MATCH(A1076,'Docketed Comments'!H:H,0)),"")</f>
        <v>Steven, Snyder</v>
      </c>
      <c r="I1076" s="65" t="str">
        <f>IFERROR(INDEX('Docketed Comments'!D:D,MATCH(A1076,'Docketed Comments'!H:H,0)),"")</f>
        <v>Phoenix</v>
      </c>
      <c r="J1076" s="65" t="str">
        <f>IFERROR(INDEX('Docketed Comments'!I:I,MATCH(A1076,'Docketed Comments'!H:H,0)),"")</f>
        <v>R3-47</v>
      </c>
      <c r="K1076" s="65" t="str">
        <f t="shared" si="33"/>
        <v>❌ Not on Best Plan</v>
      </c>
      <c r="L1076" s="65" t="str">
        <f>IFERROR(INDEX('Docketed Comments'!F:F,MATCH(A1076,'Docketed Comments'!H:H,0)),"")</f>
        <v>Opposed</v>
      </c>
      <c r="M1076" s="137" t="str">
        <f>IFERROR(HYPERLINK(INDEX('Docketed Comments'!G:G,MATCH(A1076,'Docketed Comments'!H:H,0)),"📄 View Docket"),"")</f>
        <v>📄 View Docket</v>
      </c>
      <c r="N1076" s="135" t="str">
        <f>IFERROR(INDEX('Docketed Comments'!N:N,MATCH(A1076,'Docketed Comments'!H:H,0)),"")</f>
        <v>No</v>
      </c>
      <c r="O1076" s="135" t="str">
        <f>IFERROR(INDEX('Docketed Comments'!L:L,MATCH(A1076,'Docketed Comments'!H:H,0)),"")</f>
        <v>No MEP R-XS ($110.29)</v>
      </c>
      <c r="P1076" s="136">
        <f t="shared" si="32"/>
        <v>110.29</v>
      </c>
      <c r="Q1076" s="140" t="s">
        <v>5809</v>
      </c>
      <c r="R1076" s="144">
        <v>0</v>
      </c>
    </row>
    <row r="1077" spans="1:18" ht="21.95" customHeight="1">
      <c r="A1077" s="71" t="s">
        <v>148</v>
      </c>
      <c r="B1077" s="69" t="s">
        <v>111</v>
      </c>
      <c r="C1077" s="70">
        <v>45997</v>
      </c>
      <c r="D1077" s="69" t="s">
        <v>4865</v>
      </c>
      <c r="E1077" s="69"/>
      <c r="F1077" s="65" t="s">
        <v>4893</v>
      </c>
      <c r="G1077" s="65"/>
      <c r="H1077" s="65" t="str">
        <f>IFERROR(INDEX('Docketed Comments'!C:C,MATCH(A1077,'Docketed Comments'!H:H,0))&amp;", "&amp;INDEX('Docketed Comments'!B:B,MATCH(A1077,'Docketed Comments'!H:H,0)),"")</f>
        <v>Wayne, Kaplan</v>
      </c>
      <c r="I1077" s="65" t="str">
        <f>IFERROR(INDEX('Docketed Comments'!D:D,MATCH(A1077,'Docketed Comments'!H:H,0)),"")</f>
        <v>Unknown</v>
      </c>
      <c r="J1077" s="65" t="str">
        <f>IFERROR(INDEX('Docketed Comments'!I:I,MATCH(A1077,'Docketed Comments'!H:H,0)),"")</f>
        <v>R-XS</v>
      </c>
      <c r="K1077" s="65" t="str">
        <f t="shared" si="33"/>
        <v>✅ On Best Plan</v>
      </c>
      <c r="L1077" s="65" t="str">
        <f>IFERROR(INDEX('Docketed Comments'!F:F,MATCH(A1077,'Docketed Comments'!H:H,0)),"")</f>
        <v>Opposed</v>
      </c>
      <c r="M1077" s="137" t="str">
        <f>IFERROR(HYPERLINK(INDEX('Docketed Comments'!G:G,MATCH(A1077,'Docketed Comments'!H:H,0)),"📄 View Docket"),"")</f>
        <v>📄 View Docket</v>
      </c>
      <c r="N1077" s="135" t="str">
        <f>IFERROR(INDEX('Docketed Comments'!N:N,MATCH(A1077,'Docketed Comments'!H:H,0)),"")</f>
        <v>No</v>
      </c>
      <c r="O1077" s="135" t="str">
        <f>IFERROR(INDEX('Docketed Comments'!L:L,MATCH(A1077,'Docketed Comments'!H:H,0)),"")</f>
        <v>Yes</v>
      </c>
      <c r="P1077" s="136">
        <f t="shared" si="32"/>
        <v>0</v>
      </c>
      <c r="Q1077" s="140" t="s">
        <v>5809</v>
      </c>
      <c r="R1077" s="144">
        <v>0</v>
      </c>
    </row>
    <row r="1078" spans="1:18" ht="21.95" customHeight="1">
      <c r="A1078" s="71" t="s">
        <v>344</v>
      </c>
      <c r="B1078" s="69" t="s">
        <v>4887</v>
      </c>
      <c r="C1078" s="70">
        <v>46011</v>
      </c>
      <c r="D1078" s="69" t="s">
        <v>4865</v>
      </c>
      <c r="E1078" s="69" t="s">
        <v>4897</v>
      </c>
      <c r="F1078" s="65" t="s">
        <v>4927</v>
      </c>
      <c r="G1078" s="65"/>
      <c r="H1078" s="65" t="str">
        <f>IFERROR(INDEX('Docketed Comments'!C:C,MATCH(A1078,'Docketed Comments'!H:H,0))&amp;", "&amp;INDEX('Docketed Comments'!B:B,MATCH(A1078,'Docketed Comments'!H:H,0)),"")</f>
        <v>Gerardo, Lara</v>
      </c>
      <c r="I1078" s="65" t="str">
        <f>IFERROR(INDEX('Docketed Comments'!D:D,MATCH(A1078,'Docketed Comments'!H:H,0)),"")</f>
        <v>Glendale</v>
      </c>
      <c r="J1078" s="65" t="str">
        <f>IFERROR(INDEX('Docketed Comments'!I:I,MATCH(A1078,'Docketed Comments'!H:H,0)),"")</f>
        <v>R-BASICL</v>
      </c>
      <c r="K1078" s="65" t="str">
        <f t="shared" si="33"/>
        <v>❌ Not on Best Plan</v>
      </c>
      <c r="L1078" s="65" t="str">
        <f>IFERROR(INDEX('Docketed Comments'!F:F,MATCH(A1078,'Docketed Comments'!H:H,0)),"")</f>
        <v>Form letter</v>
      </c>
      <c r="M1078" s="137" t="str">
        <f>IFERROR(HYPERLINK(INDEX('Docketed Comments'!G:G,MATCH(A1078,'Docketed Comments'!H:H,0)),"📄 View Docket"),"")</f>
        <v>📄 View Docket</v>
      </c>
      <c r="N1078" s="135">
        <f>IFERROR(INDEX('Docketed Comments'!N:N,MATCH(A1078,'Docketed Comments'!H:H,0)),"")</f>
        <v>591.48</v>
      </c>
      <c r="O1078" s="135" t="str">
        <f>IFERROR(INDEX('Docketed Comments'!L:L,MATCH(A1078,'Docketed Comments'!H:H,0)),"")</f>
        <v>No MEP R3-47(249.30)</v>
      </c>
      <c r="P1078" s="136">
        <f t="shared" si="32"/>
        <v>249.3</v>
      </c>
      <c r="Q1078" s="140" t="s">
        <v>5809</v>
      </c>
      <c r="R1078" s="144">
        <v>0</v>
      </c>
    </row>
    <row r="1079" spans="1:18" ht="21.95" customHeight="1">
      <c r="A1079" s="71" t="s">
        <v>50</v>
      </c>
      <c r="B1079" s="69" t="s">
        <v>4887</v>
      </c>
      <c r="C1079" s="70">
        <v>45997</v>
      </c>
      <c r="D1079" s="69"/>
      <c r="E1079" s="69"/>
      <c r="F1079" s="65" t="s">
        <v>4889</v>
      </c>
      <c r="G1079" s="65"/>
      <c r="H1079" s="65" t="str">
        <f>IFERROR(INDEX('Docketed Comments'!C:C,MATCH(A1079,'Docketed Comments'!H:H,0))&amp;", "&amp;INDEX('Docketed Comments'!B:B,MATCH(A1079,'Docketed Comments'!H:H,0)),"")</f>
        <v>Sndney, Beame</v>
      </c>
      <c r="I1079" s="65" t="str">
        <f>IFERROR(INDEX('Docketed Comments'!D:D,MATCH(A1079,'Docketed Comments'!H:H,0)),"")</f>
        <v>Unknown</v>
      </c>
      <c r="J1079" s="65" t="str">
        <f>IFERROR(INDEX('Docketed Comments'!I:I,MATCH(A1079,'Docketed Comments'!H:H,0)),"")</f>
        <v>R-BASICL</v>
      </c>
      <c r="K1079" s="65" t="str">
        <f t="shared" si="33"/>
        <v>❌ Not on Best Plan</v>
      </c>
      <c r="L1079" s="65" t="str">
        <f>IFERROR(INDEX('Docketed Comments'!F:F,MATCH(A1079,'Docketed Comments'!H:H,0)),"")</f>
        <v>Opposed/Senior/fixed income</v>
      </c>
      <c r="M1079" s="137" t="str">
        <f>IFERROR(HYPERLINK(INDEX('Docketed Comments'!G:G,MATCH(A1079,'Docketed Comments'!H:H,0)),"📄 View Docket"),"")</f>
        <v>📄 View Docket</v>
      </c>
      <c r="N1079" s="135" t="str">
        <f>IFERROR(INDEX('Docketed Comments'!N:N,MATCH(A1079,'Docketed Comments'!H:H,0)),"")</f>
        <v>No</v>
      </c>
      <c r="O1079" s="135" t="str">
        <f>IFERROR(INDEX('Docketed Comments'!L:L,MATCH(A1079,'Docketed Comments'!H:H,0)),"")</f>
        <v>No - MEP R3-47 ($192.78)</v>
      </c>
      <c r="P1079" s="136">
        <f t="shared" si="32"/>
        <v>192.78</v>
      </c>
      <c r="Q1079" s="140" t="s">
        <v>5809</v>
      </c>
      <c r="R1079" s="144">
        <v>0</v>
      </c>
    </row>
    <row r="1080" spans="1:18" ht="21.95" customHeight="1">
      <c r="A1080" s="71" t="s">
        <v>92</v>
      </c>
      <c r="B1080" s="69" t="s">
        <v>4887</v>
      </c>
      <c r="C1080" s="70">
        <v>45997</v>
      </c>
      <c r="D1080" s="69" t="s">
        <v>4888</v>
      </c>
      <c r="E1080" s="69"/>
      <c r="F1080" s="65" t="s">
        <v>4929</v>
      </c>
      <c r="G1080" s="65"/>
      <c r="H1080" s="65" t="str">
        <f>IFERROR(INDEX('Docketed Comments'!C:C,MATCH(A1080,'Docketed Comments'!H:H,0))&amp;", "&amp;INDEX('Docketed Comments'!B:B,MATCH(A1080,'Docketed Comments'!H:H,0)),"")</f>
        <v>David &amp; Donna, Driscoll</v>
      </c>
      <c r="I1080" s="65" t="str">
        <f>IFERROR(INDEX('Docketed Comments'!D:D,MATCH(A1080,'Docketed Comments'!H:H,0)),"")</f>
        <v>Unknown</v>
      </c>
      <c r="J1080" s="65" t="str">
        <f>IFERROR(INDEX('Docketed Comments'!I:I,MATCH(A1080,'Docketed Comments'!H:H,0)),"")</f>
        <v>RCPw/RTOUE47</v>
      </c>
      <c r="K1080" s="65" t="str">
        <f t="shared" si="33"/>
        <v>⚠  No - MEP R3-47($151.35)</v>
      </c>
      <c r="L1080" s="65" t="str">
        <f>IFERROR(INDEX('Docketed Comments'!F:F,MATCH(A1080,'Docketed Comments'!H:H,0)),"")</f>
        <v>Opposed</v>
      </c>
      <c r="M1080" s="137" t="str">
        <f>IFERROR(HYPERLINK(INDEX('Docketed Comments'!G:G,MATCH(A1080,'Docketed Comments'!H:H,0)),"📄 View Docket"),"")</f>
        <v>📄 View Docket</v>
      </c>
      <c r="N1080" s="135" t="str">
        <f>IFERROR(INDEX('Docketed Comments'!N:N,MATCH(A1080,'Docketed Comments'!H:H,0)),"")</f>
        <v>No</v>
      </c>
      <c r="O1080" s="135" t="str">
        <f>IFERROR(INDEX('Docketed Comments'!L:L,MATCH(A1080,'Docketed Comments'!H:H,0)),"")</f>
        <v xml:space="preserve"> No - MEP R3-47($151.35)</v>
      </c>
      <c r="P1080" s="136">
        <f t="shared" si="32"/>
        <v>151.35</v>
      </c>
      <c r="Q1080" s="140" t="s">
        <v>5809</v>
      </c>
      <c r="R1080" s="144">
        <v>0</v>
      </c>
    </row>
    <row r="1081" spans="1:18" ht="21.95" customHeight="1">
      <c r="A1081" s="71" t="s">
        <v>134</v>
      </c>
      <c r="B1081" s="69" t="s">
        <v>4887</v>
      </c>
      <c r="C1081" s="70">
        <v>46011</v>
      </c>
      <c r="D1081" s="69" t="s">
        <v>4865</v>
      </c>
      <c r="E1081" s="69"/>
      <c r="F1081" s="65" t="s">
        <v>5693</v>
      </c>
      <c r="G1081" s="65"/>
      <c r="H1081" s="65" t="str">
        <f>IFERROR(INDEX('Docketed Comments'!C:C,MATCH(A1081,'Docketed Comments'!H:H,0))&amp;", "&amp;INDEX('Docketed Comments'!B:B,MATCH(A1081,'Docketed Comments'!H:H,0)),"")</f>
        <v>Jared, Geyer</v>
      </c>
      <c r="I1081" s="65" t="str">
        <f>IFERROR(INDEX('Docketed Comments'!D:D,MATCH(A1081,'Docketed Comments'!H:H,0)),"")</f>
        <v>Scottsdale</v>
      </c>
      <c r="J1081" s="65" t="str">
        <f>IFERROR(INDEX('Docketed Comments'!I:I,MATCH(A1081,'Docketed Comments'!H:H,0)),"")</f>
        <v>R-BASICL</v>
      </c>
      <c r="K1081" s="65" t="str">
        <f t="shared" si="33"/>
        <v>❌ Not on Best Plan</v>
      </c>
      <c r="L1081" s="65" t="str">
        <f>IFERROR(INDEX('Docketed Comments'!F:F,MATCH(A1081,'Docketed Comments'!H:H,0)),"")</f>
        <v>Opposed</v>
      </c>
      <c r="M1081" s="137" t="str">
        <f>IFERROR(HYPERLINK(INDEX('Docketed Comments'!G:G,MATCH(A1081,'Docketed Comments'!H:H,0)),"📄 View Docket"),"")</f>
        <v>📄 View Docket</v>
      </c>
      <c r="N1081" s="135" t="str">
        <f>IFERROR(INDEX('Docketed Comments'!N:N,MATCH(A1081,'Docketed Comments'!H:H,0)),"")</f>
        <v>No</v>
      </c>
      <c r="O1081" s="135" t="str">
        <f>IFERROR(INDEX('Docketed Comments'!L:L,MATCH(A1081,'Docketed Comments'!H:H,0)),"")</f>
        <v>No MEP R3-47 ($36.88)</v>
      </c>
      <c r="P1081" s="136">
        <f t="shared" si="32"/>
        <v>36.880000000000003</v>
      </c>
      <c r="Q1081" s="140" t="s">
        <v>5809</v>
      </c>
      <c r="R1081" s="144">
        <v>0</v>
      </c>
    </row>
    <row r="1082" spans="1:18" ht="21.95" customHeight="1">
      <c r="A1082" s="71" t="s">
        <v>157</v>
      </c>
      <c r="B1082" s="69" t="s">
        <v>4887</v>
      </c>
      <c r="C1082" s="70">
        <v>46011</v>
      </c>
      <c r="D1082" s="69" t="s">
        <v>4888</v>
      </c>
      <c r="E1082" s="69"/>
      <c r="F1082" s="65" t="s">
        <v>4930</v>
      </c>
      <c r="G1082" s="65"/>
      <c r="H1082" s="65" t="str">
        <f>IFERROR(INDEX('Docketed Comments'!C:C,MATCH(A1082,'Docketed Comments'!H:H,0))&amp;", "&amp;INDEX('Docketed Comments'!B:B,MATCH(A1082,'Docketed Comments'!H:H,0)),"")</f>
        <v>Annette, Saporito</v>
      </c>
      <c r="I1082" s="65" t="str">
        <f>IFERROR(INDEX('Docketed Comments'!D:D,MATCH(A1082,'Docketed Comments'!H:H,0)),"")</f>
        <v>Cave Creek</v>
      </c>
      <c r="J1082" s="65" t="str">
        <f>IFERROR(INDEX('Docketed Comments'!I:I,MATCH(A1082,'Docketed Comments'!H:H,0)),"")</f>
        <v xml:space="preserve">RTOUE47  </v>
      </c>
      <c r="K1082" s="65" t="str">
        <f t="shared" si="33"/>
        <v>❌ Not on Best Plan</v>
      </c>
      <c r="L1082" s="65" t="str">
        <f>IFERROR(INDEX('Docketed Comments'!F:F,MATCH(A1082,'Docketed Comments'!H:H,0)),"")</f>
        <v>Opposed</v>
      </c>
      <c r="M1082" s="137" t="str">
        <f>IFERROR(HYPERLINK(INDEX('Docketed Comments'!G:G,MATCH(A1082,'Docketed Comments'!H:H,0)),"📄 View Docket"),"")</f>
        <v>📄 View Docket</v>
      </c>
      <c r="N1082" s="135" t="str">
        <f>IFERROR(INDEX('Docketed Comments'!N:N,MATCH(A1082,'Docketed Comments'!H:H,0)),"")</f>
        <v>No</v>
      </c>
      <c r="O1082" s="135" t="str">
        <f>IFERROR(INDEX('Docketed Comments'!L:L,MATCH(A1082,'Docketed Comments'!H:H,0)),"")</f>
        <v>No R3-47 ($439.74)</v>
      </c>
      <c r="P1082" s="136">
        <f t="shared" si="32"/>
        <v>439.74</v>
      </c>
      <c r="Q1082" s="140" t="s">
        <v>5809</v>
      </c>
      <c r="R1082" s="144">
        <v>0</v>
      </c>
    </row>
    <row r="1083" spans="1:18" ht="21.95" customHeight="1">
      <c r="A1083" s="71" t="s">
        <v>189</v>
      </c>
      <c r="B1083" s="69" t="s">
        <v>4887</v>
      </c>
      <c r="C1083" s="70">
        <v>46011</v>
      </c>
      <c r="D1083" s="69" t="s">
        <v>4888</v>
      </c>
      <c r="E1083" s="69"/>
      <c r="F1083" s="65" t="s">
        <v>4930</v>
      </c>
      <c r="G1083" s="65"/>
      <c r="H1083" s="65" t="str">
        <f>IFERROR(INDEX('Docketed Comments'!C:C,MATCH(A1083,'Docketed Comments'!H:H,0))&amp;", "&amp;INDEX('Docketed Comments'!B:B,MATCH(A1083,'Docketed Comments'!H:H,0)),"")</f>
        <v>Jonathan, Luther</v>
      </c>
      <c r="I1083" s="65" t="str">
        <f>IFERROR(INDEX('Docketed Comments'!D:D,MATCH(A1083,'Docketed Comments'!H:H,0)),"")</f>
        <v>Phoenix</v>
      </c>
      <c r="J1083" s="65" t="str">
        <f>IFERROR(INDEX('Docketed Comments'!I:I,MATCH(A1083,'Docketed Comments'!H:H,0)),"")</f>
        <v>RTOUE47</v>
      </c>
      <c r="K1083" s="65" t="str">
        <f t="shared" si="33"/>
        <v>❌ Not on Best Plan</v>
      </c>
      <c r="L1083" s="65" t="str">
        <f>IFERROR(INDEX('Docketed Comments'!F:F,MATCH(A1083,'Docketed Comments'!H:H,0)),"")</f>
        <v xml:space="preserve">Opposed </v>
      </c>
      <c r="M1083" s="137" t="str">
        <f>IFERROR(HYPERLINK(INDEX('Docketed Comments'!G:G,MATCH(A1083,'Docketed Comments'!H:H,0)),"📄 View Docket"),"")</f>
        <v>📄 View Docket</v>
      </c>
      <c r="N1083" s="135" t="str">
        <f>IFERROR(INDEX('Docketed Comments'!N:N,MATCH(A1083,'Docketed Comments'!H:H,0)),"")</f>
        <v>No</v>
      </c>
      <c r="O1083" s="135" t="str">
        <f>IFERROR(INDEX('Docketed Comments'!L:L,MATCH(A1083,'Docketed Comments'!H:H,0)),"")</f>
        <v>No-MEP R3-47($5.29)</v>
      </c>
      <c r="P1083" s="136">
        <f t="shared" si="32"/>
        <v>5.29</v>
      </c>
      <c r="Q1083" s="140" t="s">
        <v>5809</v>
      </c>
      <c r="R1083" s="144">
        <v>0</v>
      </c>
    </row>
    <row r="1084" spans="1:18" ht="21.95" customHeight="1">
      <c r="A1084" s="71" t="s">
        <v>229</v>
      </c>
      <c r="B1084" s="69" t="s">
        <v>4887</v>
      </c>
      <c r="C1084" s="70">
        <v>46011</v>
      </c>
      <c r="D1084" s="69"/>
      <c r="E1084" s="69" t="s">
        <v>4894</v>
      </c>
      <c r="F1084" s="65" t="s">
        <v>4931</v>
      </c>
      <c r="G1084" s="65"/>
      <c r="H1084" s="65" t="str">
        <f>IFERROR(INDEX('Docketed Comments'!C:C,MATCH(A1084,'Docketed Comments'!H:H,0))&amp;", "&amp;INDEX('Docketed Comments'!B:B,MATCH(A1084,'Docketed Comments'!H:H,0)),"")</f>
        <v>Antoinette, Beiser</v>
      </c>
      <c r="I1084" s="65" t="str">
        <f>IFERROR(INDEX('Docketed Comments'!D:D,MATCH(A1084,'Docketed Comments'!H:H,0)),"")</f>
        <v>Sedona</v>
      </c>
      <c r="J1084" s="65" t="str">
        <f>IFERROR(INDEX('Docketed Comments'!I:I,MATCH(A1084,'Docketed Comments'!H:H,0)),"")</f>
        <v>R-BASICL</v>
      </c>
      <c r="K1084" s="65" t="str">
        <f t="shared" si="33"/>
        <v>❌ Not on Best Plan</v>
      </c>
      <c r="L1084" s="65" t="str">
        <f>IFERROR(INDEX('Docketed Comments'!F:F,MATCH(A1084,'Docketed Comments'!H:H,0)),"")</f>
        <v>Opposed</v>
      </c>
      <c r="M1084" s="137" t="str">
        <f>IFERROR(HYPERLINK(INDEX('Docketed Comments'!G:G,MATCH(A1084,'Docketed Comments'!H:H,0)),"📄 View Docket"),"")</f>
        <v>📄 View Docket</v>
      </c>
      <c r="N1084" s="135" t="str">
        <f>IFERROR(INDEX('Docketed Comments'!N:N,MATCH(A1084,'Docketed Comments'!H:H,0)),"")</f>
        <v>No</v>
      </c>
      <c r="O1084" s="135" t="str">
        <f>IFERROR(INDEX('Docketed Comments'!L:L,MATCH(A1084,'Docketed Comments'!H:H,0)),"")</f>
        <v>No MEP R3-47($267.12)</v>
      </c>
      <c r="P1084" s="136">
        <f t="shared" si="32"/>
        <v>267.12</v>
      </c>
      <c r="Q1084" s="140" t="s">
        <v>5809</v>
      </c>
      <c r="R1084" s="144">
        <v>0</v>
      </c>
    </row>
    <row r="1085" spans="1:18" ht="21.95" customHeight="1">
      <c r="A1085" s="71" t="s">
        <v>260</v>
      </c>
      <c r="B1085" s="69" t="s">
        <v>4887</v>
      </c>
      <c r="C1085" s="70">
        <v>46011</v>
      </c>
      <c r="D1085" s="69" t="s">
        <v>4888</v>
      </c>
      <c r="E1085" s="69"/>
      <c r="F1085" s="65" t="s">
        <v>4932</v>
      </c>
      <c r="G1085" s="65"/>
      <c r="H1085" s="65" t="str">
        <f>IFERROR(INDEX('Docketed Comments'!C:C,MATCH(A1085,'Docketed Comments'!H:H,0))&amp;", "&amp;INDEX('Docketed Comments'!B:B,MATCH(A1085,'Docketed Comments'!H:H,0)),"")</f>
        <v>Valerie, Starr</v>
      </c>
      <c r="I1085" s="65" t="str">
        <f>IFERROR(INDEX('Docketed Comments'!D:D,MATCH(A1085,'Docketed Comments'!H:H,0)),"")</f>
        <v>Payson</v>
      </c>
      <c r="J1085" s="65" t="str">
        <f>IFERROR(INDEX('Docketed Comments'!I:I,MATCH(A1085,'Docketed Comments'!H:H,0)),"")</f>
        <v>R-BASICL</v>
      </c>
      <c r="K1085" s="65" t="str">
        <f t="shared" si="33"/>
        <v>❌ Not on Best Plan</v>
      </c>
      <c r="L1085" s="65" t="str">
        <f>IFERROR(INDEX('Docketed Comments'!F:F,MATCH(A1085,'Docketed Comments'!H:H,0)),"")</f>
        <v>Opposed / Greed</v>
      </c>
      <c r="M1085" s="137" t="str">
        <f>IFERROR(HYPERLINK(INDEX('Docketed Comments'!G:G,MATCH(A1085,'Docketed Comments'!H:H,0)),"📄 View Docket"),"")</f>
        <v>📄 View Docket</v>
      </c>
      <c r="N1085" s="135" t="str">
        <f>IFERROR(INDEX('Docketed Comments'!N:N,MATCH(A1085,'Docketed Comments'!H:H,0)),"")</f>
        <v>No</v>
      </c>
      <c r="O1085" s="135" t="str">
        <f>IFERROR(INDEX('Docketed Comments'!L:L,MATCH(A1085,'Docketed Comments'!H:H,0)),"")</f>
        <v>No MEP R3-47 ($337.28)</v>
      </c>
      <c r="P1085" s="136">
        <f t="shared" si="32"/>
        <v>337.28</v>
      </c>
      <c r="Q1085" s="140" t="s">
        <v>5809</v>
      </c>
      <c r="R1085" s="144">
        <v>0</v>
      </c>
    </row>
    <row r="1086" spans="1:18" ht="21.95" customHeight="1">
      <c r="A1086" s="71" t="s">
        <v>267</v>
      </c>
      <c r="B1086" s="69" t="s">
        <v>4887</v>
      </c>
      <c r="C1086" s="70">
        <v>46011</v>
      </c>
      <c r="D1086" s="69"/>
      <c r="E1086" s="69" t="s">
        <v>4894</v>
      </c>
      <c r="F1086" s="65" t="s">
        <v>4933</v>
      </c>
      <c r="G1086" s="65"/>
      <c r="H1086" s="65" t="str">
        <f>IFERROR(INDEX('Docketed Comments'!C:C,MATCH(A1086,'Docketed Comments'!H:H,0))&amp;", "&amp;INDEX('Docketed Comments'!B:B,MATCH(A1086,'Docketed Comments'!H:H,0)),"")</f>
        <v>Teresa, Hill</v>
      </c>
      <c r="I1086" s="65" t="str">
        <f>IFERROR(INDEX('Docketed Comments'!D:D,MATCH(A1086,'Docketed Comments'!H:H,0)),"")</f>
        <v>Phoenix</v>
      </c>
      <c r="J1086" s="65" t="str">
        <f>IFERROR(INDEX('Docketed Comments'!I:I,MATCH(A1086,'Docketed Comments'!H:H,0)),"")</f>
        <v>R3-47</v>
      </c>
      <c r="K1086" s="65" t="str">
        <f t="shared" si="33"/>
        <v>❌ Not on Best Plan</v>
      </c>
      <c r="L1086" s="65" t="str">
        <f>IFERROR(INDEX('Docketed Comments'!F:F,MATCH(A1086,'Docketed Comments'!H:H,0)),"")</f>
        <v>Senior/Fixed Income/ Data Centers</v>
      </c>
      <c r="M1086" s="137" t="str">
        <f>IFERROR(HYPERLINK(INDEX('Docketed Comments'!G:G,MATCH(A1086,'Docketed Comments'!H:H,0)),"📄 View Docket"),"")</f>
        <v>📄 View Docket</v>
      </c>
      <c r="N1086" s="135" t="str">
        <f>IFERROR(INDEX('Docketed Comments'!N:N,MATCH(A1086,'Docketed Comments'!H:H,0)),"")</f>
        <v>No</v>
      </c>
      <c r="O1086" s="135" t="str">
        <f>IFERROR(INDEX('Docketed Comments'!L:L,MATCH(A1086,'Docketed Comments'!H:H,0)),"")</f>
        <v>No MEP R-XS ($136.97)</v>
      </c>
      <c r="P1086" s="136">
        <f t="shared" si="32"/>
        <v>136.97</v>
      </c>
      <c r="Q1086" s="140" t="s">
        <v>5809</v>
      </c>
      <c r="R1086" s="144">
        <v>0</v>
      </c>
    </row>
    <row r="1087" spans="1:18" ht="21.95" customHeight="1">
      <c r="A1087" s="71" t="s">
        <v>293</v>
      </c>
      <c r="B1087" s="69" t="s">
        <v>111</v>
      </c>
      <c r="C1087" s="70">
        <v>45997</v>
      </c>
      <c r="D1087" s="69" t="s">
        <v>4865</v>
      </c>
      <c r="E1087" s="69"/>
      <c r="F1087" s="65" t="s">
        <v>4895</v>
      </c>
      <c r="G1087" s="65"/>
      <c r="H1087" s="65" t="str">
        <f>IFERROR(INDEX('Docketed Comments'!C:C,MATCH(A1087,'Docketed Comments'!H:H,0))&amp;", "&amp;INDEX('Docketed Comments'!B:B,MATCH(A1087,'Docketed Comments'!H:H,0)),"")</f>
        <v>Rohna, Hines</v>
      </c>
      <c r="I1087" s="65" t="str">
        <f>IFERROR(INDEX('Docketed Comments'!D:D,MATCH(A1087,'Docketed Comments'!H:H,0)),"")</f>
        <v>Unknown</v>
      </c>
      <c r="J1087" s="65" t="str">
        <f>IFERROR(INDEX('Docketed Comments'!I:I,MATCH(A1087,'Docketed Comments'!H:H,0)),"")</f>
        <v>RTOUE47</v>
      </c>
      <c r="K1087" s="65" t="str">
        <f t="shared" si="33"/>
        <v>❌ Not on Best Plan</v>
      </c>
      <c r="L1087" s="65" t="str">
        <f>IFERROR(INDEX('Docketed Comments'!F:F,MATCH(A1087,'Docketed Comments'!H:H,0)),"")</f>
        <v xml:space="preserve">Opposed </v>
      </c>
      <c r="M1087" s="137" t="str">
        <f>IFERROR(HYPERLINK(INDEX('Docketed Comments'!G:G,MATCH(A1087,'Docketed Comments'!H:H,0)),"📄 View Docket"),"")</f>
        <v>📄 View Docket</v>
      </c>
      <c r="N1087" s="135" t="str">
        <f>IFERROR(INDEX('Docketed Comments'!N:N,MATCH(A1087,'Docketed Comments'!H:H,0)),"")</f>
        <v>No</v>
      </c>
      <c r="O1087" s="135" t="str">
        <f>IFERROR(INDEX('Docketed Comments'!L:L,MATCH(A1087,'Docketed Comments'!H:H,0)),"")</f>
        <v>No MEP R-XS($77.28)</v>
      </c>
      <c r="P1087" s="136">
        <f t="shared" si="32"/>
        <v>77.28</v>
      </c>
      <c r="Q1087" s="140" t="s">
        <v>5809</v>
      </c>
      <c r="R1087" s="144">
        <v>0</v>
      </c>
    </row>
    <row r="1088" spans="1:18" ht="21.95" customHeight="1">
      <c r="A1088" s="71" t="s">
        <v>324</v>
      </c>
      <c r="B1088" s="69" t="s">
        <v>4887</v>
      </c>
      <c r="C1088" s="70">
        <v>46011</v>
      </c>
      <c r="D1088" s="69" t="s">
        <v>4888</v>
      </c>
      <c r="E1088" s="69"/>
      <c r="F1088" s="65" t="s">
        <v>4896</v>
      </c>
      <c r="G1088" s="65"/>
      <c r="H1088" s="65" t="str">
        <f>IFERROR(INDEX('Docketed Comments'!C:C,MATCH(A1088,'Docketed Comments'!H:H,0))&amp;", "&amp;INDEX('Docketed Comments'!B:B,MATCH(A1088,'Docketed Comments'!H:H,0)),"")</f>
        <v>Corey, Snyder</v>
      </c>
      <c r="I1088" s="65" t="str">
        <f>IFERROR(INDEX('Docketed Comments'!D:D,MATCH(A1088,'Docketed Comments'!H:H,0)),"")</f>
        <v>Phoenix</v>
      </c>
      <c r="J1088" s="65" t="str">
        <f>IFERROR(INDEX('Docketed Comments'!I:I,MATCH(A1088,'Docketed Comments'!H:H,0)),"")</f>
        <v>R-BASICL</v>
      </c>
      <c r="K1088" s="65" t="str">
        <f t="shared" si="33"/>
        <v>❌ Not on Best Plan</v>
      </c>
      <c r="L1088" s="65" t="str">
        <f>IFERROR(INDEX('Docketed Comments'!F:F,MATCH(A1088,'Docketed Comments'!H:H,0)),"")</f>
        <v>Form letter</v>
      </c>
      <c r="M1088" s="137" t="str">
        <f>IFERROR(HYPERLINK(INDEX('Docketed Comments'!G:G,MATCH(A1088,'Docketed Comments'!H:H,0)),"📄 View Docket"),"")</f>
        <v>📄 View Docket</v>
      </c>
      <c r="N1088" s="135" t="str">
        <f>IFERROR(INDEX('Docketed Comments'!N:N,MATCH(A1088,'Docketed Comments'!H:H,0)),"")</f>
        <v>No</v>
      </c>
      <c r="O1088" s="135" t="str">
        <f>IFERROR(INDEX('Docketed Comments'!L:L,MATCH(A1088,'Docketed Comments'!H:H,0)),"")</f>
        <v>No MEP R3-47 ($1,048.14)</v>
      </c>
      <c r="P1088" s="136">
        <f t="shared" si="32"/>
        <v>1048.1400000000001</v>
      </c>
      <c r="Q1088" s="140" t="s">
        <v>5809</v>
      </c>
      <c r="R1088" s="144">
        <v>0</v>
      </c>
    </row>
    <row r="1089" spans="1:18" ht="21.95" customHeight="1">
      <c r="A1089" s="71" t="s">
        <v>331</v>
      </c>
      <c r="B1089" s="69" t="s">
        <v>4887</v>
      </c>
      <c r="C1089" s="70">
        <v>46011</v>
      </c>
      <c r="D1089" s="69" t="s">
        <v>4888</v>
      </c>
      <c r="E1089" s="69"/>
      <c r="F1089" s="65"/>
      <c r="G1089" s="65"/>
      <c r="H1089" s="65" t="str">
        <f>IFERROR(INDEX('Docketed Comments'!C:C,MATCH(A1089,'Docketed Comments'!H:H,0))&amp;", "&amp;INDEX('Docketed Comments'!B:B,MATCH(A1089,'Docketed Comments'!H:H,0)),"")</f>
        <v>Leighton, Poe</v>
      </c>
      <c r="I1089" s="65" t="str">
        <f>IFERROR(INDEX('Docketed Comments'!D:D,MATCH(A1089,'Docketed Comments'!H:H,0)),"")</f>
        <v>Phoenix</v>
      </c>
      <c r="J1089" s="65" t="str">
        <f>IFERROR(INDEX('Docketed Comments'!I:I,MATCH(A1089,'Docketed Comments'!H:H,0)),"")</f>
        <v>R-BASIC</v>
      </c>
      <c r="K1089" s="65" t="str">
        <f t="shared" si="33"/>
        <v>❌ Not on Best Plan</v>
      </c>
      <c r="L1089" s="65" t="str">
        <f>IFERROR(INDEX('Docketed Comments'!F:F,MATCH(A1089,'Docketed Comments'!H:H,0)),"")</f>
        <v>Form letter</v>
      </c>
      <c r="M1089" s="137" t="str">
        <f>IFERROR(HYPERLINK(INDEX('Docketed Comments'!G:G,MATCH(A1089,'Docketed Comments'!H:H,0)),"📄 View Docket"),"")</f>
        <v>📄 View Docket</v>
      </c>
      <c r="N1089" s="135" t="str">
        <f>IFERROR(INDEX('Docketed Comments'!N:N,MATCH(A1089,'Docketed Comments'!H:H,0)),"")</f>
        <v>No</v>
      </c>
      <c r="O1089" s="135" t="str">
        <f>IFERROR(INDEX('Docketed Comments'!L:L,MATCH(A1089,'Docketed Comments'!H:H,0)),"")</f>
        <v>No MEP RTOUE47($74.06)</v>
      </c>
      <c r="P1089" s="136">
        <f t="shared" si="32"/>
        <v>74.06</v>
      </c>
      <c r="Q1089" s="140" t="s">
        <v>5809</v>
      </c>
      <c r="R1089" s="144">
        <v>0</v>
      </c>
    </row>
    <row r="1090" spans="1:18" ht="21.95" customHeight="1">
      <c r="A1090" s="71" t="s">
        <v>353</v>
      </c>
      <c r="B1090" s="69" t="s">
        <v>4887</v>
      </c>
      <c r="C1090" s="70">
        <v>46011</v>
      </c>
      <c r="D1090" s="69" t="s">
        <v>4888</v>
      </c>
      <c r="E1090" s="69"/>
      <c r="F1090" s="65"/>
      <c r="G1090" s="65"/>
      <c r="H1090" s="65" t="str">
        <f>IFERROR(INDEX('Docketed Comments'!C:C,MATCH(A1090,'Docketed Comments'!H:H,0))&amp;", "&amp;INDEX('Docketed Comments'!B:B,MATCH(A1090,'Docketed Comments'!H:H,0)),"")</f>
        <v>Kyle, Torres</v>
      </c>
      <c r="I1090" s="65" t="str">
        <f>IFERROR(INDEX('Docketed Comments'!D:D,MATCH(A1090,'Docketed Comments'!H:H,0)),"")</f>
        <v>Phoenix</v>
      </c>
      <c r="J1090" s="65" t="str">
        <f>IFERROR(INDEX('Docketed Comments'!I:I,MATCH(A1090,'Docketed Comments'!H:H,0)),"")</f>
        <v>R-BASIC</v>
      </c>
      <c r="K1090" s="65" t="str">
        <f t="shared" si="33"/>
        <v>❌ Not on Best Plan</v>
      </c>
      <c r="L1090" s="65" t="str">
        <f>IFERROR(INDEX('Docketed Comments'!F:F,MATCH(A1090,'Docketed Comments'!H:H,0)),"")</f>
        <v>Form letter</v>
      </c>
      <c r="M1090" s="137" t="str">
        <f>IFERROR(HYPERLINK(INDEX('Docketed Comments'!G:G,MATCH(A1090,'Docketed Comments'!H:H,0)),"📄 View Docket"),"")</f>
        <v>📄 View Docket</v>
      </c>
      <c r="N1090" s="135" t="str">
        <f>IFERROR(INDEX('Docketed Comments'!N:N,MATCH(A1090,'Docketed Comments'!H:H,0)),"")</f>
        <v>No</v>
      </c>
      <c r="O1090" s="135" t="str">
        <f>IFERROR(INDEX('Docketed Comments'!L:L,MATCH(A1090,'Docketed Comments'!H:H,0)),"")</f>
        <v>No MEP R3-47($18.99)</v>
      </c>
      <c r="P1090" s="136">
        <f t="shared" ref="P1090:P1101" si="34">IFERROR(IF(ISNUMBER(SEARCH("$",O1090)),VALUE(SUBSTITUTE(SUBSTITUTE(MID(O1090,FIND("$",O1090)+1,FIND(")",O1090)-FIND("$",O1090)-1),",","")," ","")),VALUE(SUBSTITUTE(SUBSTITUTE(MID(O1090,FIND("(",O1090)+1,FIND(")",O1090)-FIND("(",O1090)-1),",","")," ",""))),0)</f>
        <v>18.989999999999998</v>
      </c>
      <c r="Q1090" s="140" t="s">
        <v>5809</v>
      </c>
      <c r="R1090" s="144">
        <v>0</v>
      </c>
    </row>
    <row r="1091" spans="1:18" ht="21.95" customHeight="1">
      <c r="A1091" s="71" t="s">
        <v>405</v>
      </c>
      <c r="B1091" s="69" t="s">
        <v>4887</v>
      </c>
      <c r="C1091" s="70">
        <v>46011</v>
      </c>
      <c r="D1091" s="69" t="s">
        <v>4888</v>
      </c>
      <c r="E1091" s="69"/>
      <c r="F1091" s="65"/>
      <c r="G1091" s="65"/>
      <c r="H1091" s="65" t="str">
        <f>IFERROR(INDEX('Docketed Comments'!C:C,MATCH(A1091,'Docketed Comments'!H:H,0))&amp;", "&amp;INDEX('Docketed Comments'!B:B,MATCH(A1091,'Docketed Comments'!H:H,0)),"")</f>
        <v>Austin, Harmon</v>
      </c>
      <c r="I1091" s="65" t="str">
        <f>IFERROR(INDEX('Docketed Comments'!D:D,MATCH(A1091,'Docketed Comments'!H:H,0)),"")</f>
        <v>Arizona City</v>
      </c>
      <c r="J1091" s="65" t="str">
        <f>IFERROR(INDEX('Docketed Comments'!I:I,MATCH(A1091,'Docketed Comments'!H:H,0)),"")</f>
        <v>RTOUE47</v>
      </c>
      <c r="K1091" s="65" t="str">
        <f t="shared" ref="K1091:K1101" si="35">IFERROR(IF(OR(LEFT(O1091,2)="No",LEFT(O1091,3)="Not"),"❌ Not on Best Plan",IF(OR(O1091="Yes",O1091="Y",O1091="Yes "),"✅ On Best Plan","⚠ "&amp;O1091)),"")</f>
        <v>❌ Not on Best Plan</v>
      </c>
      <c r="L1091" s="65" t="str">
        <f>IFERROR(INDEX('Docketed Comments'!F:F,MATCH(A1091,'Docketed Comments'!H:H,0)),"")</f>
        <v>Form letter</v>
      </c>
      <c r="M1091" s="137" t="str">
        <f>IFERROR(HYPERLINK(INDEX('Docketed Comments'!G:G,MATCH(A1091,'Docketed Comments'!H:H,0)),"📄 View Docket"),"")</f>
        <v>📄 View Docket</v>
      </c>
      <c r="N1091" s="135" t="str">
        <f>IFERROR(INDEX('Docketed Comments'!N:N,MATCH(A1091,'Docketed Comments'!H:H,0)),"")</f>
        <v>No</v>
      </c>
      <c r="O1091" s="135" t="str">
        <f>IFERROR(INDEX('Docketed Comments'!L:L,MATCH(A1091,'Docketed Comments'!H:H,0)),"")</f>
        <v>No MAEP R-BASIC($56.50)</v>
      </c>
      <c r="P1091" s="136">
        <f t="shared" si="34"/>
        <v>56.5</v>
      </c>
      <c r="Q1091" s="140" t="s">
        <v>5809</v>
      </c>
      <c r="R1091" s="144">
        <v>0</v>
      </c>
    </row>
    <row r="1092" spans="1:18" ht="21.95" customHeight="1">
      <c r="A1092" s="71" t="s">
        <v>501</v>
      </c>
      <c r="B1092" s="69" t="s">
        <v>4887</v>
      </c>
      <c r="C1092" s="70">
        <v>46011</v>
      </c>
      <c r="D1092" s="69" t="s">
        <v>4888</v>
      </c>
      <c r="E1092" s="69"/>
      <c r="F1092" s="65"/>
      <c r="G1092" s="65"/>
      <c r="H1092" s="65" t="str">
        <f>IFERROR(INDEX('Docketed Comments'!C:C,MATCH(A1092,'Docketed Comments'!H:H,0))&amp;", "&amp;INDEX('Docketed Comments'!B:B,MATCH(A1092,'Docketed Comments'!H:H,0)),"")</f>
        <v>Karece, Gardner</v>
      </c>
      <c r="I1092" s="65" t="str">
        <f>IFERROR(INDEX('Docketed Comments'!D:D,MATCH(A1092,'Docketed Comments'!H:H,0)),"")</f>
        <v>Glendale</v>
      </c>
      <c r="J1092" s="65" t="str">
        <f>IFERROR(INDEX('Docketed Comments'!I:I,MATCH(A1092,'Docketed Comments'!H:H,0)),"")</f>
        <v>RTOUE47</v>
      </c>
      <c r="K1092" s="65" t="str">
        <f t="shared" si="35"/>
        <v>❌ Not on Best Plan</v>
      </c>
      <c r="L1092" s="65" t="str">
        <f>IFERROR(INDEX('Docketed Comments'!F:F,MATCH(A1092,'Docketed Comments'!H:H,0)),"")</f>
        <v>Opposed</v>
      </c>
      <c r="M1092" s="137" t="str">
        <f>IFERROR(HYPERLINK(INDEX('Docketed Comments'!G:G,MATCH(A1092,'Docketed Comments'!H:H,0)),"📄 View Docket"),"")</f>
        <v>📄 View Docket</v>
      </c>
      <c r="N1092" s="135" t="str">
        <f>IFERROR(INDEX('Docketed Comments'!N:N,MATCH(A1092,'Docketed Comments'!H:H,0)),"")</f>
        <v>No</v>
      </c>
      <c r="O1092" s="135" t="str">
        <f>IFERROR(INDEX('Docketed Comments'!L:L,MATCH(A1092,'Docketed Comments'!H:H,0)),"")</f>
        <v>No MEP R3-47($216.65)</v>
      </c>
      <c r="P1092" s="136">
        <f t="shared" si="34"/>
        <v>216.65</v>
      </c>
      <c r="Q1092" s="140" t="s">
        <v>5809</v>
      </c>
      <c r="R1092" s="144">
        <v>0</v>
      </c>
    </row>
    <row r="1093" spans="1:18" ht="21.95" customHeight="1">
      <c r="A1093" s="71" t="s">
        <v>550</v>
      </c>
      <c r="B1093" s="69" t="s">
        <v>4887</v>
      </c>
      <c r="C1093" s="70">
        <v>46011</v>
      </c>
      <c r="D1093" s="69" t="s">
        <v>4888</v>
      </c>
      <c r="E1093" s="69"/>
      <c r="F1093" s="65" t="s">
        <v>4936</v>
      </c>
      <c r="G1093" s="65"/>
      <c r="H1093" s="65" t="str">
        <f>IFERROR(INDEX('Docketed Comments'!C:C,MATCH(A1093,'Docketed Comments'!H:H,0))&amp;", "&amp;INDEX('Docketed Comments'!B:B,MATCH(A1093,'Docketed Comments'!H:H,0)),"")</f>
        <v>Taylor, Bednarz</v>
      </c>
      <c r="I1093" s="65" t="str">
        <f>IFERROR(INDEX('Docketed Comments'!D:D,MATCH(A1093,'Docketed Comments'!H:H,0)),"")</f>
        <v>Phoenix</v>
      </c>
      <c r="J1093" s="65" t="str">
        <f>IFERROR(INDEX('Docketed Comments'!I:I,MATCH(A1093,'Docketed Comments'!H:H,0)),"")</f>
        <v>R-BASIC</v>
      </c>
      <c r="K1093" s="65" t="str">
        <f t="shared" si="35"/>
        <v>❌ Not on Best Plan</v>
      </c>
      <c r="L1093" s="65" t="str">
        <f>IFERROR(INDEX('Docketed Comments'!F:F,MATCH(A1093,'Docketed Comments'!H:H,0)),"")</f>
        <v>Form letter</v>
      </c>
      <c r="M1093" s="137" t="str">
        <f>IFERROR(HYPERLINK(INDEX('Docketed Comments'!G:G,MATCH(A1093,'Docketed Comments'!H:H,0)),"📄 View Docket"),"")</f>
        <v>📄 View Docket</v>
      </c>
      <c r="N1093" s="135" t="str">
        <f>IFERROR(INDEX('Docketed Comments'!N:N,MATCH(A1093,'Docketed Comments'!H:H,0)),"")</f>
        <v>No</v>
      </c>
      <c r="O1093" s="135" t="str">
        <f>IFERROR(INDEX('Docketed Comments'!L:L,MATCH(A1093,'Docketed Comments'!H:H,0)),"")</f>
        <v>No MEP R3-47($129.92)</v>
      </c>
      <c r="P1093" s="136">
        <f t="shared" si="34"/>
        <v>129.91999999999999</v>
      </c>
      <c r="Q1093" s="140" t="s">
        <v>5809</v>
      </c>
      <c r="R1093" s="144">
        <v>0</v>
      </c>
    </row>
    <row r="1094" spans="1:18" ht="21.95" customHeight="1">
      <c r="A1094" s="71" t="s">
        <v>5483</v>
      </c>
      <c r="B1094" s="69" t="s">
        <v>111</v>
      </c>
      <c r="C1094" s="70">
        <v>45997</v>
      </c>
      <c r="D1094" s="69" t="s">
        <v>4888</v>
      </c>
      <c r="E1094" s="69"/>
      <c r="F1094" s="65" t="s">
        <v>4903</v>
      </c>
      <c r="G1094" s="65"/>
      <c r="H1094" s="65" t="str">
        <f>IFERROR(INDEX('Docketed Comments'!C:C,MATCH(A1094,'Docketed Comments'!H:H,0))&amp;", "&amp;INDEX('Docketed Comments'!B:B,MATCH(A1094,'Docketed Comments'!H:H,0)),"")</f>
        <v>Jonathan, Rebert</v>
      </c>
      <c r="I1094" s="65" t="str">
        <f>IFERROR(INDEX('Docketed Comments'!D:D,MATCH(A1094,'Docketed Comments'!H:H,0)),"")</f>
        <v>Chandler</v>
      </c>
      <c r="J1094" s="65" t="str">
        <f>IFERROR(INDEX('Docketed Comments'!I:I,MATCH(A1094,'Docketed Comments'!H:H,0)),"")</f>
        <v>R3-47</v>
      </c>
      <c r="K1094" s="65" t="str">
        <f t="shared" si="35"/>
        <v>❌ Not on Best Plan</v>
      </c>
      <c r="L1094" s="65" t="str">
        <f>IFERROR(INDEX('Docketed Comments'!F:F,MATCH(A1094,'Docketed Comments'!H:H,0)),"")</f>
        <v>Form letter</v>
      </c>
      <c r="M1094" s="137" t="str">
        <f>IFERROR(HYPERLINK(INDEX('Docketed Comments'!G:G,MATCH(A1094,'Docketed Comments'!H:H,0)),"📄 View Docket"),"")</f>
        <v>📄 View Docket</v>
      </c>
      <c r="N1094" s="135" t="str">
        <f>IFERROR(INDEX('Docketed Comments'!N:N,MATCH(A1094,'Docketed Comments'!H:H,0)),"")</f>
        <v>No</v>
      </c>
      <c r="O1094" s="135" t="str">
        <f>IFERROR(INDEX('Docketed Comments'!L:L,MATCH(A1094,'Docketed Comments'!H:H,0)),"")</f>
        <v>No MEP R-XS( $250.58)</v>
      </c>
      <c r="P1094" s="136">
        <f t="shared" si="34"/>
        <v>250.58</v>
      </c>
      <c r="Q1094" s="140" t="s">
        <v>5809</v>
      </c>
      <c r="R1094" s="144">
        <v>0</v>
      </c>
    </row>
    <row r="1095" spans="1:18" ht="21.95" customHeight="1">
      <c r="A1095" s="71" t="s">
        <v>5484</v>
      </c>
      <c r="B1095" s="69" t="s">
        <v>4887</v>
      </c>
      <c r="C1095" s="70">
        <v>46011</v>
      </c>
      <c r="D1095" s="69" t="s">
        <v>4888</v>
      </c>
      <c r="E1095" s="69"/>
      <c r="F1095" s="65"/>
      <c r="G1095" s="65"/>
      <c r="H1095" s="65" t="str">
        <f>IFERROR(INDEX('Docketed Comments'!C:C,MATCH(A1095,'Docketed Comments'!H:H,0))&amp;", "&amp;INDEX('Docketed Comments'!B:B,MATCH(A1095,'Docketed Comments'!H:H,0)),"")</f>
        <v>Jacob, Alexander</v>
      </c>
      <c r="I1095" s="65" t="str">
        <f>IFERROR(INDEX('Docketed Comments'!D:D,MATCH(A1095,'Docketed Comments'!H:H,0)),"")</f>
        <v>Peoria</v>
      </c>
      <c r="J1095" s="65" t="str">
        <f>IFERROR(INDEX('Docketed Comments'!I:I,MATCH(A1095,'Docketed Comments'!H:H,0)),"")</f>
        <v>R3-47</v>
      </c>
      <c r="K1095" s="65" t="str">
        <f t="shared" si="35"/>
        <v>✅ On Best Plan</v>
      </c>
      <c r="L1095" s="65" t="str">
        <f>IFERROR(INDEX('Docketed Comments'!F:F,MATCH(A1095,'Docketed Comments'!H:H,0)),"")</f>
        <v>Form letter</v>
      </c>
      <c r="M1095" s="137" t="str">
        <f>IFERROR(HYPERLINK(INDEX('Docketed Comments'!G:G,MATCH(A1095,'Docketed Comments'!H:H,0)),"📄 View Docket"),"")</f>
        <v>📄 View Docket</v>
      </c>
      <c r="N1095" s="135">
        <f>IFERROR(INDEX('Docketed Comments'!N:N,MATCH(A1095,'Docketed Comments'!H:H,0)),"")</f>
        <v>175.19</v>
      </c>
      <c r="O1095" s="135" t="str">
        <f>IFERROR(INDEX('Docketed Comments'!L:L,MATCH(A1095,'Docketed Comments'!H:H,0)),"")</f>
        <v>Yes</v>
      </c>
      <c r="P1095" s="136">
        <f t="shared" si="34"/>
        <v>0</v>
      </c>
      <c r="Q1095" s="140" t="s">
        <v>5809</v>
      </c>
      <c r="R1095" s="144">
        <v>0</v>
      </c>
    </row>
    <row r="1096" spans="1:18" ht="21.95" customHeight="1">
      <c r="A1096" s="71" t="s">
        <v>485</v>
      </c>
      <c r="B1096" s="69" t="s">
        <v>4887</v>
      </c>
      <c r="C1096" s="70">
        <v>46011</v>
      </c>
      <c r="D1096" s="69" t="s">
        <v>4865</v>
      </c>
      <c r="E1096" s="69" t="s">
        <v>4898</v>
      </c>
      <c r="F1096" s="65" t="s">
        <v>4937</v>
      </c>
      <c r="G1096" s="65"/>
      <c r="H1096" s="65" t="str">
        <f>IFERROR(INDEX('Docketed Comments'!C:C,MATCH(A1096,'Docketed Comments'!H:H,0))&amp;", "&amp;INDEX('Docketed Comments'!B:B,MATCH(A1096,'Docketed Comments'!H:H,0)),"")</f>
        <v>Alexander, Roudette</v>
      </c>
      <c r="I1096" s="65" t="str">
        <f>IFERROR(INDEX('Docketed Comments'!D:D,MATCH(A1096,'Docketed Comments'!H:H,0)),"")</f>
        <v>Phoenix</v>
      </c>
      <c r="J1096" s="65" t="str">
        <f>IFERROR(INDEX('Docketed Comments'!I:I,MATCH(A1096,'Docketed Comments'!H:H,0)),"")</f>
        <v>R3-47</v>
      </c>
      <c r="K1096" s="65" t="str">
        <f t="shared" si="35"/>
        <v>✅ On Best Plan</v>
      </c>
      <c r="L1096" s="65" t="str">
        <f>IFERROR(INDEX('Docketed Comments'!F:F,MATCH(A1096,'Docketed Comments'!H:H,0)),"")</f>
        <v>Opposed</v>
      </c>
      <c r="M1096" s="137" t="str">
        <f>IFERROR(HYPERLINK(INDEX('Docketed Comments'!G:G,MATCH(A1096,'Docketed Comments'!H:H,0)),"📄 View Docket"),"")</f>
        <v>📄 View Docket</v>
      </c>
      <c r="N1096" s="135">
        <f>IFERROR(INDEX('Docketed Comments'!N:N,MATCH(A1096,'Docketed Comments'!H:H,0)),"")</f>
        <v>942.59</v>
      </c>
      <c r="O1096" s="135" t="str">
        <f>IFERROR(INDEX('Docketed Comments'!L:L,MATCH(A1096,'Docketed Comments'!H:H,0)),"")</f>
        <v>Yes</v>
      </c>
      <c r="P1096" s="136">
        <f t="shared" si="34"/>
        <v>0</v>
      </c>
      <c r="Q1096" s="140" t="s">
        <v>5809</v>
      </c>
      <c r="R1096" s="144">
        <v>0</v>
      </c>
    </row>
    <row r="1097" spans="1:18" ht="21.95" customHeight="1">
      <c r="A1097" s="71" t="s">
        <v>4610</v>
      </c>
      <c r="B1097" s="69" t="s">
        <v>4887</v>
      </c>
      <c r="C1097" s="70">
        <v>45997</v>
      </c>
      <c r="D1097" s="69" t="s">
        <v>4888</v>
      </c>
      <c r="E1097" s="69"/>
      <c r="F1097" s="65" t="s">
        <v>4938</v>
      </c>
      <c r="G1097" s="65"/>
      <c r="H1097" s="65" t="str">
        <f>IFERROR(INDEX('Docketed Comments'!C:C,MATCH(A1097,'Docketed Comments'!H:H,0))&amp;", "&amp;INDEX('Docketed Comments'!B:B,MATCH(A1097,'Docketed Comments'!H:H,0)),"")</f>
        <v>Rae, Wall</v>
      </c>
      <c r="I1097" s="65" t="str">
        <f>IFERROR(INDEX('Docketed Comments'!D:D,MATCH(A1097,'Docketed Comments'!H:H,0)),"")</f>
        <v>Glendale</v>
      </c>
      <c r="J1097" s="65" t="str">
        <f>IFERROR(INDEX('Docketed Comments'!I:I,MATCH(A1097,'Docketed Comments'!H:H,0)),"")</f>
        <v>R3-47</v>
      </c>
      <c r="K1097" s="65" t="str">
        <f t="shared" si="35"/>
        <v>✅ On Best Plan</v>
      </c>
      <c r="L1097" s="65" t="str">
        <f>IFERROR(INDEX('Docketed Comments'!F:F,MATCH(A1097,'Docketed Comments'!H:H,0)),"")</f>
        <v>Opposed</v>
      </c>
      <c r="M1097" s="137" t="str">
        <f>IFERROR(HYPERLINK(INDEX('Docketed Comments'!G:G,MATCH(A1097,'Docketed Comments'!H:H,0)),"📄 View Docket"),"")</f>
        <v>📄 View Docket</v>
      </c>
      <c r="N1097" s="135" t="str">
        <f>IFERROR(INDEX('Docketed Comments'!N:N,MATCH(A1097,'Docketed Comments'!H:H,0)),"")</f>
        <v>No</v>
      </c>
      <c r="O1097" s="135" t="str">
        <f>IFERROR(INDEX('Docketed Comments'!L:L,MATCH(A1097,'Docketed Comments'!H:H,0)),"")</f>
        <v>Yes</v>
      </c>
      <c r="P1097" s="136">
        <f t="shared" si="34"/>
        <v>0</v>
      </c>
      <c r="Q1097" s="140" t="s">
        <v>5809</v>
      </c>
      <c r="R1097" s="144">
        <v>0</v>
      </c>
    </row>
    <row r="1098" spans="1:18" ht="21.95" customHeight="1">
      <c r="A1098" s="71" t="s">
        <v>5485</v>
      </c>
      <c r="B1098" s="69" t="s">
        <v>4887</v>
      </c>
      <c r="C1098" s="70">
        <v>45997</v>
      </c>
      <c r="D1098" s="69" t="s">
        <v>4888</v>
      </c>
      <c r="E1098" s="69"/>
      <c r="F1098" s="65" t="s">
        <v>4938</v>
      </c>
      <c r="G1098" s="65"/>
      <c r="H1098" s="65" t="str">
        <f>IFERROR(INDEX('Docketed Comments'!C:C,MATCH(A1098,'Docketed Comments'!H:H,0))&amp;", "&amp;INDEX('Docketed Comments'!B:B,MATCH(A1098,'Docketed Comments'!H:H,0)),"")</f>
        <v>Crystal, Phillips</v>
      </c>
      <c r="I1098" s="65" t="str">
        <f>IFERROR(INDEX('Docketed Comments'!D:D,MATCH(A1098,'Docketed Comments'!H:H,0)),"")</f>
        <v xml:space="preserve">Young </v>
      </c>
      <c r="J1098" s="65" t="str">
        <f>IFERROR(INDEX('Docketed Comments'!I:I,MATCH(A1098,'Docketed Comments'!H:H,0)),"")</f>
        <v>R3-47</v>
      </c>
      <c r="K1098" s="65" t="str">
        <f t="shared" si="35"/>
        <v>✅ On Best Plan</v>
      </c>
      <c r="L1098" s="65" t="str">
        <f>IFERROR(INDEX('Docketed Comments'!F:F,MATCH(A1098,'Docketed Comments'!H:H,0)),"")</f>
        <v>Opposed</v>
      </c>
      <c r="M1098" s="137" t="str">
        <f>IFERROR(HYPERLINK(INDEX('Docketed Comments'!G:G,MATCH(A1098,'Docketed Comments'!H:H,0)),"📄 View Docket"),"")</f>
        <v>📄 View Docket</v>
      </c>
      <c r="N1098" s="135" t="str">
        <f>IFERROR(INDEX('Docketed Comments'!N:N,MATCH(A1098,'Docketed Comments'!H:H,0)),"")</f>
        <v>No</v>
      </c>
      <c r="O1098" s="135" t="str">
        <f>IFERROR(INDEX('Docketed Comments'!L:L,MATCH(A1098,'Docketed Comments'!H:H,0)),"")</f>
        <v>Yes</v>
      </c>
      <c r="P1098" s="136">
        <f t="shared" si="34"/>
        <v>0</v>
      </c>
      <c r="Q1098" s="140" t="s">
        <v>5809</v>
      </c>
      <c r="R1098" s="144">
        <v>0</v>
      </c>
    </row>
    <row r="1099" spans="1:18" ht="21.95" customHeight="1">
      <c r="A1099" s="71" t="s">
        <v>74</v>
      </c>
      <c r="B1099" s="69" t="s">
        <v>4887</v>
      </c>
      <c r="C1099" s="70">
        <v>45997</v>
      </c>
      <c r="D1099" s="69" t="s">
        <v>4888</v>
      </c>
      <c r="E1099" s="69"/>
      <c r="F1099" s="65"/>
      <c r="G1099" s="65"/>
      <c r="H1099" s="65" t="str">
        <f>IFERROR(INDEX('Docketed Comments'!C:C,MATCH(A1099,'Docketed Comments'!H:H,0))&amp;", "&amp;INDEX('Docketed Comments'!B:B,MATCH(A1099,'Docketed Comments'!H:H,0)),"")</f>
        <v>Jodi, Paulsen</v>
      </c>
      <c r="I1099" s="65" t="str">
        <f>IFERROR(INDEX('Docketed Comments'!D:D,MATCH(A1099,'Docketed Comments'!H:H,0)),"")</f>
        <v>Unknown</v>
      </c>
      <c r="J1099" s="65" t="str">
        <f>IFERROR(INDEX('Docketed Comments'!I:I,MATCH(A1099,'Docketed Comments'!H:H,0)),"")</f>
        <v>EPR-6w/ET-1</v>
      </c>
      <c r="K1099" s="65" t="str">
        <f t="shared" si="35"/>
        <v>❌ Not on Best Plan</v>
      </c>
      <c r="L1099" s="65" t="str">
        <f>IFERROR(INDEX('Docketed Comments'!F:F,MATCH(A1099,'Docketed Comments'!H:H,0)),"")</f>
        <v>Opposed</v>
      </c>
      <c r="M1099" s="137" t="str">
        <f>IFERROR(HYPERLINK(INDEX('Docketed Comments'!G:G,MATCH(A1099,'Docketed Comments'!H:H,0)),"📄 View Docket"),"")</f>
        <v>📄 View Docket</v>
      </c>
      <c r="N1099" s="135" t="str">
        <f>IFERROR(INDEX('Docketed Comments'!N:N,MATCH(A1099,'Docketed Comments'!H:H,0)),"")</f>
        <v>No</v>
      </c>
      <c r="O1099" s="135" t="str">
        <f>IFERROR(INDEX('Docketed Comments'!L:L,MATCH(A1099,'Docketed Comments'!H:H,0)),"")</f>
        <v>Not able to Compare</v>
      </c>
      <c r="P1099" s="136">
        <f t="shared" si="34"/>
        <v>0</v>
      </c>
      <c r="Q1099" s="140" t="s">
        <v>5809</v>
      </c>
      <c r="R1099" s="144">
        <v>0</v>
      </c>
    </row>
    <row r="1100" spans="1:18" ht="21.95" customHeight="1">
      <c r="A1100" s="71" t="s">
        <v>5486</v>
      </c>
      <c r="B1100" s="69" t="s">
        <v>111</v>
      </c>
      <c r="C1100" s="70">
        <v>45997</v>
      </c>
      <c r="D1100" s="69" t="s">
        <v>4865</v>
      </c>
      <c r="E1100" s="69"/>
      <c r="F1100" s="65" t="s">
        <v>4891</v>
      </c>
      <c r="G1100" s="65"/>
      <c r="H1100" s="65" t="str">
        <f>IFERROR(INDEX('Docketed Comments'!C:C,MATCH(A1100,'Docketed Comments'!H:H,0))&amp;", "&amp;INDEX('Docketed Comments'!B:B,MATCH(A1100,'Docketed Comments'!H:H,0)),"")</f>
        <v>Enrique, Figueroa</v>
      </c>
      <c r="I1100" s="65" t="str">
        <f>IFERROR(INDEX('Docketed Comments'!D:D,MATCH(A1100,'Docketed Comments'!H:H,0)),"")</f>
        <v>Gilbert</v>
      </c>
      <c r="J1100" s="65" t="str">
        <f>IFERROR(INDEX('Docketed Comments'!I:I,MATCH(A1100,'Docketed Comments'!H:H,0)),"")</f>
        <v>R3-47</v>
      </c>
      <c r="K1100" s="65" t="str">
        <f t="shared" si="35"/>
        <v>✅ On Best Plan</v>
      </c>
      <c r="L1100" s="65" t="str">
        <f>IFERROR(INDEX('Docketed Comments'!F:F,MATCH(A1100,'Docketed Comments'!H:H,0)),"")</f>
        <v>Opposed</v>
      </c>
      <c r="M1100" s="137" t="str">
        <f>IFERROR(HYPERLINK(INDEX('Docketed Comments'!G:G,MATCH(A1100,'Docketed Comments'!H:H,0)),"📄 View Docket"),"")</f>
        <v>📄 View Docket</v>
      </c>
      <c r="N1100" s="135" t="str">
        <f>IFERROR(INDEX('Docketed Comments'!N:N,MATCH(A1100,'Docketed Comments'!H:H,0)),"")</f>
        <v>No</v>
      </c>
      <c r="O1100" s="135" t="str">
        <f>IFERROR(INDEX('Docketed Comments'!L:L,MATCH(A1100,'Docketed Comments'!H:H,0)),"")</f>
        <v>Yes</v>
      </c>
      <c r="P1100" s="136">
        <f t="shared" si="34"/>
        <v>0</v>
      </c>
      <c r="Q1100" s="140" t="s">
        <v>5809</v>
      </c>
      <c r="R1100" s="144">
        <v>0</v>
      </c>
    </row>
    <row r="1101" spans="1:18" ht="21.95" customHeight="1">
      <c r="A1101" s="71" t="s">
        <v>1352</v>
      </c>
      <c r="B1101" s="69" t="s">
        <v>111</v>
      </c>
      <c r="C1101" s="70">
        <v>45997</v>
      </c>
      <c r="D1101" s="69" t="s">
        <v>4888</v>
      </c>
      <c r="E1101" s="69"/>
      <c r="F1101" s="65" t="s">
        <v>4902</v>
      </c>
      <c r="G1101" s="65"/>
      <c r="H1101" s="65" t="str">
        <f>IFERROR(INDEX('Docketed Comments'!C:C,MATCH(A1101,'Docketed Comments'!H:H,0))&amp;", "&amp;INDEX('Docketed Comments'!B:B,MATCH(A1101,'Docketed Comments'!H:H,0)),"")</f>
        <v>Robert, Kuri</v>
      </c>
      <c r="I1101" s="65" t="str">
        <f>IFERROR(INDEX('Docketed Comments'!D:D,MATCH(A1101,'Docketed Comments'!H:H,0)),"")</f>
        <v>Waddell</v>
      </c>
      <c r="J1101" s="65" t="str">
        <f>IFERROR(INDEX('Docketed Comments'!I:I,MATCH(A1101,'Docketed Comments'!H:H,0)),"")</f>
        <v>RCPw/RTOUE47</v>
      </c>
      <c r="K1101" s="65" t="str">
        <f t="shared" si="35"/>
        <v>✅ On Best Plan</v>
      </c>
      <c r="L1101" s="65" t="str">
        <f>IFERROR(INDEX('Docketed Comments'!F:F,MATCH(A1101,'Docketed Comments'!H:H,0)),"")</f>
        <v>Opposed</v>
      </c>
      <c r="M1101" s="137" t="str">
        <f>IFERROR(HYPERLINK(INDEX('Docketed Comments'!G:G,MATCH(A1101,'Docketed Comments'!H:H,0)),"📄 View Docket"),"")</f>
        <v>📄 View Docket</v>
      </c>
      <c r="N1101" s="135" t="str">
        <f>IFERROR(INDEX('Docketed Comments'!N:N,MATCH(A1101,'Docketed Comments'!H:H,0)),"")</f>
        <v>No</v>
      </c>
      <c r="O1101" s="135" t="str">
        <f>IFERROR(INDEX('Docketed Comments'!L:L,MATCH(A1101,'Docketed Comments'!H:H,0)),"")</f>
        <v>Yes</v>
      </c>
      <c r="P1101" s="136">
        <f t="shared" si="34"/>
        <v>0</v>
      </c>
      <c r="Q1101" s="140" t="s">
        <v>5809</v>
      </c>
      <c r="R1101" s="144">
        <v>0</v>
      </c>
    </row>
    <row r="1102" spans="1:18" ht="21.95" customHeight="1"/>
    <row r="1103" spans="1:18" ht="21.95" customHeight="1"/>
    <row r="1104" spans="1:18" ht="21.95" customHeight="1"/>
    <row r="1105" ht="21.95" customHeight="1"/>
    <row r="1106" ht="21.95" customHeight="1"/>
    <row r="1107" ht="21.95" customHeight="1"/>
    <row r="1108" ht="21.95" customHeight="1"/>
    <row r="1109" ht="21.95" customHeight="1"/>
    <row r="1110" ht="21.95" customHeight="1"/>
    <row r="1111" ht="21.95" customHeight="1"/>
    <row r="1112" ht="21.95" customHeight="1"/>
    <row r="1113" ht="21.95" customHeight="1"/>
    <row r="1114" ht="21.95" customHeight="1"/>
    <row r="1115" ht="21.95" customHeight="1"/>
    <row r="1116" ht="21.95" customHeight="1"/>
    <row r="1117" ht="21.95" customHeight="1"/>
    <row r="1118" ht="21.95" customHeight="1"/>
    <row r="1119" ht="21.95" customHeight="1"/>
    <row r="1120" ht="21.95" customHeight="1"/>
    <row r="1121" ht="21.95" customHeight="1"/>
    <row r="1122" ht="21.95" customHeight="1"/>
    <row r="1123" ht="21.95" customHeight="1"/>
    <row r="1124" ht="21.95" customHeight="1"/>
    <row r="1125" ht="21.95" customHeight="1"/>
    <row r="1126" ht="21.95" customHeight="1"/>
    <row r="1127" ht="21.95" customHeight="1"/>
    <row r="1128" ht="21.95" customHeight="1"/>
    <row r="1129" ht="21.95" customHeight="1"/>
    <row r="1130" ht="21.95" customHeight="1"/>
    <row r="1131" ht="21.95" customHeight="1"/>
    <row r="1132" ht="21.95" customHeight="1"/>
    <row r="1133" ht="21.95" customHeight="1"/>
    <row r="1134" ht="21.95" customHeight="1"/>
    <row r="1135" ht="21.95" customHeight="1"/>
    <row r="1136" ht="21.95" customHeight="1"/>
    <row r="1137" ht="21.95" customHeight="1"/>
    <row r="1138" ht="21.95" customHeight="1"/>
    <row r="1139" ht="21.95" customHeight="1"/>
    <row r="1140" ht="21.95" customHeight="1"/>
    <row r="1141" ht="21.95" customHeight="1"/>
    <row r="1142" ht="21.95" customHeight="1"/>
    <row r="1143" ht="21.95" customHeight="1"/>
    <row r="1144" ht="21.95" customHeight="1"/>
    <row r="1145" ht="21.95" customHeight="1"/>
    <row r="1146" ht="21.95" customHeight="1"/>
    <row r="1147" ht="21.95" customHeight="1"/>
    <row r="1148" ht="21.95" customHeight="1"/>
    <row r="1149" ht="21.95" customHeight="1"/>
    <row r="1150" ht="21.95" customHeight="1"/>
    <row r="1151" ht="21.95" customHeight="1"/>
    <row r="1152" ht="21.95" customHeight="1"/>
    <row r="1153" ht="21.95" customHeight="1"/>
    <row r="1154" ht="21.95" customHeight="1"/>
    <row r="1155" ht="21.95" customHeight="1"/>
    <row r="1156" ht="21.95" customHeight="1"/>
    <row r="1157" ht="21.95" customHeight="1"/>
    <row r="1158" ht="21.95" customHeight="1"/>
    <row r="1159" ht="21.95" customHeight="1"/>
    <row r="1160" ht="21.95" customHeight="1"/>
    <row r="1161" ht="21.95" customHeight="1"/>
    <row r="1162" ht="21.95" customHeight="1"/>
    <row r="1163" ht="21.95" customHeight="1"/>
    <row r="1164" ht="21.95" customHeight="1"/>
    <row r="1165" ht="21.95" customHeight="1"/>
    <row r="1166" ht="21.95" customHeight="1"/>
    <row r="1167" ht="21.95" customHeight="1"/>
    <row r="1168" ht="21.95" customHeight="1"/>
    <row r="1169" ht="21.95" customHeight="1"/>
    <row r="1170" ht="21.95" customHeight="1"/>
    <row r="1171" ht="21.95" customHeight="1"/>
    <row r="1172" ht="21.95" customHeight="1"/>
    <row r="1173" ht="21.95" customHeight="1"/>
    <row r="1174" ht="21.95" customHeight="1"/>
    <row r="1175" ht="21.95" customHeight="1"/>
    <row r="1176" ht="21.95" customHeight="1"/>
    <row r="1177" ht="21.95" customHeight="1"/>
    <row r="1178" ht="21.95" customHeight="1"/>
    <row r="1179" ht="21.95" customHeight="1"/>
    <row r="1180" ht="21.95" customHeight="1"/>
    <row r="1181" ht="21.95" customHeight="1"/>
    <row r="1182" ht="21.95" customHeight="1"/>
    <row r="1183" ht="21.95" customHeight="1"/>
    <row r="1184" ht="21.95" customHeight="1"/>
    <row r="1185" ht="21.95" customHeight="1"/>
    <row r="1186" ht="21.95" customHeight="1"/>
    <row r="1187" ht="21.95" customHeight="1"/>
    <row r="1188" ht="21.95" customHeight="1"/>
    <row r="1189" ht="21.95" customHeight="1"/>
    <row r="1190" ht="21.95" customHeight="1"/>
    <row r="1191" ht="21.95" customHeight="1"/>
    <row r="1192" ht="21.95" customHeight="1"/>
    <row r="1193" ht="21.95" customHeight="1"/>
    <row r="1194" ht="21.95" customHeight="1"/>
    <row r="1195" ht="21.95" customHeight="1"/>
    <row r="1196" ht="21.95" customHeight="1"/>
    <row r="1197" ht="21.95" customHeight="1"/>
    <row r="1198" ht="21.95" customHeight="1"/>
    <row r="1199" ht="21.95" customHeight="1"/>
    <row r="1200" ht="21.95" customHeight="1"/>
    <row r="1201" ht="21.95" customHeight="1"/>
    <row r="1202" ht="21.95" customHeight="1"/>
    <row r="1203" ht="21.95" customHeight="1"/>
    <row r="1204" ht="21.95" customHeight="1"/>
    <row r="1205" ht="21.95" customHeight="1"/>
    <row r="1206" ht="21.95" customHeight="1"/>
    <row r="1207" ht="21.95" customHeight="1"/>
    <row r="1208" ht="21.95" customHeight="1"/>
    <row r="1209" ht="21.95" customHeight="1"/>
    <row r="1210" ht="21.95" customHeight="1"/>
    <row r="1211" ht="21.95" customHeight="1"/>
    <row r="1212" ht="21.95" customHeight="1"/>
    <row r="1213" ht="21.95" customHeight="1"/>
    <row r="1214" ht="21.95" customHeight="1"/>
    <row r="1215" ht="21.95" customHeight="1"/>
    <row r="1216" ht="21.95" customHeight="1"/>
    <row r="1217" ht="21.95" customHeight="1"/>
    <row r="1218" ht="21.95" customHeight="1"/>
    <row r="1219" ht="21.95" customHeight="1"/>
    <row r="1220" ht="21.95" customHeight="1"/>
    <row r="1221" ht="21.95" customHeight="1"/>
    <row r="1222" ht="21.95" customHeight="1"/>
    <row r="1223" ht="21.95" customHeight="1"/>
    <row r="1224" ht="21.95" customHeight="1"/>
    <row r="1225" ht="21.95" customHeight="1"/>
    <row r="1226" ht="21.95" customHeight="1"/>
    <row r="1227" ht="21.95" customHeight="1"/>
    <row r="1228" ht="21.95" customHeight="1"/>
    <row r="1229" ht="21.95" customHeight="1"/>
    <row r="1230" ht="21.95" customHeight="1"/>
    <row r="1231" ht="21.95" customHeight="1"/>
    <row r="1232" ht="21.95" customHeight="1"/>
    <row r="1233" ht="21.95" customHeight="1"/>
    <row r="1234" ht="21.95" customHeight="1"/>
    <row r="1235" ht="21.95" customHeight="1"/>
    <row r="1236" ht="21.95" customHeight="1"/>
    <row r="1237" ht="21.95" customHeight="1"/>
    <row r="1238" ht="21.95" customHeight="1"/>
    <row r="1239" ht="21.95" customHeight="1"/>
    <row r="1240" ht="21.95" customHeight="1"/>
    <row r="1241" ht="21.95" customHeight="1"/>
    <row r="1242" ht="21.95" customHeight="1"/>
    <row r="1243" ht="21.95" customHeight="1"/>
    <row r="1244" ht="21.95" customHeight="1"/>
    <row r="1245" ht="21.95" customHeight="1"/>
    <row r="1246" ht="21.95" customHeight="1"/>
    <row r="1247" ht="21.95" customHeight="1"/>
    <row r="1248" ht="21.95" customHeight="1"/>
    <row r="1249" ht="21.95" customHeight="1"/>
    <row r="1250" ht="21.95" customHeight="1"/>
    <row r="1251" ht="21.95" customHeight="1"/>
    <row r="1252" ht="21.95" customHeight="1"/>
    <row r="1253" ht="21.95" customHeight="1"/>
    <row r="1254" ht="21.95" customHeight="1"/>
    <row r="1255" ht="21.95" customHeight="1"/>
    <row r="1256" ht="21.95" customHeight="1"/>
    <row r="1257" ht="21.95" customHeight="1"/>
    <row r="1258" ht="21.95" customHeight="1"/>
    <row r="1259" ht="21.95" customHeight="1"/>
    <row r="1260" ht="21.95" customHeight="1"/>
    <row r="1261" ht="21.95" customHeight="1"/>
    <row r="1262" ht="21.95" customHeight="1"/>
    <row r="1263" ht="21.95" customHeight="1"/>
    <row r="1264" ht="21.95" customHeight="1"/>
    <row r="1265" ht="21.95" customHeight="1"/>
    <row r="1266" ht="21.95" customHeight="1"/>
    <row r="1267" ht="21.95" customHeight="1"/>
    <row r="1268" ht="21.95" customHeight="1"/>
    <row r="1269" ht="21.95" customHeight="1"/>
    <row r="1270" ht="21.95" customHeight="1"/>
    <row r="1271" ht="21.95" customHeight="1"/>
    <row r="1272" ht="21.95" customHeight="1"/>
    <row r="1273" ht="21.95" customHeight="1"/>
    <row r="1274" ht="21.95" customHeight="1"/>
    <row r="1275" ht="21.95" customHeight="1"/>
    <row r="1276" ht="21.95" customHeight="1"/>
    <row r="1277" ht="21.95" customHeight="1"/>
    <row r="1278" ht="21.95" customHeight="1"/>
    <row r="1279" ht="21.95" customHeight="1"/>
    <row r="1280" ht="21.95" customHeight="1"/>
    <row r="1281" ht="21.95" customHeight="1"/>
    <row r="1282" ht="21.95" customHeight="1"/>
    <row r="1283" ht="21.95" customHeight="1"/>
    <row r="1284" ht="21.95" customHeight="1"/>
    <row r="1285" ht="21.95" customHeight="1"/>
    <row r="1286" ht="21.95" customHeight="1"/>
    <row r="1287" ht="21.95" customHeight="1"/>
    <row r="1288" ht="21.95" customHeight="1"/>
    <row r="1289" ht="21.95" customHeight="1"/>
    <row r="1290" ht="21.95" customHeight="1"/>
    <row r="1291" ht="21.95" customHeight="1"/>
    <row r="1292" ht="21.95" customHeight="1"/>
    <row r="1293" ht="21.95" customHeight="1"/>
    <row r="1294" ht="21.95" customHeight="1"/>
    <row r="1295" ht="21.95" customHeight="1"/>
    <row r="1296" ht="21.95" customHeight="1"/>
    <row r="1297" ht="21.95" customHeight="1"/>
    <row r="1298" ht="21.95" customHeight="1"/>
    <row r="1299" ht="21.95" customHeight="1"/>
    <row r="1300" ht="21.95" customHeight="1"/>
    <row r="1301" ht="21.95" customHeight="1"/>
    <row r="1302" ht="21.95" customHeight="1"/>
    <row r="1303" ht="21.95" customHeight="1"/>
  </sheetData>
  <conditionalFormatting sqref="A2:L1101">
    <cfRule type="expression" dxfId="11" priority="1">
      <formula>$B2&lt;&gt;""</formula>
    </cfRule>
    <cfRule type="expression" dxfId="10" priority="2">
      <formula>AND($G2="P1 🔴",$B2="")</formula>
    </cfRule>
  </conditionalFormatting>
  <conditionalFormatting sqref="G2:G1101">
    <cfRule type="containsText" dxfId="9" priority="3" operator="containsText" text="P1">
      <formula>NOT(ISERROR(SEARCH("P1",G2)))</formula>
    </cfRule>
    <cfRule type="containsText" dxfId="8" priority="4" operator="containsText" text="P2">
      <formula>NOT(ISERROR(SEARCH("P2",G2)))</formula>
    </cfRule>
    <cfRule type="containsText" dxfId="7" priority="5" operator="containsText" text="P3">
      <formula>NOT(ISERROR(SEARCH("P3",G2)))</formula>
    </cfRule>
    <cfRule type="containsText" dxfId="6" priority="6" operator="containsText" text="P4">
      <formula>NOT(ISERROR(SEARCH("P4",G2)))</formula>
    </cfRule>
    <cfRule type="containsText" dxfId="5" priority="7" operator="containsText" text="Called">
      <formula>NOT(ISERROR(SEARCH("Called",G2)))</formula>
    </cfRule>
  </conditionalFormatting>
  <conditionalFormatting sqref="N2:N1101">
    <cfRule type="expression" dxfId="4" priority="10">
      <formula>AND(ISNUMBER(N2),N2&gt;0)</formula>
    </cfRule>
  </conditionalFormatting>
  <conditionalFormatting sqref="O2:O1101">
    <cfRule type="containsText" dxfId="3" priority="11" operator="containsText" text="No">
      <formula>NOT(ISERROR(SEARCH("No",O2)))</formula>
    </cfRule>
    <cfRule type="containsText" dxfId="2" priority="12" operator="containsText" text="Yes">
      <formula>NOT(ISERROR(SEARCH("Yes",O2)))</formula>
    </cfRule>
  </conditionalFormatting>
  <conditionalFormatting sqref="P2:P1101">
    <cfRule type="colorScale" priority="8">
      <colorScale>
        <cfvo type="min"/>
        <cfvo type="num" val="200"/>
        <cfvo type="max"/>
        <color rgb="FFFFFFFF"/>
        <color rgb="FFFFB74D"/>
        <color rgb="FFD32F2F"/>
      </colorScale>
    </cfRule>
    <cfRule type="dataBar" priority="9">
      <dataBar>
        <cfvo type="min"/>
        <cfvo type="max"/>
        <color rgb="FFE65100"/>
      </dataBar>
      <extLst>
        <ext xmlns:x14="http://schemas.microsoft.com/office/spreadsheetml/2009/9/main" uri="{B025F937-C7B1-47D3-B67F-A62EFF666E3E}">
          <x14:id>{E2FF9512-1E9D-4B51-9C94-98751AF352F2}</x14:id>
        </ext>
      </extLst>
    </cfRule>
  </conditionalFormatting>
  <dataValidations count="3">
    <dataValidation type="list" allowBlank="1" showInputMessage="1" showErrorMessage="1" sqref="D2:D2000" xr:uid="{C4891DA4-D66E-4000-9285-2E35B9668E8D}">
      <formula1>"YES,NO"</formula1>
    </dataValidation>
    <dataValidation type="list" allowBlank="1" showInputMessage="1" showErrorMessage="1" sqref="E2:E2000" xr:uid="{13E7A186-D854-49D5-9D98-AFF5CDB69A3E}">
      <formula1>"General Education,Rate Change,Updated/New PA,Utility Assistance,E3/E4,Other (fill in)"</formula1>
    </dataValidation>
    <dataValidation type="list" allowBlank="1" showInputMessage="1" showErrorMessage="1" sqref="B2:B2000" xr:uid="{35646595-0586-4E93-B9B9-B21E7FBF6674}">
      <formula1>"Michelle,Joaquin"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2FF9512-1E9D-4B51-9C94-98751AF352F2}">
            <x14:dataBar minLength="0" maxLength="100" border="1" direction="leftToRight" negativeBarColorSameAsPositive="1" axisPosition="none">
              <x14:cfvo type="min"/>
              <x14:cfvo type="max"/>
              <x14:borderColor rgb="FFBF360C"/>
            </x14:dataBar>
          </x14:cfRule>
          <xm:sqref>P2:P1101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56AD5-41D1-4D4E-B1EF-F251580D972B}">
  <sheetPr>
    <tabColor rgb="FFBF360C"/>
  </sheetPr>
  <dimension ref="A1:N60"/>
  <sheetViews>
    <sheetView tabSelected="1" workbookViewId="0">
      <selection activeCell="D26" sqref="D26"/>
    </sheetView>
  </sheetViews>
  <sheetFormatPr defaultColWidth="8.85546875" defaultRowHeight="15" outlineLevelCol="1"/>
  <cols>
    <col min="1" max="1" width="2.85546875" customWidth="1"/>
    <col min="2" max="7" width="22.85546875" customWidth="1"/>
    <col min="8" max="8" width="2.85546875" customWidth="1"/>
    <col min="9" max="9" width="20" bestFit="1" customWidth="1"/>
    <col min="10" max="10" width="20.28515625" hidden="1" customWidth="1" outlineLevel="1"/>
    <col min="11" max="11" width="7.42578125" hidden="1" customWidth="1" outlineLevel="1"/>
    <col min="12" max="12" width="15.42578125" hidden="1" customWidth="1" outlineLevel="1"/>
    <col min="13" max="13" width="21.85546875" hidden="1" customWidth="1" outlineLevel="1"/>
    <col min="14" max="14" width="14.42578125" bestFit="1" customWidth="1" collapsed="1"/>
    <col min="16" max="16" width="26.140625" bestFit="1" customWidth="1"/>
  </cols>
  <sheetData>
    <row r="1" spans="1:8" ht="6" customHeight="1">
      <c r="A1" s="66"/>
      <c r="B1" s="66"/>
      <c r="C1" s="66"/>
      <c r="D1" s="66"/>
      <c r="E1" s="66"/>
      <c r="F1" s="66"/>
      <c r="G1" s="66"/>
      <c r="H1" s="66"/>
    </row>
    <row r="2" spans="1:8" ht="38.1" customHeight="1">
      <c r="A2" s="66"/>
      <c r="B2" s="138" t="s">
        <v>5783</v>
      </c>
      <c r="C2" s="139"/>
      <c r="D2" s="139"/>
      <c r="E2" s="139"/>
      <c r="F2" s="139"/>
      <c r="G2" s="139"/>
      <c r="H2" s="66"/>
    </row>
    <row r="3" spans="1:8" ht="6" customHeight="1">
      <c r="A3" s="66"/>
      <c r="B3" s="66"/>
      <c r="C3" s="66"/>
      <c r="D3" s="66"/>
      <c r="E3" s="66"/>
      <c r="F3" s="66"/>
      <c r="G3" s="66"/>
      <c r="H3" s="66"/>
    </row>
    <row r="4" spans="1:8" ht="20.100000000000001" customHeight="1">
      <c r="A4" s="66"/>
      <c r="B4" s="99" t="s">
        <v>5784</v>
      </c>
      <c r="C4" s="102" t="s">
        <v>5785</v>
      </c>
      <c r="D4" s="107" t="s">
        <v>5786</v>
      </c>
      <c r="E4" s="109" t="s">
        <v>4913</v>
      </c>
      <c r="F4" s="122" t="s">
        <v>5787</v>
      </c>
      <c r="G4" s="118" t="s">
        <v>5802</v>
      </c>
      <c r="H4" s="66"/>
    </row>
    <row r="5" spans="1:8" ht="42" customHeight="1">
      <c r="A5" s="66"/>
      <c r="B5" s="98">
        <f>COUNTA('Docketed Comments'!B2:B1949)</f>
        <v>1946</v>
      </c>
      <c r="C5" s="101" cm="1">
        <f t="array" ref="C5">SUMPRODUCT(('Call Tracker'!A2:A2000&lt;&gt;"")*1)</f>
        <v>1100</v>
      </c>
      <c r="D5" s="104">
        <f>COUNTA('Call Tracker'!B2:B2000)</f>
        <v>399</v>
      </c>
      <c r="E5" s="131">
        <f>C5-D5</f>
        <v>701</v>
      </c>
      <c r="F5" s="111">
        <f>D5/C5</f>
        <v>0.36272727272727273</v>
      </c>
      <c r="G5" s="133">
        <f>COUNTIF('Call Tracker'!D2:D2000,"YES")</f>
        <v>244</v>
      </c>
      <c r="H5" s="66"/>
    </row>
    <row r="6" spans="1:8" ht="15.95" customHeight="1">
      <c r="A6" s="66"/>
      <c r="B6" s="100" t="s">
        <v>5788</v>
      </c>
      <c r="C6" s="103" t="s">
        <v>5789</v>
      </c>
      <c r="D6" s="108" t="s">
        <v>4917</v>
      </c>
      <c r="E6" s="110" t="s">
        <v>5790</v>
      </c>
      <c r="F6" s="123" t="s">
        <v>5791</v>
      </c>
      <c r="G6" s="119" t="s">
        <v>5803</v>
      </c>
      <c r="H6" s="66"/>
    </row>
    <row r="7" spans="1:8" ht="8.1" customHeight="1">
      <c r="A7" s="66"/>
      <c r="B7" s="66"/>
      <c r="C7" s="66"/>
      <c r="D7" s="66"/>
      <c r="E7" s="66"/>
      <c r="F7" s="66"/>
      <c r="G7" s="66"/>
      <c r="H7" s="66"/>
    </row>
    <row r="8" spans="1:8" ht="39.950000000000003" customHeight="1">
      <c r="A8" s="66"/>
      <c r="B8" s="89" t="s">
        <v>5792</v>
      </c>
      <c r="C8" s="90"/>
      <c r="D8" s="90"/>
      <c r="E8" s="90"/>
      <c r="F8" s="90"/>
      <c r="G8" s="90"/>
      <c r="H8" s="66"/>
    </row>
    <row r="9" spans="1:8" ht="39.950000000000003" customHeight="1">
      <c r="A9" s="66"/>
      <c r="B9" s="126" t="s">
        <v>5793</v>
      </c>
      <c r="C9" s="127" t="s">
        <v>5794</v>
      </c>
      <c r="D9" s="128" t="s">
        <v>5795</v>
      </c>
      <c r="E9" s="129" t="s">
        <v>4914</v>
      </c>
      <c r="F9" s="130" t="s">
        <v>5796</v>
      </c>
      <c r="G9" s="105" t="s">
        <v>4915</v>
      </c>
      <c r="H9" s="66"/>
    </row>
    <row r="10" spans="1:8" ht="38.1" customHeight="1">
      <c r="A10" s="66"/>
      <c r="B10" s="112">
        <f>COUNTIFS('Call Tracker'!K2:K2000,"❌ Not on Best Plan")-COUNTIFS('Call Tracker'!K2:K2000,"❌ Not on Best Plan",'Call Tracker'!B2:B2000,"&lt;&gt;")</f>
        <v>60</v>
      </c>
      <c r="C10" s="132">
        <f>COUNTIFS('Call Tracker'!N2:N2000,"&lt;&gt;No",'Call Tracker'!N2:N2000,"&lt;&gt;")-COUNTIFS('Call Tracker'!N2:N2000,"&lt;&gt;No",'Call Tracker'!N2:N2000,"&lt;&gt;",'Call Tracker'!B2:B2000,"&lt;&gt;")</f>
        <v>28</v>
      </c>
      <c r="D10" s="115">
        <f>COUNTIFS('Call Tracker'!K2:K2000,"✅ On Best Plan")+COUNTIFS('Call Tracker'!K2:K2000,"⚠ Frozen Rate")</f>
        <v>767</v>
      </c>
      <c r="E10" s="117">
        <f ca="1">IFERROR(ROUND(D5/MAX(1,(NETWORKDAYS(MIN('Call Tracker'!C:C),TODAY())/5)),1),"-")</f>
        <v>31.7</v>
      </c>
      <c r="F10" s="121">
        <f>COUNTIF('Docketed Comments'!H2:H1949,"Unable to Locate Acct")+COUNTBLANK('Docketed Comments'!H2:H1949)</f>
        <v>478</v>
      </c>
      <c r="G10" s="125">
        <f>COUNTIF('Call Tracker'!D2:D2000,"NO")</f>
        <v>133</v>
      </c>
      <c r="H10" s="66"/>
    </row>
    <row r="11" spans="1:8" ht="15.95" customHeight="1">
      <c r="A11" s="66"/>
      <c r="B11" s="113" t="str">
        <f>COUNTIFS('Call Tracker'!K2:K2000,"❌ Not on Best Plan",'Call Tracker'!B2:B2000,"&lt;&gt;")&amp;" of "&amp;COUNTIFS('Call Tracker'!K2:K2000,"❌ Not on Best Plan")&amp;" contacted"</f>
        <v>211 of 271 contacted</v>
      </c>
      <c r="C11" s="114" t="str">
        <f>COUNTIFS('Call Tracker'!N2:N2000,"&lt;&gt;No",'Call Tracker'!N2:N2000,"&lt;&gt;",'Call Tracker'!B2:B2000,"&lt;&gt;")&amp;" of "&amp;COUNTIFS('Call Tracker'!N2:N2000,"&lt;&gt;No",'Call Tracker'!N2:N2000,"&lt;&gt;")&amp;" contacted"</f>
        <v>54 of 82 contacted</v>
      </c>
      <c r="D11" s="116" t="s">
        <v>5797</v>
      </c>
      <c r="E11" s="120" t="s">
        <v>5798</v>
      </c>
      <c r="F11" s="124" t="s">
        <v>5799</v>
      </c>
      <c r="G11" s="106" t="s">
        <v>5804</v>
      </c>
      <c r="H11" s="66"/>
    </row>
    <row r="12" spans="1:8" ht="8.1" customHeight="1">
      <c r="A12" s="66"/>
      <c r="B12" s="66"/>
      <c r="C12" s="66"/>
      <c r="D12" s="66"/>
      <c r="E12" s="66"/>
      <c r="F12" s="66"/>
      <c r="G12" s="66"/>
      <c r="H12" s="66"/>
    </row>
    <row r="13" spans="1:8" ht="15.95" customHeight="1">
      <c r="A13" s="66"/>
      <c r="B13" s="89" t="s">
        <v>5800</v>
      </c>
      <c r="C13" s="90"/>
      <c r="D13" s="90"/>
      <c r="E13" s="90"/>
      <c r="F13" s="90"/>
      <c r="G13" s="66"/>
      <c r="H13" s="66"/>
    </row>
    <row r="14" spans="1:8" ht="15.95" customHeight="1">
      <c r="A14" s="66"/>
      <c r="B14" s="91" t="s">
        <v>4923</v>
      </c>
      <c r="C14" s="91" t="s">
        <v>4924</v>
      </c>
      <c r="D14" s="91" t="s">
        <v>4910</v>
      </c>
      <c r="E14" s="91" t="s">
        <v>4918</v>
      </c>
      <c r="F14" s="91" t="s">
        <v>111</v>
      </c>
      <c r="G14" s="91" t="s">
        <v>4887</v>
      </c>
      <c r="H14" s="66"/>
    </row>
    <row r="15" spans="1:8" ht="15.95" customHeight="1">
      <c r="A15" s="66"/>
      <c r="B15" s="94" cm="1">
        <f t="array" ref="B15:B26">IFERROR(_xlfn._xlws.SORT(_xlfn.UNIQUE(_xlfn._xlws.FILTER('Call Tracker'!C2:C2000,'Call Tracker'!C2:C2000&gt;0))),"")</f>
        <v>45997</v>
      </c>
      <c r="C15" s="95">
        <f>IF(B15="","",COUNTIFS('Call Tracker'!$C:$C,"&gt;="&amp;B15,'Call Tracker'!$C:$C,"&lt;"&amp;B15+1))</f>
        <v>46</v>
      </c>
      <c r="D15" s="95">
        <f>IF(B15="","",COUNTIFS('Call Tracker'!$C:$C,"&gt;="&amp;B15,'Call Tracker'!$C:$C,"&lt;"&amp;B15+1,'Call Tracker'!$D:$D,"YES"))</f>
        <v>27</v>
      </c>
      <c r="E15" s="95">
        <f>IF(B15="","",COUNTIFS('Call Tracker'!$C:$C,"&gt;="&amp;B15,'Call Tracker'!$C:$C,"&lt;"&amp;B15+1,'Call Tracker'!$D:$D,"NO"))</f>
        <v>9</v>
      </c>
      <c r="F15" s="95">
        <f>IF(B15="","",COUNTIFS('Call Tracker'!$C:$C,"&gt;="&amp;B15,'Call Tracker'!$C:$C,"&lt;"&amp;B15+1,'Call Tracker'!$B:$B,"Michelle"))</f>
        <v>15</v>
      </c>
      <c r="G15" s="95">
        <f>IF(B15="","",COUNTIFS('Call Tracker'!$C:$C,"&gt;="&amp;B15,'Call Tracker'!$C:$C,"&lt;"&amp;B15+1,'Call Tracker'!$B:$B,"Joaquin"))</f>
        <v>31</v>
      </c>
      <c r="H15" s="66"/>
    </row>
    <row r="16" spans="1:8" ht="15.95" customHeight="1">
      <c r="A16" s="66"/>
      <c r="B16" s="85">
        <v>46011</v>
      </c>
      <c r="C16" s="86">
        <f>IF(B16="","",COUNTIFS('Call Tracker'!$C:$C,"&gt;="&amp;B16,'Call Tracker'!$C:$C,"&lt;"&amp;B16+1))</f>
        <v>26</v>
      </c>
      <c r="D16" s="86">
        <f>IF(B16="","",COUNTIFS('Call Tracker'!$C:$C,"&gt;="&amp;B16,'Call Tracker'!$C:$C,"&lt;"&amp;B16+1,'Call Tracker'!$D:$D,"YES"))</f>
        <v>19</v>
      </c>
      <c r="E16" s="86">
        <f>IF(B16="","",COUNTIFS('Call Tracker'!$C:$C,"&gt;="&amp;B16,'Call Tracker'!$C:$C,"&lt;"&amp;B16+1,'Call Tracker'!$D:$D,"NO"))</f>
        <v>5</v>
      </c>
      <c r="F16" s="86">
        <f>IF(B16="","",COUNTIFS('Call Tracker'!$C:$C,"&gt;="&amp;B16,'Call Tracker'!$C:$C,"&lt;"&amp;B16+1,'Call Tracker'!$B:$B,"Michelle"))</f>
        <v>0</v>
      </c>
      <c r="G16" s="86">
        <f>IF(B16="","",COUNTIFS('Call Tracker'!$C:$C,"&gt;="&amp;B16,'Call Tracker'!$C:$C,"&lt;"&amp;B16+1,'Call Tracker'!$B:$B,"Joaquin"))</f>
        <v>26</v>
      </c>
      <c r="H16" s="66"/>
    </row>
    <row r="17" spans="1:8" ht="15.95" customHeight="1">
      <c r="A17" s="66"/>
      <c r="B17" s="94">
        <v>46018</v>
      </c>
      <c r="C17" s="95">
        <f>IF(B17="","",COUNTIFS('Call Tracker'!$C:$C,"&gt;="&amp;B17,'Call Tracker'!$C:$C,"&lt;"&amp;B17+1))</f>
        <v>11</v>
      </c>
      <c r="D17" s="95">
        <f>IF(B17="","",COUNTIFS('Call Tracker'!$C:$C,"&gt;="&amp;B17,'Call Tracker'!$C:$C,"&lt;"&amp;B17+1,'Call Tracker'!$D:$D,"YES"))</f>
        <v>4</v>
      </c>
      <c r="E17" s="95">
        <f>IF(B17="","",COUNTIFS('Call Tracker'!$C:$C,"&gt;="&amp;B17,'Call Tracker'!$C:$C,"&lt;"&amp;B17+1,'Call Tracker'!$D:$D,"NO"))</f>
        <v>7</v>
      </c>
      <c r="F17" s="95">
        <f>IF(B17="","",COUNTIFS('Call Tracker'!$C:$C,"&gt;="&amp;B17,'Call Tracker'!$C:$C,"&lt;"&amp;B17+1,'Call Tracker'!$B:$B,"Michelle"))</f>
        <v>2</v>
      </c>
      <c r="G17" s="95">
        <f>IF(B17="","",COUNTIFS('Call Tracker'!$C:$C,"&gt;="&amp;B17,'Call Tracker'!$C:$C,"&lt;"&amp;B17+1,'Call Tracker'!$B:$B,"Joaquin"))</f>
        <v>9</v>
      </c>
      <c r="H17" s="66"/>
    </row>
    <row r="18" spans="1:8">
      <c r="A18" s="66"/>
      <c r="B18" s="85">
        <v>46025</v>
      </c>
      <c r="C18" s="86">
        <f>IF(B18="","",COUNTIFS('Call Tracker'!$C:$C,"&gt;="&amp;B18,'Call Tracker'!$C:$C,"&lt;"&amp;B18+1))</f>
        <v>37</v>
      </c>
      <c r="D18" s="86">
        <f>IF(B18="","",COUNTIFS('Call Tracker'!$C:$C,"&gt;="&amp;B18,'Call Tracker'!$C:$C,"&lt;"&amp;B18+1,'Call Tracker'!$D:$D,"YES"))</f>
        <v>27</v>
      </c>
      <c r="E18" s="86">
        <f>IF(B18="","",COUNTIFS('Call Tracker'!$C:$C,"&gt;="&amp;B18,'Call Tracker'!$C:$C,"&lt;"&amp;B18+1,'Call Tracker'!$D:$D,"NO"))</f>
        <v>6</v>
      </c>
      <c r="F18" s="86">
        <f>IF(B18="","",COUNTIFS('Call Tracker'!$C:$C,"&gt;="&amp;B18,'Call Tracker'!$C:$C,"&lt;"&amp;B18+1,'Call Tracker'!$B:$B,"Michelle"))</f>
        <v>2</v>
      </c>
      <c r="G18" s="86">
        <f>IF(B18="","",COUNTIFS('Call Tracker'!$C:$C,"&gt;="&amp;B18,'Call Tracker'!$C:$C,"&lt;"&amp;B18+1,'Call Tracker'!$B:$B,"Joaquin"))</f>
        <v>35</v>
      </c>
      <c r="H18" s="66"/>
    </row>
    <row r="19" spans="1:8">
      <c r="A19" s="66"/>
      <c r="B19" s="94">
        <v>46032</v>
      </c>
      <c r="C19" s="95">
        <f>IF(B19="","",COUNTIFS('Call Tracker'!$C:$C,"&gt;="&amp;B19,'Call Tracker'!$C:$C,"&lt;"&amp;B19+1))</f>
        <v>20</v>
      </c>
      <c r="D19" s="95">
        <f>IF(B19="","",COUNTIFS('Call Tracker'!$C:$C,"&gt;="&amp;B19,'Call Tracker'!$C:$C,"&lt;"&amp;B19+1,'Call Tracker'!$D:$D,"YES"))</f>
        <v>13</v>
      </c>
      <c r="E19" s="95">
        <f>IF(B19="","",COUNTIFS('Call Tracker'!$C:$C,"&gt;="&amp;B19,'Call Tracker'!$C:$C,"&lt;"&amp;B19+1,'Call Tracker'!$D:$D,"NO"))</f>
        <v>2</v>
      </c>
      <c r="F19" s="95">
        <f>IF(B19="","",COUNTIFS('Call Tracker'!$C:$C,"&gt;="&amp;B19,'Call Tracker'!$C:$C,"&lt;"&amp;B19+1,'Call Tracker'!$B:$B,"Michelle"))</f>
        <v>4</v>
      </c>
      <c r="G19" s="95">
        <f>IF(B19="","",COUNTIFS('Call Tracker'!$C:$C,"&gt;="&amp;B19,'Call Tracker'!$C:$C,"&lt;"&amp;B19+1,'Call Tracker'!$B:$B,"Joaquin"))</f>
        <v>16</v>
      </c>
      <c r="H19" s="66"/>
    </row>
    <row r="20" spans="1:8">
      <c r="A20" s="66"/>
      <c r="B20" s="85">
        <v>46039</v>
      </c>
      <c r="C20" s="86">
        <f>IF(B20="","",COUNTIFS('Call Tracker'!$C:$C,"&gt;="&amp;B20,'Call Tracker'!$C:$C,"&lt;"&amp;B20+1))</f>
        <v>28</v>
      </c>
      <c r="D20" s="86">
        <f>IF(B20="","",COUNTIFS('Call Tracker'!$C:$C,"&gt;="&amp;B20,'Call Tracker'!$C:$C,"&lt;"&amp;B20+1,'Call Tracker'!$D:$D,"YES"))</f>
        <v>19</v>
      </c>
      <c r="E20" s="86">
        <f>IF(B20="","",COUNTIFS('Call Tracker'!$C:$C,"&gt;="&amp;B20,'Call Tracker'!$C:$C,"&lt;"&amp;B20+1,'Call Tracker'!$D:$D,"NO"))</f>
        <v>9</v>
      </c>
      <c r="F20" s="86">
        <f>IF(B20="","",COUNTIFS('Call Tracker'!$C:$C,"&gt;="&amp;B20,'Call Tracker'!$C:$C,"&lt;"&amp;B20+1,'Call Tracker'!$B:$B,"Michelle"))</f>
        <v>9</v>
      </c>
      <c r="G20" s="86">
        <f>IF(B20="","",COUNTIFS('Call Tracker'!$C:$C,"&gt;="&amp;B20,'Call Tracker'!$C:$C,"&lt;"&amp;B20+1,'Call Tracker'!$B:$B,"Joaquin"))</f>
        <v>19</v>
      </c>
      <c r="H20" s="66"/>
    </row>
    <row r="21" spans="1:8">
      <c r="A21" s="66"/>
      <c r="B21" s="94">
        <v>46046</v>
      </c>
      <c r="C21" s="95">
        <f>IF(B21="","",COUNTIFS('Call Tracker'!$C:$C,"&gt;="&amp;B21,'Call Tracker'!$C:$C,"&lt;"&amp;B21+1))</f>
        <v>41</v>
      </c>
      <c r="D21" s="95">
        <f>IF(B21="","",COUNTIFS('Call Tracker'!$C:$C,"&gt;="&amp;B21,'Call Tracker'!$C:$C,"&lt;"&amp;B21+1,'Call Tracker'!$D:$D,"YES"))</f>
        <v>23</v>
      </c>
      <c r="E21" s="95">
        <f>IF(B21="","",COUNTIFS('Call Tracker'!$C:$C,"&gt;="&amp;B21,'Call Tracker'!$C:$C,"&lt;"&amp;B21+1,'Call Tracker'!$D:$D,"NO"))</f>
        <v>18</v>
      </c>
      <c r="F21" s="95">
        <f>IF(B21="","",COUNTIFS('Call Tracker'!$C:$C,"&gt;="&amp;B21,'Call Tracker'!$C:$C,"&lt;"&amp;B21+1,'Call Tracker'!$B:$B,"Michelle"))</f>
        <v>10</v>
      </c>
      <c r="G21" s="95">
        <f>IF(B21="","",COUNTIFS('Call Tracker'!$C:$C,"&gt;="&amp;B21,'Call Tracker'!$C:$C,"&lt;"&amp;B21+1,'Call Tracker'!$B:$B,"Joaquin"))</f>
        <v>31</v>
      </c>
      <c r="H21" s="66"/>
    </row>
    <row r="22" spans="1:8">
      <c r="A22" s="66"/>
      <c r="B22" s="85">
        <v>46053</v>
      </c>
      <c r="C22" s="86">
        <f>IF(B22="","",COUNTIFS('Call Tracker'!$C:$C,"&gt;="&amp;B22,'Call Tracker'!$C:$C,"&lt;"&amp;B22+1))</f>
        <v>38</v>
      </c>
      <c r="D22" s="86">
        <f>IF(B22="","",COUNTIFS('Call Tracker'!$C:$C,"&gt;="&amp;B22,'Call Tracker'!$C:$C,"&lt;"&amp;B22+1,'Call Tracker'!$D:$D,"YES"))</f>
        <v>22</v>
      </c>
      <c r="E22" s="86">
        <f>IF(B22="","",COUNTIFS('Call Tracker'!$C:$C,"&gt;="&amp;B22,'Call Tracker'!$C:$C,"&lt;"&amp;B22+1,'Call Tracker'!$D:$D,"NO"))</f>
        <v>16</v>
      </c>
      <c r="F22" s="86">
        <f>IF(B22="","",COUNTIFS('Call Tracker'!$C:$C,"&gt;="&amp;B22,'Call Tracker'!$C:$C,"&lt;"&amp;B22+1,'Call Tracker'!$B:$B,"Michelle"))</f>
        <v>10</v>
      </c>
      <c r="G22" s="86">
        <f>IF(B22="","",COUNTIFS('Call Tracker'!$C:$C,"&gt;="&amp;B22,'Call Tracker'!$C:$C,"&lt;"&amp;B22+1,'Call Tracker'!$B:$B,"Joaquin"))</f>
        <v>28</v>
      </c>
      <c r="H22" s="66"/>
    </row>
    <row r="23" spans="1:8">
      <c r="A23" s="66"/>
      <c r="B23" s="94">
        <v>46060</v>
      </c>
      <c r="C23" s="95">
        <f>IF(B23="","",COUNTIFS('Call Tracker'!$C:$C,"&gt;="&amp;B23,'Call Tracker'!$C:$C,"&lt;"&amp;B23+1))</f>
        <v>38</v>
      </c>
      <c r="D23" s="95">
        <f>IF(B23="","",COUNTIFS('Call Tracker'!$C:$C,"&gt;="&amp;B23,'Call Tracker'!$C:$C,"&lt;"&amp;B23+1,'Call Tracker'!$D:$D,"YES"))</f>
        <v>23</v>
      </c>
      <c r="E23" s="95">
        <f>IF(B23="","",COUNTIFS('Call Tracker'!$C:$C,"&gt;="&amp;B23,'Call Tracker'!$C:$C,"&lt;"&amp;B23+1,'Call Tracker'!$D:$D,"NO"))</f>
        <v>14</v>
      </c>
      <c r="F23" s="95">
        <f>IF(B23="","",COUNTIFS('Call Tracker'!$C:$C,"&gt;="&amp;B23,'Call Tracker'!$C:$C,"&lt;"&amp;B23+1,'Call Tracker'!$B:$B,"Michelle"))</f>
        <v>12</v>
      </c>
      <c r="G23" s="95">
        <f>IF(B23="","",COUNTIFS('Call Tracker'!$C:$C,"&gt;="&amp;B23,'Call Tracker'!$C:$C,"&lt;"&amp;B23+1,'Call Tracker'!$B:$B,"Joaquin"))</f>
        <v>26</v>
      </c>
      <c r="H23" s="66"/>
    </row>
    <row r="24" spans="1:8">
      <c r="A24" s="66"/>
      <c r="B24" s="85">
        <v>46067</v>
      </c>
      <c r="C24" s="86">
        <f>IF(B24="","",COUNTIFS('Call Tracker'!$C:$C,"&gt;="&amp;B24,'Call Tracker'!$C:$C,"&lt;"&amp;B24+1))</f>
        <v>46</v>
      </c>
      <c r="D24" s="86">
        <f>IF(B24="","",COUNTIFS('Call Tracker'!$C:$C,"&gt;="&amp;B24,'Call Tracker'!$C:$C,"&lt;"&amp;B24+1,'Call Tracker'!$D:$D,"YES"))</f>
        <v>28</v>
      </c>
      <c r="E24" s="86">
        <f>IF(B24="","",COUNTIFS('Call Tracker'!$C:$C,"&gt;="&amp;B24,'Call Tracker'!$C:$C,"&lt;"&amp;B24+1,'Call Tracker'!$D:$D,"NO"))</f>
        <v>18</v>
      </c>
      <c r="F24" s="86">
        <f>IF(B24="","",COUNTIFS('Call Tracker'!$C:$C,"&gt;="&amp;B24,'Call Tracker'!$C:$C,"&lt;"&amp;B24+1,'Call Tracker'!$B:$B,"Michelle"))</f>
        <v>22</v>
      </c>
      <c r="G24" s="86">
        <f>IF(B24="","",COUNTIFS('Call Tracker'!$C:$C,"&gt;="&amp;B24,'Call Tracker'!$C:$C,"&lt;"&amp;B24+1,'Call Tracker'!$B:$B,"Joaquin"))</f>
        <v>24</v>
      </c>
      <c r="H24" s="66"/>
    </row>
    <row r="25" spans="1:8">
      <c r="A25" s="66"/>
      <c r="B25" s="94">
        <v>46074</v>
      </c>
      <c r="C25" s="95">
        <f>IF(B25="","",COUNTIFS('Call Tracker'!$C:$C,"&gt;="&amp;B25,'Call Tracker'!$C:$C,"&lt;"&amp;B25+1))</f>
        <v>42</v>
      </c>
      <c r="D25" s="95">
        <f>IF(B25="","",COUNTIFS('Call Tracker'!$C:$C,"&gt;="&amp;B25,'Call Tracker'!$C:$C,"&lt;"&amp;B25+1,'Call Tracker'!$D:$D,"YES"))</f>
        <v>28</v>
      </c>
      <c r="E25" s="95">
        <f>IF(B25="","",COUNTIFS('Call Tracker'!$C:$C,"&gt;="&amp;B25,'Call Tracker'!$C:$C,"&lt;"&amp;B25+1,'Call Tracker'!$D:$D,"NO"))</f>
        <v>14</v>
      </c>
      <c r="F25" s="95">
        <f>IF(B25="","",COUNTIFS('Call Tracker'!$C:$C,"&gt;="&amp;B25,'Call Tracker'!$C:$C,"&lt;"&amp;B25+1,'Call Tracker'!$B:$B,"Michelle"))</f>
        <v>16</v>
      </c>
      <c r="G25" s="95">
        <f>IF(B25="","",COUNTIFS('Call Tracker'!$C:$C,"&gt;="&amp;B25,'Call Tracker'!$C:$C,"&lt;"&amp;B25+1,'Call Tracker'!$B:$B,"Joaquin"))</f>
        <v>26</v>
      </c>
      <c r="H25" s="66"/>
    </row>
    <row r="26" spans="1:8">
      <c r="A26" s="66"/>
      <c r="B26" s="85">
        <v>46081</v>
      </c>
      <c r="C26" s="86">
        <f>IF(B26="","",COUNTIFS('Call Tracker'!$C:$C,"&gt;="&amp;B26,'Call Tracker'!$C:$C,"&lt;"&amp;B26+1))</f>
        <v>26</v>
      </c>
      <c r="D26" s="86" t="s">
        <v>5814</v>
      </c>
      <c r="E26" s="86">
        <f>IF(B26="","",COUNTIFS('Call Tracker'!$C:$C,"&gt;="&amp;B26,'Call Tracker'!$C:$C,"&lt;"&amp;B26+1,'Call Tracker'!$D:$D,"NO"))</f>
        <v>15</v>
      </c>
      <c r="F26" s="86">
        <f>IF(B26="","",COUNTIFS('Call Tracker'!$C:$C,"&gt;="&amp;B26,'Call Tracker'!$C:$C,"&lt;"&amp;B26+1,'Call Tracker'!$B:$B,"Michelle"))</f>
        <v>1</v>
      </c>
      <c r="G26" s="86">
        <f>IF(B26="","",COUNTIFS('Call Tracker'!$C:$C,"&gt;="&amp;B26,'Call Tracker'!$C:$C,"&lt;"&amp;B26+1,'Call Tracker'!$B:$B,"Joaquin"))</f>
        <v>25</v>
      </c>
      <c r="H26" s="66"/>
    </row>
    <row r="27" spans="1:8">
      <c r="A27" s="66"/>
      <c r="B27" s="94"/>
      <c r="C27" s="95" t="str">
        <f>IF(B27="","",COUNTIFS('Call Tracker'!$C:$C,"&gt;="&amp;B27,'Call Tracker'!$C:$C,"&lt;"&amp;B27+1))</f>
        <v/>
      </c>
      <c r="D27" s="95" t="str">
        <f>IF(B27="","",COUNTIFS('Call Tracker'!$C:$C,"&gt;="&amp;B27,'Call Tracker'!$C:$C,"&lt;"&amp;B27+1,'Call Tracker'!$D:$D,"YES"))</f>
        <v/>
      </c>
      <c r="E27" s="95" t="str">
        <f>IF(B27="","",COUNTIFS('Call Tracker'!$C:$C,"&gt;="&amp;B27,'Call Tracker'!$C:$C,"&lt;"&amp;B27+1,'Call Tracker'!$D:$D,"NO"))</f>
        <v/>
      </c>
      <c r="F27" s="95" t="str">
        <f>IF(B27="","",COUNTIFS('Call Tracker'!$C:$C,"&gt;="&amp;B27,'Call Tracker'!$C:$C,"&lt;"&amp;B27+1,'Call Tracker'!$B:$B,"Michelle"))</f>
        <v/>
      </c>
      <c r="G27" s="95" t="str">
        <f>IF(B27="","",COUNTIFS('Call Tracker'!$C:$C,"&gt;="&amp;B27,'Call Tracker'!$C:$C,"&lt;"&amp;B27+1,'Call Tracker'!$B:$B,"Joaquin"))</f>
        <v/>
      </c>
      <c r="H27" s="66"/>
    </row>
    <row r="28" spans="1:8" ht="15.95" customHeight="1">
      <c r="A28" s="66"/>
      <c r="B28" s="66"/>
      <c r="C28" s="66"/>
      <c r="D28" s="66"/>
      <c r="E28" s="66"/>
      <c r="F28" s="66"/>
      <c r="G28" s="66"/>
      <c r="H28" s="66"/>
    </row>
    <row r="29" spans="1:8" ht="8.1" customHeight="1">
      <c r="A29" s="66"/>
      <c r="B29" s="66"/>
      <c r="C29" s="66"/>
      <c r="D29" s="66"/>
      <c r="E29" s="66"/>
      <c r="F29" s="66"/>
      <c r="G29" s="66"/>
      <c r="H29" s="66"/>
    </row>
    <row r="30" spans="1:8">
      <c r="A30" s="66"/>
      <c r="B30" s="89" t="s">
        <v>4916</v>
      </c>
      <c r="C30" s="90"/>
      <c r="D30" s="90"/>
      <c r="E30" s="66"/>
      <c r="F30" s="89" t="s">
        <v>4919</v>
      </c>
      <c r="G30" s="90"/>
      <c r="H30" s="66"/>
    </row>
    <row r="31" spans="1:8">
      <c r="A31" s="66"/>
      <c r="B31" s="91" t="s">
        <v>4912</v>
      </c>
      <c r="C31" s="91" t="s">
        <v>5801</v>
      </c>
      <c r="D31" s="91" t="s">
        <v>4918</v>
      </c>
      <c r="E31" s="66"/>
      <c r="F31" s="91" t="s">
        <v>4885</v>
      </c>
      <c r="G31" s="91" t="s">
        <v>4920</v>
      </c>
      <c r="H31" s="66"/>
    </row>
    <row r="32" spans="1:8">
      <c r="A32" s="66"/>
      <c r="B32" s="96" t="s">
        <v>111</v>
      </c>
      <c r="C32" s="97">
        <f>COUNTIF('Call Tracker'!B2:B2000,"Michelle")</f>
        <v>103</v>
      </c>
      <c r="D32" s="97">
        <f>COUNTIFS('Call Tracker'!B2:B2000,"Michelle",'Call Tracker'!D2:D2000,"NO")</f>
        <v>36</v>
      </c>
      <c r="E32" s="66"/>
      <c r="F32" s="96" t="s">
        <v>4898</v>
      </c>
      <c r="G32" s="97">
        <f>COUNTIF('Call Tracker'!E2:E2000,"General Education")</f>
        <v>75</v>
      </c>
      <c r="H32" s="66"/>
    </row>
    <row r="33" spans="1:8">
      <c r="A33" s="66"/>
      <c r="B33" s="66" t="s">
        <v>4887</v>
      </c>
      <c r="C33" s="84">
        <f>COUNTIF('Call Tracker'!B2:B2000,"Joaquin")</f>
        <v>296</v>
      </c>
      <c r="D33" s="84">
        <f>COUNTIFS('Call Tracker'!B2:B2000,"Joaquin",'Call Tracker'!D2:D2000,"NO")</f>
        <v>97</v>
      </c>
      <c r="E33" s="66"/>
      <c r="F33" s="66" t="s">
        <v>4894</v>
      </c>
      <c r="G33" s="84">
        <f>COUNTIF('Call Tracker'!E2:E2000,"Rate Change")</f>
        <v>10</v>
      </c>
      <c r="H33" s="66"/>
    </row>
    <row r="34" spans="1:8">
      <c r="A34" s="66"/>
      <c r="B34" s="92" t="s">
        <v>4925</v>
      </c>
      <c r="C34" s="93">
        <f>SUM(C32:C33)</f>
        <v>399</v>
      </c>
      <c r="D34" s="93">
        <f>SUM(D32:D33)</f>
        <v>133</v>
      </c>
      <c r="E34" s="66"/>
      <c r="F34" s="96" t="s">
        <v>4908</v>
      </c>
      <c r="G34" s="97">
        <f>COUNTIF('Call Tracker'!E2:E2000,"Updated/New PA")</f>
        <v>1</v>
      </c>
      <c r="H34" s="66"/>
    </row>
    <row r="35" spans="1:8">
      <c r="A35" s="66"/>
      <c r="B35" s="66"/>
      <c r="C35" s="66"/>
      <c r="D35" s="66"/>
      <c r="E35" s="66"/>
      <c r="F35" s="66" t="s">
        <v>4909</v>
      </c>
      <c r="G35" s="84">
        <f>COUNTIF('Call Tracker'!E2:E2000,"Utility Assistance")</f>
        <v>3</v>
      </c>
      <c r="H35" s="66"/>
    </row>
    <row r="36" spans="1:8">
      <c r="A36" s="66"/>
      <c r="B36" s="66"/>
      <c r="C36" s="66"/>
      <c r="D36" s="66"/>
      <c r="E36" s="66"/>
      <c r="F36" s="96" t="s">
        <v>4897</v>
      </c>
      <c r="G36" s="97">
        <f>COUNTIF('Call Tracker'!E2:E2000,"E3/E4")</f>
        <v>7</v>
      </c>
      <c r="H36" s="66"/>
    </row>
    <row r="37" spans="1:8">
      <c r="A37" s="66"/>
      <c r="B37" s="66"/>
      <c r="C37" s="66"/>
      <c r="D37" s="66"/>
      <c r="E37" s="66"/>
      <c r="F37" s="66" t="s">
        <v>4921</v>
      </c>
      <c r="G37" s="84">
        <f>COUNTIF('Call Tracker'!E2:E2000,"Other (fill in)")</f>
        <v>9</v>
      </c>
      <c r="H37" s="66"/>
    </row>
    <row r="38" spans="1:8">
      <c r="A38" s="66"/>
      <c r="B38" s="66"/>
      <c r="C38" s="66"/>
      <c r="D38" s="66"/>
      <c r="E38" s="66"/>
      <c r="F38" s="96" t="s">
        <v>4922</v>
      </c>
      <c r="G38" s="97">
        <f>COUNTIF('Call Tracker'!D2:D2000,"YES")</f>
        <v>244</v>
      </c>
      <c r="H38" s="66"/>
    </row>
    <row r="39" spans="1:8">
      <c r="A39" s="66"/>
      <c r="B39" s="66"/>
      <c r="C39" s="66"/>
      <c r="D39" s="66"/>
      <c r="E39" s="66"/>
      <c r="F39" s="66"/>
      <c r="G39" s="66"/>
      <c r="H39" s="66"/>
    </row>
    <row r="40" spans="1:8">
      <c r="A40" s="66"/>
      <c r="B40" s="87" t="str">
        <f ca="1">"Last updated: "&amp;TEXT(TODAY(),"mmmm d, yyyy")</f>
        <v>Last updated: March 4, 2026</v>
      </c>
      <c r="C40" s="66"/>
      <c r="D40" s="66"/>
      <c r="E40" s="66"/>
      <c r="F40" s="66"/>
      <c r="G40" s="66"/>
      <c r="H40" s="66"/>
    </row>
    <row r="41" spans="1:8">
      <c r="A41" s="66"/>
      <c r="B41" s="88" t="str">
        <f>_xlfn.LET(_xlpm.trackerTotal,COUNTA('Call Tracker'!A2:A2000),"✅ "&amp;_xlpm.trackerTotal&amp;" customers in tracker ("&amp;COUNTA('Call Tracker'!B2:B2000)&amp;" called, "&amp;_xlpm.trackerTotal-COUNTA('Call Tracker'!B2:B2000)&amp;" remaining)")</f>
        <v>✅ 1100 customers in tracker (399 called, 701 remaining)</v>
      </c>
      <c r="C41" s="66"/>
      <c r="D41" s="66"/>
      <c r="E41" s="66"/>
      <c r="F41" s="66"/>
      <c r="G41" s="66"/>
      <c r="H41" s="66"/>
    </row>
    <row r="42" spans="1:8">
      <c r="A42" s="66"/>
      <c r="B42" s="66"/>
      <c r="C42" s="66"/>
      <c r="D42" s="66"/>
      <c r="E42" s="66"/>
      <c r="F42" s="66"/>
      <c r="G42" s="66"/>
      <c r="H42" s="66"/>
    </row>
    <row r="43" spans="1:8">
      <c r="A43" s="66"/>
      <c r="B43" s="66"/>
      <c r="C43" s="66"/>
      <c r="D43" s="66"/>
      <c r="E43" s="66"/>
      <c r="F43" s="66"/>
      <c r="G43" s="66"/>
      <c r="H43" s="66"/>
    </row>
    <row r="44" spans="1:8">
      <c r="A44" s="66"/>
      <c r="B44" s="66"/>
      <c r="C44" s="66"/>
      <c r="D44" s="66"/>
      <c r="E44" s="66"/>
      <c r="F44" s="66"/>
      <c r="G44" s="66"/>
      <c r="H44" s="66"/>
    </row>
    <row r="45" spans="1:8">
      <c r="A45" s="66"/>
      <c r="B45" s="66"/>
      <c r="C45" s="66"/>
      <c r="D45" s="66"/>
      <c r="E45" s="66"/>
      <c r="F45" s="66"/>
      <c r="G45" s="66"/>
      <c r="H45" s="66"/>
    </row>
    <row r="46" spans="1:8">
      <c r="A46" s="66"/>
      <c r="B46" s="66"/>
      <c r="C46" s="66"/>
      <c r="D46" s="66"/>
      <c r="E46" s="66"/>
      <c r="F46" s="66"/>
      <c r="G46" s="66"/>
      <c r="H46" s="66"/>
    </row>
    <row r="47" spans="1:8">
      <c r="A47" s="66"/>
      <c r="B47" s="66"/>
      <c r="C47" s="66"/>
      <c r="D47" s="66"/>
      <c r="E47" s="66"/>
      <c r="F47" s="66"/>
      <c r="G47" s="66"/>
      <c r="H47" s="66"/>
    </row>
    <row r="48" spans="1:8">
      <c r="A48" s="66"/>
      <c r="B48" s="66"/>
      <c r="C48" s="66"/>
      <c r="D48" s="66"/>
      <c r="E48" s="66"/>
      <c r="F48" s="66"/>
      <c r="G48" s="66"/>
      <c r="H48" s="66"/>
    </row>
    <row r="49" spans="1:8">
      <c r="A49" s="66"/>
      <c r="B49" s="66"/>
      <c r="C49" s="66"/>
      <c r="D49" s="66"/>
      <c r="E49" s="66"/>
      <c r="F49" s="66"/>
      <c r="G49" s="66"/>
      <c r="H49" s="66"/>
    </row>
    <row r="50" spans="1:8">
      <c r="A50" s="66"/>
      <c r="B50" s="66"/>
      <c r="C50" s="66"/>
      <c r="D50" s="66"/>
      <c r="E50" s="66"/>
      <c r="F50" s="66"/>
      <c r="G50" s="66"/>
      <c r="H50" s="66"/>
    </row>
    <row r="51" spans="1:8">
      <c r="A51" s="66"/>
      <c r="B51" s="66"/>
      <c r="C51" s="66"/>
      <c r="D51" s="66"/>
      <c r="E51" s="66"/>
      <c r="F51" s="66"/>
      <c r="G51" s="66"/>
      <c r="H51" s="66"/>
    </row>
    <row r="52" spans="1:8">
      <c r="A52" s="66"/>
      <c r="B52" s="66"/>
      <c r="C52" s="66"/>
      <c r="D52" s="66"/>
      <c r="E52" s="66"/>
      <c r="F52" s="66"/>
      <c r="G52" s="66"/>
      <c r="H52" s="66"/>
    </row>
    <row r="53" spans="1:8">
      <c r="A53" s="66"/>
      <c r="B53" s="66"/>
      <c r="C53" s="66"/>
      <c r="D53" s="66"/>
      <c r="E53" s="66"/>
      <c r="F53" s="66"/>
      <c r="G53" s="66"/>
      <c r="H53" s="66"/>
    </row>
    <row r="54" spans="1:8">
      <c r="A54" s="66"/>
      <c r="B54" s="66"/>
      <c r="C54" s="66"/>
      <c r="D54" s="66"/>
      <c r="E54" s="66"/>
      <c r="F54" s="66"/>
      <c r="G54" s="66"/>
      <c r="H54" s="66"/>
    </row>
    <row r="55" spans="1:8">
      <c r="A55" s="66"/>
      <c r="B55" s="66"/>
      <c r="C55" s="66"/>
      <c r="D55" s="66"/>
      <c r="E55" s="66"/>
      <c r="F55" s="66"/>
      <c r="G55" s="66"/>
      <c r="H55" s="66"/>
    </row>
    <row r="56" spans="1:8">
      <c r="A56" s="66"/>
      <c r="B56" s="66"/>
      <c r="C56" s="66"/>
      <c r="D56" s="66"/>
      <c r="E56" s="66"/>
      <c r="F56" s="66"/>
      <c r="G56" s="66"/>
      <c r="H56" s="66"/>
    </row>
    <row r="57" spans="1:8">
      <c r="A57" s="66"/>
      <c r="B57" s="66"/>
      <c r="C57" s="66"/>
      <c r="D57" s="66"/>
      <c r="E57" s="66"/>
      <c r="F57" s="66"/>
      <c r="G57" s="66"/>
      <c r="H57" s="66"/>
    </row>
    <row r="58" spans="1:8">
      <c r="A58" s="66"/>
      <c r="B58" s="66"/>
      <c r="C58" s="66"/>
      <c r="D58" s="66"/>
      <c r="E58" s="66"/>
      <c r="F58" s="66"/>
      <c r="G58" s="66"/>
      <c r="H58" s="66"/>
    </row>
    <row r="59" spans="1:8">
      <c r="A59" s="66"/>
      <c r="B59" s="66"/>
      <c r="C59" s="66"/>
      <c r="D59" s="66"/>
      <c r="E59" s="66"/>
      <c r="F59" s="66"/>
      <c r="G59" s="66"/>
      <c r="H59" s="66"/>
    </row>
    <row r="60" spans="1:8">
      <c r="A60" s="66"/>
      <c r="B60" s="66"/>
      <c r="C60" s="66"/>
      <c r="D60" s="66"/>
      <c r="E60" s="66"/>
      <c r="F60" s="66"/>
      <c r="G60" s="66"/>
      <c r="H60" s="66"/>
    </row>
  </sheetData>
  <mergeCells count="1">
    <mergeCell ref="B2:G2"/>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9853-09AE-4EF9-A42C-C1B72D126E34}">
  <dimension ref="A1:W1949"/>
  <sheetViews>
    <sheetView topLeftCell="G1922" workbookViewId="0">
      <selection activeCell="R1931" sqref="R1931"/>
    </sheetView>
  </sheetViews>
  <sheetFormatPr defaultColWidth="11.42578125" defaultRowHeight="12"/>
  <cols>
    <col min="1" max="1" width="13" style="22" bestFit="1" customWidth="1"/>
    <col min="2" max="2" width="17.140625" style="1" customWidth="1"/>
    <col min="3" max="3" width="18.7109375" style="1" bestFit="1" customWidth="1"/>
    <col min="4" max="4" width="14.7109375" style="1" customWidth="1"/>
    <col min="5" max="5" width="11.42578125" style="1"/>
    <col min="6" max="6" width="37.85546875" style="1" customWidth="1"/>
    <col min="7" max="7" width="24.85546875" style="1" customWidth="1"/>
    <col min="8" max="8" width="19" style="4" bestFit="1" customWidth="1"/>
    <col min="9" max="9" width="13.28515625" style="5" customWidth="1"/>
    <col min="10" max="10" width="9.42578125" style="5" customWidth="1"/>
    <col min="11" max="11" width="9.7109375" style="5" bestFit="1" customWidth="1"/>
    <col min="12" max="12" width="18.85546875" style="5" customWidth="1"/>
    <col min="13" max="13" width="11.140625" style="5" customWidth="1"/>
    <col min="14" max="14" width="13.42578125" style="5" customWidth="1"/>
    <col min="15" max="15" width="14.140625" style="5" customWidth="1"/>
    <col min="16" max="16" width="17" style="5" customWidth="1"/>
    <col min="17" max="17" width="22.42578125" style="5" customWidth="1"/>
    <col min="18" max="18" width="56.28515625" style="1" bestFit="1" customWidth="1"/>
    <col min="19" max="19" width="19.28515625" style="1" customWidth="1"/>
    <col min="20" max="20" width="14.42578125" style="1" customWidth="1"/>
    <col min="21" max="21" width="163.42578125" style="1" bestFit="1" customWidth="1"/>
    <col min="22" max="16384" width="11.42578125" style="1"/>
  </cols>
  <sheetData>
    <row r="1" spans="1:22">
      <c r="A1" s="59" t="s">
        <v>0</v>
      </c>
      <c r="B1" s="46" t="s">
        <v>1</v>
      </c>
      <c r="C1" s="46" t="s">
        <v>2</v>
      </c>
      <c r="D1" s="46" t="s">
        <v>3</v>
      </c>
      <c r="E1" s="46" t="s">
        <v>4</v>
      </c>
      <c r="F1" s="46" t="s">
        <v>5815</v>
      </c>
      <c r="G1" s="47" t="s">
        <v>5</v>
      </c>
      <c r="H1" s="48" t="s">
        <v>5681</v>
      </c>
      <c r="I1" s="49" t="s">
        <v>6</v>
      </c>
      <c r="J1" s="50" t="s">
        <v>5775</v>
      </c>
      <c r="K1" s="50" t="s">
        <v>5816</v>
      </c>
      <c r="L1" s="50" t="s">
        <v>7</v>
      </c>
      <c r="M1" s="50" t="s">
        <v>5817</v>
      </c>
      <c r="N1" s="51" t="s">
        <v>8</v>
      </c>
      <c r="O1" s="51" t="s">
        <v>9</v>
      </c>
      <c r="P1" s="51" t="s">
        <v>5818</v>
      </c>
      <c r="Q1" s="51" t="s">
        <v>10</v>
      </c>
      <c r="R1" s="52" t="s">
        <v>11</v>
      </c>
      <c r="S1" s="52" t="s">
        <v>12</v>
      </c>
      <c r="T1" s="52" t="s">
        <v>13</v>
      </c>
      <c r="U1" s="46" t="s">
        <v>14</v>
      </c>
      <c r="V1" s="52" t="s">
        <v>15</v>
      </c>
    </row>
    <row r="2" spans="1:22" hidden="1">
      <c r="A2" s="2">
        <v>45796</v>
      </c>
      <c r="B2" s="1" t="s">
        <v>16</v>
      </c>
      <c r="C2" s="1" t="s">
        <v>17</v>
      </c>
      <c r="D2" s="1" t="s">
        <v>18</v>
      </c>
      <c r="E2" s="1">
        <v>85308</v>
      </c>
      <c r="F2" s="3" t="s">
        <v>19</v>
      </c>
      <c r="G2" s="1" t="s">
        <v>20</v>
      </c>
      <c r="H2" s="4" t="s">
        <v>21</v>
      </c>
      <c r="V2" s="45">
        <f>IF(OR(ISNUMBER(SEARCH("unable to locate acct",G2)),ISNUMBER(SEARCH("unknown",G2)),ISNUMBER(SEARCH("inactive",G2)),H2=""),0,1)</f>
        <v>1</v>
      </c>
    </row>
    <row r="3" spans="1:22" hidden="1">
      <c r="A3" s="2">
        <v>45797</v>
      </c>
      <c r="B3" s="1" t="s">
        <v>22</v>
      </c>
      <c r="C3" s="1" t="s">
        <v>23</v>
      </c>
      <c r="D3" s="1" t="s">
        <v>24</v>
      </c>
      <c r="E3" s="1" t="s">
        <v>24</v>
      </c>
      <c r="F3" s="3" t="s">
        <v>25</v>
      </c>
      <c r="G3" s="1" t="s">
        <v>26</v>
      </c>
      <c r="H3" s="4" t="s">
        <v>21</v>
      </c>
      <c r="V3" s="45">
        <f>IF(OR(ISNUMBER(SEARCH("unable to locate acct",G3)),ISNUMBER(SEARCH("unknown",G3)),ISNUMBER(SEARCH("inactive",G3)),H3=""),0,1)</f>
        <v>1</v>
      </c>
    </row>
    <row r="4" spans="1:22" hidden="1">
      <c r="A4" s="2">
        <v>45797</v>
      </c>
      <c r="B4" s="1" t="s">
        <v>27</v>
      </c>
      <c r="C4" s="1" t="s">
        <v>28</v>
      </c>
      <c r="D4" s="1" t="s">
        <v>18</v>
      </c>
      <c r="E4" s="1" t="s">
        <v>24</v>
      </c>
      <c r="F4" s="3" t="s">
        <v>25</v>
      </c>
      <c r="G4" s="1" t="s">
        <v>29</v>
      </c>
      <c r="H4" s="4" t="s">
        <v>4610</v>
      </c>
      <c r="I4" s="6" t="s">
        <v>30</v>
      </c>
      <c r="J4" s="5" t="s">
        <v>31</v>
      </c>
      <c r="K4" s="5" t="s">
        <v>31</v>
      </c>
      <c r="L4" s="5" t="s">
        <v>32</v>
      </c>
      <c r="M4" s="5" t="s">
        <v>31</v>
      </c>
      <c r="N4" s="5" t="s">
        <v>31</v>
      </c>
      <c r="O4" s="5" t="s">
        <v>32</v>
      </c>
      <c r="P4" s="5" t="s">
        <v>33</v>
      </c>
      <c r="Q4" s="2">
        <v>45589</v>
      </c>
      <c r="U4" s="1" t="s">
        <v>34</v>
      </c>
      <c r="V4" s="45">
        <f>IF(OR(ISNUMBER(SEARCH("unable to locate acct",G4)),ISNUMBER(SEARCH("unknown",G4)),ISNUMBER(SEARCH("inactive",G4)),H4=""),0,1)</f>
        <v>1</v>
      </c>
    </row>
    <row r="5" spans="1:22" hidden="1">
      <c r="A5" s="2">
        <v>45798</v>
      </c>
      <c r="B5" s="1" t="s">
        <v>35</v>
      </c>
      <c r="C5" s="1" t="s">
        <v>36</v>
      </c>
      <c r="D5" s="1" t="s">
        <v>37</v>
      </c>
      <c r="E5" s="1">
        <v>85363</v>
      </c>
      <c r="F5" s="3" t="s">
        <v>25</v>
      </c>
      <c r="G5" s="1" t="s">
        <v>38</v>
      </c>
      <c r="H5" s="4" t="s">
        <v>39</v>
      </c>
      <c r="I5" s="6" t="s">
        <v>40</v>
      </c>
      <c r="J5" s="5" t="s">
        <v>31</v>
      </c>
      <c r="K5" s="5" t="s">
        <v>31</v>
      </c>
      <c r="L5" s="5" t="s">
        <v>41</v>
      </c>
      <c r="M5" s="5" t="s">
        <v>31</v>
      </c>
      <c r="N5" s="5" t="s">
        <v>31</v>
      </c>
      <c r="O5" s="5" t="s">
        <v>32</v>
      </c>
      <c r="P5" s="5" t="s">
        <v>33</v>
      </c>
      <c r="Q5" s="2">
        <v>45589</v>
      </c>
      <c r="R5" s="1" t="s">
        <v>42</v>
      </c>
      <c r="V5" s="45">
        <f>IF(OR(ISNUMBER(SEARCH("unable to locate acct",G5)),ISNUMBER(SEARCH("unknown",G5)),ISNUMBER(SEARCH("inactive",G5)),H5=""),0,1)</f>
        <v>1</v>
      </c>
    </row>
    <row r="6" spans="1:22" hidden="1">
      <c r="A6" s="2">
        <v>45798</v>
      </c>
      <c r="B6" s="1" t="s">
        <v>43</v>
      </c>
      <c r="C6" s="1" t="s">
        <v>44</v>
      </c>
      <c r="D6" s="1" t="s">
        <v>45</v>
      </c>
      <c r="E6" s="1">
        <v>85554</v>
      </c>
      <c r="F6" s="3" t="s">
        <v>25</v>
      </c>
      <c r="G6" s="1" t="s">
        <v>38</v>
      </c>
      <c r="H6" s="4" t="s">
        <v>5485</v>
      </c>
      <c r="I6" s="5" t="s">
        <v>30</v>
      </c>
      <c r="J6" s="5" t="s">
        <v>31</v>
      </c>
      <c r="K6" s="5" t="s">
        <v>31</v>
      </c>
      <c r="L6" s="5" t="s">
        <v>32</v>
      </c>
      <c r="M6" s="5" t="s">
        <v>31</v>
      </c>
      <c r="N6" s="5" t="s">
        <v>31</v>
      </c>
      <c r="O6" s="5" t="s">
        <v>32</v>
      </c>
      <c r="P6" s="5" t="s">
        <v>33</v>
      </c>
      <c r="Q6" s="2">
        <v>45589</v>
      </c>
      <c r="V6" s="45">
        <f>IF(OR(ISNUMBER(SEARCH("unable to locate acct",G6)),ISNUMBER(SEARCH("unknown",G6)),ISNUMBER(SEARCH("inactive",G6)),H6=""),0,1)</f>
        <v>1</v>
      </c>
    </row>
    <row r="7" spans="1:22" hidden="1">
      <c r="A7" s="2">
        <v>45799</v>
      </c>
      <c r="B7" s="1" t="s">
        <v>46</v>
      </c>
      <c r="C7" s="1" t="s">
        <v>47</v>
      </c>
      <c r="D7" s="1" t="s">
        <v>24</v>
      </c>
      <c r="E7" s="1" t="s">
        <v>24</v>
      </c>
      <c r="F7" s="3" t="s">
        <v>48</v>
      </c>
      <c r="G7" s="1" t="s">
        <v>49</v>
      </c>
      <c r="H7" s="4" t="s">
        <v>50</v>
      </c>
      <c r="I7" s="5" t="s">
        <v>51</v>
      </c>
      <c r="J7" s="5" t="s">
        <v>31</v>
      </c>
      <c r="K7" s="5" t="s">
        <v>31</v>
      </c>
      <c r="L7" s="7" t="s">
        <v>52</v>
      </c>
      <c r="M7" s="5" t="s">
        <v>31</v>
      </c>
      <c r="N7" s="5" t="s">
        <v>31</v>
      </c>
      <c r="O7" s="5" t="s">
        <v>32</v>
      </c>
      <c r="P7" s="2">
        <v>45964</v>
      </c>
      <c r="Q7" s="2">
        <v>45954</v>
      </c>
      <c r="R7" s="1" t="s">
        <v>53</v>
      </c>
      <c r="U7" s="1" t="s">
        <v>54</v>
      </c>
      <c r="V7" s="45">
        <f>IF(OR(ISNUMBER(SEARCH("unable to locate acct",G7)),ISNUMBER(SEARCH("unknown",G7)),ISNUMBER(SEARCH("inactive",G7)),H7=""),0,1)</f>
        <v>1</v>
      </c>
    </row>
    <row r="8" spans="1:22" hidden="1">
      <c r="A8" s="2">
        <v>45800</v>
      </c>
      <c r="B8" s="1" t="s">
        <v>55</v>
      </c>
      <c r="C8" s="1" t="s">
        <v>56</v>
      </c>
      <c r="D8" s="1" t="s">
        <v>57</v>
      </c>
      <c r="E8" s="1">
        <v>85009</v>
      </c>
      <c r="F8" s="3" t="s">
        <v>25</v>
      </c>
      <c r="G8" s="1" t="s">
        <v>58</v>
      </c>
      <c r="H8" s="4" t="s">
        <v>24</v>
      </c>
      <c r="U8" s="1" t="s">
        <v>59</v>
      </c>
      <c r="V8" s="45">
        <f>IF(OR(ISNUMBER(SEARCH("unable to locate acct",G8)),ISNUMBER(SEARCH("unknown",G8)),ISNUMBER(SEARCH("inactive",G8)),H8=""),0,1)</f>
        <v>1</v>
      </c>
    </row>
    <row r="9" spans="1:22" hidden="1">
      <c r="A9" s="2">
        <v>45804</v>
      </c>
      <c r="B9" s="1" t="s">
        <v>60</v>
      </c>
      <c r="C9" s="1" t="s">
        <v>61</v>
      </c>
      <c r="D9" s="1" t="s">
        <v>62</v>
      </c>
      <c r="E9" s="1">
        <v>85331</v>
      </c>
      <c r="F9" s="3" t="s">
        <v>25</v>
      </c>
      <c r="G9" s="1" t="s">
        <v>63</v>
      </c>
      <c r="H9" s="4" t="s">
        <v>5109</v>
      </c>
      <c r="I9" s="6" t="s">
        <v>30</v>
      </c>
      <c r="J9" s="5" t="s">
        <v>31</v>
      </c>
      <c r="K9" s="5" t="s">
        <v>31</v>
      </c>
      <c r="L9" s="5" t="s">
        <v>32</v>
      </c>
      <c r="M9" s="5" t="s">
        <v>31</v>
      </c>
      <c r="N9" s="5" t="s">
        <v>31</v>
      </c>
      <c r="O9" s="5" t="s">
        <v>32</v>
      </c>
      <c r="P9" s="5" t="s">
        <v>33</v>
      </c>
      <c r="Q9" s="2">
        <v>45954</v>
      </c>
      <c r="V9" s="45">
        <f>IF(OR(ISNUMBER(SEARCH("unable to locate acct",G9)),ISNUMBER(SEARCH("unknown",G9)),ISNUMBER(SEARCH("inactive",G9)),H9=""),0,1)</f>
        <v>1</v>
      </c>
    </row>
    <row r="10" spans="1:22" hidden="1">
      <c r="A10" s="2">
        <v>45805</v>
      </c>
      <c r="B10" s="1" t="s">
        <v>64</v>
      </c>
      <c r="C10" s="1" t="s">
        <v>65</v>
      </c>
      <c r="D10" s="1" t="s">
        <v>24</v>
      </c>
      <c r="E10" s="1" t="s">
        <v>24</v>
      </c>
      <c r="F10" s="3" t="s">
        <v>25</v>
      </c>
      <c r="G10" s="1" t="s">
        <v>66</v>
      </c>
      <c r="H10" s="4" t="s">
        <v>5110</v>
      </c>
      <c r="I10" s="5" t="s">
        <v>67</v>
      </c>
      <c r="J10" s="5" t="s">
        <v>31</v>
      </c>
      <c r="K10" s="5" t="s">
        <v>31</v>
      </c>
      <c r="L10" s="5" t="s">
        <v>32</v>
      </c>
      <c r="M10" s="5" t="s">
        <v>31</v>
      </c>
      <c r="N10" s="5" t="s">
        <v>31</v>
      </c>
      <c r="O10" s="5" t="s">
        <v>32</v>
      </c>
      <c r="P10" s="5" t="s">
        <v>33</v>
      </c>
      <c r="Q10" s="2">
        <v>45954</v>
      </c>
      <c r="V10" s="45">
        <f>IF(OR(ISNUMBER(SEARCH("unable to locate acct",G10)),ISNUMBER(SEARCH("unknown",G10)),ISNUMBER(SEARCH("inactive",G10)),H10=""),0,1)</f>
        <v>1</v>
      </c>
    </row>
    <row r="11" spans="1:22" hidden="1">
      <c r="A11" s="2">
        <v>45812</v>
      </c>
      <c r="B11" s="1" t="s">
        <v>68</v>
      </c>
      <c r="C11" s="1" t="s">
        <v>69</v>
      </c>
      <c r="D11" s="1" t="s">
        <v>24</v>
      </c>
      <c r="E11" s="1" t="s">
        <v>24</v>
      </c>
      <c r="F11" s="3" t="s">
        <v>25</v>
      </c>
      <c r="G11" s="1" t="s">
        <v>70</v>
      </c>
      <c r="H11" s="4" t="s">
        <v>21</v>
      </c>
      <c r="U11" s="1" t="s">
        <v>71</v>
      </c>
      <c r="V11" s="53">
        <f>IF(OR(ISNUMBER(SEARCH("unable to locate acct",G11)),ISNUMBER(SEARCH("unknown",G11)),ISNUMBER(SEARCH("inactive",G11)),H11=""),0,1)</f>
        <v>1</v>
      </c>
    </row>
    <row r="12" spans="1:22" hidden="1">
      <c r="A12" s="2">
        <v>45812</v>
      </c>
      <c r="B12" s="1" t="s">
        <v>72</v>
      </c>
      <c r="C12" s="1" t="s">
        <v>73</v>
      </c>
      <c r="D12" s="1" t="s">
        <v>24</v>
      </c>
      <c r="E12" s="1" t="s">
        <v>24</v>
      </c>
      <c r="F12" s="3" t="s">
        <v>25</v>
      </c>
      <c r="G12" s="1" t="s">
        <v>70</v>
      </c>
      <c r="H12" s="4" t="s">
        <v>74</v>
      </c>
      <c r="I12" s="5" t="s">
        <v>75</v>
      </c>
      <c r="J12" s="5" t="s">
        <v>31</v>
      </c>
      <c r="K12" s="5" t="s">
        <v>31</v>
      </c>
      <c r="L12" s="5" t="s">
        <v>76</v>
      </c>
      <c r="M12" s="5" t="s">
        <v>31</v>
      </c>
      <c r="N12" s="5" t="s">
        <v>31</v>
      </c>
      <c r="O12" s="5" t="s">
        <v>32</v>
      </c>
      <c r="P12" s="5" t="s">
        <v>33</v>
      </c>
      <c r="Q12" s="2">
        <v>45957</v>
      </c>
      <c r="V12" s="45">
        <f>IF(OR(ISNUMBER(SEARCH("unable to locate acct",G12)),ISNUMBER(SEARCH("unknown",G12)),ISNUMBER(SEARCH("inactive",G12)),H12=""),0,1)</f>
        <v>1</v>
      </c>
    </row>
    <row r="13" spans="1:22" hidden="1">
      <c r="A13" s="2">
        <v>45813</v>
      </c>
      <c r="B13" s="1" t="s">
        <v>77</v>
      </c>
      <c r="C13" s="1" t="s">
        <v>78</v>
      </c>
      <c r="D13" s="1" t="s">
        <v>79</v>
      </c>
      <c r="E13" s="1" t="s">
        <v>24</v>
      </c>
      <c r="F13" s="3" t="s">
        <v>25</v>
      </c>
      <c r="G13" s="1" t="s">
        <v>80</v>
      </c>
      <c r="H13" s="4" t="s">
        <v>5481</v>
      </c>
      <c r="I13" s="6" t="s">
        <v>40</v>
      </c>
      <c r="J13" s="5" t="s">
        <v>31</v>
      </c>
      <c r="K13" s="5" t="s">
        <v>31</v>
      </c>
      <c r="L13" s="5" t="s">
        <v>32</v>
      </c>
      <c r="M13" s="5" t="s">
        <v>31</v>
      </c>
      <c r="N13" s="5" t="s">
        <v>31</v>
      </c>
      <c r="O13" s="5" t="s">
        <v>32</v>
      </c>
      <c r="P13" s="5" t="s">
        <v>33</v>
      </c>
      <c r="Q13" s="2">
        <v>45957</v>
      </c>
      <c r="V13" s="45">
        <f>IF(OR(ISNUMBER(SEARCH("unable to locate acct",G13)),ISNUMBER(SEARCH("unknown",G13)),ISNUMBER(SEARCH("inactive",G13)),H13=""),0,1)</f>
        <v>1</v>
      </c>
    </row>
    <row r="14" spans="1:22" hidden="1">
      <c r="A14" s="2">
        <v>45813</v>
      </c>
      <c r="B14" s="1" t="s">
        <v>81</v>
      </c>
      <c r="C14" s="1" t="s">
        <v>82</v>
      </c>
      <c r="D14" s="1" t="s">
        <v>83</v>
      </c>
      <c r="E14" s="1">
        <v>86336</v>
      </c>
      <c r="F14" s="3" t="s">
        <v>25</v>
      </c>
      <c r="G14" s="1" t="s">
        <v>80</v>
      </c>
      <c r="H14" s="4" t="s">
        <v>84</v>
      </c>
      <c r="J14" s="5" t="s">
        <v>31</v>
      </c>
      <c r="V14" s="45">
        <f>IF(OR(ISNUMBER(SEARCH("unable to locate acct",G14)),ISNUMBER(SEARCH("unknown",G14)),ISNUMBER(SEARCH("inactive",G14)),H14=""),0,1)</f>
        <v>1</v>
      </c>
    </row>
    <row r="15" spans="1:22" hidden="1">
      <c r="A15" s="2">
        <v>45814</v>
      </c>
      <c r="B15" s="1" t="s">
        <v>85</v>
      </c>
      <c r="C15" s="1" t="s">
        <v>86</v>
      </c>
      <c r="D15" s="1" t="s">
        <v>87</v>
      </c>
      <c r="E15" s="1">
        <v>85351</v>
      </c>
      <c r="F15" s="3" t="s">
        <v>25</v>
      </c>
      <c r="G15" s="1" t="s">
        <v>88</v>
      </c>
      <c r="H15" s="4" t="s">
        <v>2980</v>
      </c>
      <c r="I15" s="5" t="s">
        <v>67</v>
      </c>
      <c r="J15" s="5" t="s">
        <v>31</v>
      </c>
      <c r="K15" s="5" t="s">
        <v>31</v>
      </c>
      <c r="L15" s="5" t="s">
        <v>32</v>
      </c>
      <c r="M15" s="5" t="s">
        <v>31</v>
      </c>
      <c r="N15" s="5" t="s">
        <v>31</v>
      </c>
      <c r="O15" s="5" t="s">
        <v>32</v>
      </c>
      <c r="P15" s="5" t="s">
        <v>33</v>
      </c>
      <c r="Q15" s="2">
        <v>45957</v>
      </c>
      <c r="V15" s="45">
        <f>IF(OR(ISNUMBER(SEARCH("unable to locate acct",G15)),ISNUMBER(SEARCH("unknown",G15)),ISNUMBER(SEARCH("inactive",G15)),H15=""),0,1)</f>
        <v>1</v>
      </c>
    </row>
    <row r="16" spans="1:22" hidden="1">
      <c r="A16" s="2">
        <v>45821</v>
      </c>
      <c r="B16" s="1" t="s">
        <v>89</v>
      </c>
      <c r="C16" s="1" t="s">
        <v>90</v>
      </c>
      <c r="D16" s="1" t="s">
        <v>24</v>
      </c>
      <c r="E16" s="1" t="s">
        <v>24</v>
      </c>
      <c r="F16" s="3" t="s">
        <v>25</v>
      </c>
      <c r="G16" s="1" t="s">
        <v>91</v>
      </c>
      <c r="H16" s="4" t="s">
        <v>92</v>
      </c>
      <c r="I16" s="6" t="s">
        <v>40</v>
      </c>
      <c r="J16" s="5" t="s">
        <v>31</v>
      </c>
      <c r="K16" s="5" t="s">
        <v>31</v>
      </c>
      <c r="L16" s="7" t="s">
        <v>93</v>
      </c>
      <c r="M16" s="5" t="s">
        <v>31</v>
      </c>
      <c r="N16" s="5" t="s">
        <v>31</v>
      </c>
      <c r="O16" s="5" t="s">
        <v>32</v>
      </c>
      <c r="P16" s="5" t="s">
        <v>33</v>
      </c>
      <c r="Q16" s="2">
        <v>45957</v>
      </c>
      <c r="R16" s="1" t="s">
        <v>94</v>
      </c>
      <c r="V16" s="45">
        <f>IF(OR(ISNUMBER(SEARCH("unable to locate acct",G16)),ISNUMBER(SEARCH("unknown",G16)),ISNUMBER(SEARCH("inactive",G16)),H16=""),0,1)</f>
        <v>1</v>
      </c>
    </row>
    <row r="17" spans="1:22" ht="10.35" hidden="1" customHeight="1">
      <c r="A17" s="2">
        <v>45824</v>
      </c>
      <c r="B17" s="1" t="s">
        <v>95</v>
      </c>
      <c r="C17" s="1" t="s">
        <v>96</v>
      </c>
      <c r="D17" s="1" t="s">
        <v>24</v>
      </c>
      <c r="E17" s="1" t="s">
        <v>24</v>
      </c>
      <c r="F17" s="3" t="s">
        <v>25</v>
      </c>
      <c r="G17" s="3" t="s">
        <v>97</v>
      </c>
      <c r="H17" s="4" t="s">
        <v>21</v>
      </c>
      <c r="I17" s="6"/>
      <c r="U17" s="1" t="s">
        <v>98</v>
      </c>
      <c r="V17" s="45">
        <f>IF(OR(ISNUMBER(SEARCH("unable to locate acct",G17)),ISNUMBER(SEARCH("unknown",G17)),ISNUMBER(SEARCH("inactive",G17)),H17=""),0,1)</f>
        <v>1</v>
      </c>
    </row>
    <row r="18" spans="1:22" hidden="1">
      <c r="A18" s="2">
        <v>45824</v>
      </c>
      <c r="B18" s="1" t="s">
        <v>99</v>
      </c>
      <c r="C18" s="1" t="s">
        <v>100</v>
      </c>
      <c r="D18" s="1" t="s">
        <v>24</v>
      </c>
      <c r="E18" s="1" t="s">
        <v>24</v>
      </c>
      <c r="F18" s="3" t="s">
        <v>25</v>
      </c>
      <c r="G18" s="1" t="s">
        <v>101</v>
      </c>
      <c r="H18" s="4" t="s">
        <v>21</v>
      </c>
      <c r="I18" s="6"/>
      <c r="V18" s="45">
        <f>IF(OR(ISNUMBER(SEARCH("unable to locate acct",G18)),ISNUMBER(SEARCH("unknown",G18)),ISNUMBER(SEARCH("inactive",G18)),H18=""),0,1)</f>
        <v>1</v>
      </c>
    </row>
    <row r="19" spans="1:22" hidden="1">
      <c r="A19" s="2">
        <v>45824</v>
      </c>
      <c r="B19" s="1" t="s">
        <v>22</v>
      </c>
      <c r="C19" s="1" t="s">
        <v>23</v>
      </c>
      <c r="D19" s="1" t="s">
        <v>24</v>
      </c>
      <c r="E19" s="1" t="s">
        <v>24</v>
      </c>
      <c r="F19" s="3" t="s">
        <v>25</v>
      </c>
      <c r="G19" s="1" t="s">
        <v>102</v>
      </c>
      <c r="H19" s="4" t="s">
        <v>21</v>
      </c>
      <c r="I19" s="6"/>
      <c r="U19" s="1" t="s">
        <v>103</v>
      </c>
      <c r="V19" s="45">
        <f>IF(OR(ISNUMBER(SEARCH("unable to locate acct",G19)),ISNUMBER(SEARCH("unknown",G19)),ISNUMBER(SEARCH("inactive",G19)),H19=""),0,1)</f>
        <v>1</v>
      </c>
    </row>
    <row r="20" spans="1:22" hidden="1">
      <c r="A20" s="2">
        <v>45825</v>
      </c>
      <c r="B20" s="1" t="s">
        <v>104</v>
      </c>
      <c r="C20" s="1" t="s">
        <v>105</v>
      </c>
      <c r="D20" s="1" t="s">
        <v>106</v>
      </c>
      <c r="E20" s="1">
        <v>85379</v>
      </c>
      <c r="F20" s="3" t="s">
        <v>25</v>
      </c>
      <c r="G20" s="1" t="s">
        <v>107</v>
      </c>
      <c r="H20" s="4" t="s">
        <v>21</v>
      </c>
      <c r="I20" s="6"/>
      <c r="V20" s="45">
        <f>IF(OR(ISNUMBER(SEARCH("unable to locate acct",G20)),ISNUMBER(SEARCH("unknown",G20)),ISNUMBER(SEARCH("inactive",G20)),H20=""),0,1)</f>
        <v>1</v>
      </c>
    </row>
    <row r="21" spans="1:22" hidden="1">
      <c r="A21" s="2">
        <v>45825</v>
      </c>
      <c r="B21" s="1" t="s">
        <v>108</v>
      </c>
      <c r="C21" s="1" t="s">
        <v>109</v>
      </c>
      <c r="D21" s="1" t="s">
        <v>106</v>
      </c>
      <c r="E21" s="1">
        <v>85387</v>
      </c>
      <c r="F21" s="3" t="s">
        <v>25</v>
      </c>
      <c r="G21" s="1" t="s">
        <v>107</v>
      </c>
      <c r="H21" s="4" t="s">
        <v>21</v>
      </c>
      <c r="I21" s="6"/>
      <c r="V21" s="45">
        <f>IF(OR(ISNUMBER(SEARCH("unable to locate acct",G21)),ISNUMBER(SEARCH("unknown",G21)),ISNUMBER(SEARCH("inactive",G21)),H21=""),0,1)</f>
        <v>1</v>
      </c>
    </row>
    <row r="22" spans="1:22" hidden="1">
      <c r="A22" s="2">
        <v>45825</v>
      </c>
      <c r="B22" s="1" t="s">
        <v>110</v>
      </c>
      <c r="C22" s="1" t="s">
        <v>111</v>
      </c>
      <c r="D22" s="1" t="s">
        <v>18</v>
      </c>
      <c r="E22" s="1">
        <v>85308</v>
      </c>
      <c r="F22" s="3" t="s">
        <v>25</v>
      </c>
      <c r="G22" s="1" t="s">
        <v>107</v>
      </c>
      <c r="H22" s="4" t="s">
        <v>112</v>
      </c>
      <c r="I22" s="6" t="s">
        <v>30</v>
      </c>
      <c r="J22" s="5" t="s">
        <v>31</v>
      </c>
      <c r="K22" s="5" t="s">
        <v>31</v>
      </c>
      <c r="L22" s="4" t="s">
        <v>32</v>
      </c>
      <c r="M22" s="4" t="s">
        <v>31</v>
      </c>
      <c r="N22" s="4" t="s">
        <v>31</v>
      </c>
      <c r="O22" s="5" t="s">
        <v>32</v>
      </c>
      <c r="P22" s="5" t="s">
        <v>33</v>
      </c>
      <c r="Q22" s="2">
        <v>45957</v>
      </c>
      <c r="V22" s="45">
        <f>IF(OR(ISNUMBER(SEARCH("unable to locate acct",G22)),ISNUMBER(SEARCH("unknown",G22)),ISNUMBER(SEARCH("inactive",G22)),H22=""),0,1)</f>
        <v>1</v>
      </c>
    </row>
    <row r="23" spans="1:22" hidden="1">
      <c r="A23" s="2">
        <v>45826</v>
      </c>
      <c r="B23" s="1" t="s">
        <v>113</v>
      </c>
      <c r="C23" s="1" t="s">
        <v>114</v>
      </c>
      <c r="D23" s="1" t="s">
        <v>57</v>
      </c>
      <c r="E23" s="1">
        <v>85027</v>
      </c>
      <c r="F23" s="3" t="s">
        <v>25</v>
      </c>
      <c r="G23" s="1" t="s">
        <v>115</v>
      </c>
      <c r="H23" s="4" t="s">
        <v>21</v>
      </c>
      <c r="U23" s="1" t="s">
        <v>116</v>
      </c>
      <c r="V23" s="45">
        <f>IF(OR(ISNUMBER(SEARCH("unable to locate acct",G23)),ISNUMBER(SEARCH("unknown",G23)),ISNUMBER(SEARCH("inactive",G23)),H23=""),0,1)</f>
        <v>1</v>
      </c>
    </row>
    <row r="24" spans="1:22" hidden="1">
      <c r="A24" s="2">
        <v>45826</v>
      </c>
      <c r="B24" s="1" t="s">
        <v>117</v>
      </c>
      <c r="C24" s="1" t="s">
        <v>118</v>
      </c>
      <c r="D24" s="1" t="s">
        <v>119</v>
      </c>
      <c r="E24" s="1">
        <v>85254</v>
      </c>
      <c r="F24" s="3" t="s">
        <v>25</v>
      </c>
      <c r="G24" s="1" t="s">
        <v>115</v>
      </c>
      <c r="H24" s="4" t="s">
        <v>5111</v>
      </c>
      <c r="I24" s="5" t="s">
        <v>120</v>
      </c>
      <c r="J24" s="5" t="s">
        <v>31</v>
      </c>
      <c r="K24" s="5" t="s">
        <v>31</v>
      </c>
      <c r="L24" s="5" t="s">
        <v>32</v>
      </c>
      <c r="M24" s="5" t="s">
        <v>31</v>
      </c>
      <c r="N24" s="5" t="s">
        <v>31</v>
      </c>
      <c r="O24" s="5" t="s">
        <v>32</v>
      </c>
      <c r="P24" s="5" t="s">
        <v>33</v>
      </c>
      <c r="Q24" s="2">
        <v>45957</v>
      </c>
      <c r="V24" s="45">
        <f>IF(OR(ISNUMBER(SEARCH("unable to locate acct",G24)),ISNUMBER(SEARCH("unknown",G24)),ISNUMBER(SEARCH("inactive",G24)),H24=""),0,1)</f>
        <v>1</v>
      </c>
    </row>
    <row r="25" spans="1:22" hidden="1">
      <c r="A25" s="2">
        <v>45826</v>
      </c>
      <c r="B25" s="1" t="s">
        <v>121</v>
      </c>
      <c r="C25" s="1" t="s">
        <v>122</v>
      </c>
      <c r="D25" s="1" t="s">
        <v>123</v>
      </c>
      <c r="E25" s="1">
        <v>85233</v>
      </c>
      <c r="F25" s="3" t="s">
        <v>25</v>
      </c>
      <c r="G25" s="1" t="s">
        <v>115</v>
      </c>
      <c r="H25" s="4" t="s">
        <v>5486</v>
      </c>
      <c r="I25" s="5" t="s">
        <v>30</v>
      </c>
      <c r="J25" s="5" t="s">
        <v>31</v>
      </c>
      <c r="K25" s="5" t="s">
        <v>31</v>
      </c>
      <c r="L25" s="5" t="s">
        <v>32</v>
      </c>
      <c r="M25" s="5" t="s">
        <v>31</v>
      </c>
      <c r="N25" s="5" t="s">
        <v>31</v>
      </c>
      <c r="O25" s="5" t="s">
        <v>32</v>
      </c>
      <c r="P25" s="5" t="s">
        <v>33</v>
      </c>
      <c r="Q25" s="2">
        <v>45957</v>
      </c>
      <c r="V25" s="45">
        <f>IF(OR(ISNUMBER(SEARCH("unable to locate acct",G25)),ISNUMBER(SEARCH("unknown",G25)),ISNUMBER(SEARCH("inactive",G25)),H25=""),0,1)</f>
        <v>1</v>
      </c>
    </row>
    <row r="26" spans="1:22" hidden="1">
      <c r="A26" s="2">
        <v>45826</v>
      </c>
      <c r="B26" s="1" t="s">
        <v>124</v>
      </c>
      <c r="C26" s="1" t="s">
        <v>125</v>
      </c>
      <c r="D26" s="1" t="s">
        <v>106</v>
      </c>
      <c r="E26" s="1">
        <v>85388</v>
      </c>
      <c r="F26" s="3" t="s">
        <v>25</v>
      </c>
      <c r="G26" s="1" t="s">
        <v>115</v>
      </c>
      <c r="H26" s="4" t="s">
        <v>5112</v>
      </c>
      <c r="I26" s="5" t="s">
        <v>30</v>
      </c>
      <c r="J26" s="5" t="s">
        <v>31</v>
      </c>
      <c r="K26" s="5" t="s">
        <v>31</v>
      </c>
      <c r="L26" s="5" t="s">
        <v>32</v>
      </c>
      <c r="M26" s="5" t="s">
        <v>31</v>
      </c>
      <c r="N26" s="5" t="s">
        <v>31</v>
      </c>
      <c r="O26" s="5" t="s">
        <v>32</v>
      </c>
      <c r="P26" s="5" t="s">
        <v>33</v>
      </c>
      <c r="Q26" s="2">
        <v>45957</v>
      </c>
      <c r="V26" s="45">
        <f>IF(OR(ISNUMBER(SEARCH("unable to locate acct",G26)),ISNUMBER(SEARCH("unknown",G26)),ISNUMBER(SEARCH("inactive",G26)),H26=""),0,1)</f>
        <v>1</v>
      </c>
    </row>
    <row r="27" spans="1:22" hidden="1">
      <c r="A27" s="2">
        <v>45826</v>
      </c>
      <c r="B27" s="1" t="s">
        <v>126</v>
      </c>
      <c r="C27" s="1" t="s">
        <v>127</v>
      </c>
      <c r="D27" s="1" t="s">
        <v>119</v>
      </c>
      <c r="E27" s="1">
        <v>85266</v>
      </c>
      <c r="F27" s="3" t="s">
        <v>25</v>
      </c>
      <c r="G27" s="1" t="s">
        <v>115</v>
      </c>
      <c r="H27" s="4" t="s">
        <v>5113</v>
      </c>
      <c r="I27" s="5" t="s">
        <v>30</v>
      </c>
      <c r="J27" s="5" t="s">
        <v>31</v>
      </c>
      <c r="K27" s="5" t="s">
        <v>31</v>
      </c>
      <c r="L27" s="5" t="s">
        <v>32</v>
      </c>
      <c r="M27" s="5" t="s">
        <v>31</v>
      </c>
      <c r="N27" s="5" t="s">
        <v>31</v>
      </c>
      <c r="O27" s="5" t="s">
        <v>32</v>
      </c>
      <c r="P27" s="5" t="s">
        <v>33</v>
      </c>
      <c r="Q27" s="2">
        <v>45957</v>
      </c>
      <c r="V27" s="45">
        <f>IF(OR(ISNUMBER(SEARCH("unable to locate acct",G27)),ISNUMBER(SEARCH("unknown",G27)),ISNUMBER(SEARCH("inactive",G27)),H27=""),0,1)</f>
        <v>1</v>
      </c>
    </row>
    <row r="28" spans="1:22" hidden="1">
      <c r="A28" s="2">
        <v>45826</v>
      </c>
      <c r="B28" s="1" t="s">
        <v>128</v>
      </c>
      <c r="C28" s="1" t="s">
        <v>129</v>
      </c>
      <c r="D28" s="1" t="s">
        <v>130</v>
      </c>
      <c r="E28" s="1" t="s">
        <v>24</v>
      </c>
      <c r="F28" s="3" t="s">
        <v>25</v>
      </c>
      <c r="G28" s="1" t="s">
        <v>131</v>
      </c>
      <c r="H28" s="4" t="s">
        <v>21</v>
      </c>
      <c r="I28" s="6"/>
      <c r="U28" s="1" t="s">
        <v>71</v>
      </c>
      <c r="V28" s="45">
        <f>IF(OR(ISNUMBER(SEARCH("unable to locate acct",G28)),ISNUMBER(SEARCH("unknown",G28)),ISNUMBER(SEARCH("inactive",G28)),H28=""),0,1)</f>
        <v>1</v>
      </c>
    </row>
    <row r="29" spans="1:22" hidden="1">
      <c r="A29" s="2">
        <v>45826</v>
      </c>
      <c r="B29" s="1" t="s">
        <v>132</v>
      </c>
      <c r="C29" s="1" t="s">
        <v>133</v>
      </c>
      <c r="D29" s="1" t="s">
        <v>119</v>
      </c>
      <c r="E29" s="1">
        <v>85254</v>
      </c>
      <c r="F29" s="3" t="s">
        <v>25</v>
      </c>
      <c r="G29" s="1" t="s">
        <v>131</v>
      </c>
      <c r="H29" s="4" t="s">
        <v>134</v>
      </c>
      <c r="I29" s="5" t="s">
        <v>51</v>
      </c>
      <c r="J29" s="5" t="s">
        <v>135</v>
      </c>
      <c r="K29" s="5" t="s">
        <v>31</v>
      </c>
      <c r="L29" s="5" t="s">
        <v>136</v>
      </c>
      <c r="M29" s="5" t="s">
        <v>31</v>
      </c>
      <c r="N29" s="5" t="s">
        <v>31</v>
      </c>
      <c r="O29" s="5" t="s">
        <v>32</v>
      </c>
      <c r="P29" s="5" t="s">
        <v>33</v>
      </c>
      <c r="Q29" s="2">
        <v>45957</v>
      </c>
      <c r="U29" s="1" t="s">
        <v>137</v>
      </c>
      <c r="V29" s="45">
        <f>IF(OR(ISNUMBER(SEARCH("unable to locate acct",G29)),ISNUMBER(SEARCH("unknown",G29)),ISNUMBER(SEARCH("inactive",G29)),H29=""),0,1)</f>
        <v>1</v>
      </c>
    </row>
    <row r="30" spans="1:22" hidden="1">
      <c r="A30" s="2">
        <v>45826</v>
      </c>
      <c r="B30" s="1" t="s">
        <v>138</v>
      </c>
      <c r="C30" s="1" t="s">
        <v>139</v>
      </c>
      <c r="D30" s="1" t="s">
        <v>57</v>
      </c>
      <c r="E30" s="1">
        <v>85029</v>
      </c>
      <c r="F30" s="3" t="s">
        <v>25</v>
      </c>
      <c r="G30" s="1" t="s">
        <v>131</v>
      </c>
      <c r="H30" s="4" t="s">
        <v>140</v>
      </c>
      <c r="I30" s="5" t="s">
        <v>30</v>
      </c>
      <c r="J30" s="5" t="s">
        <v>31</v>
      </c>
      <c r="K30" s="5" t="s">
        <v>31</v>
      </c>
      <c r="L30" s="7" t="s">
        <v>141</v>
      </c>
      <c r="M30" s="5" t="s">
        <v>31</v>
      </c>
      <c r="N30" s="5" t="s">
        <v>31</v>
      </c>
      <c r="O30" s="5" t="s">
        <v>32</v>
      </c>
      <c r="P30" s="2">
        <v>45964</v>
      </c>
      <c r="Q30" s="2">
        <v>45957</v>
      </c>
      <c r="R30" s="1" t="s">
        <v>142</v>
      </c>
      <c r="U30" s="1" t="s">
        <v>143</v>
      </c>
      <c r="V30" s="45">
        <f>IF(OR(ISNUMBER(SEARCH("unable to locate acct",G30)),ISNUMBER(SEARCH("unknown",G30)),ISNUMBER(SEARCH("inactive",G30)),H30=""),0,1)</f>
        <v>1</v>
      </c>
    </row>
    <row r="31" spans="1:22" hidden="1">
      <c r="A31" s="2">
        <v>45826</v>
      </c>
      <c r="B31" s="1" t="s">
        <v>144</v>
      </c>
      <c r="C31" s="1" t="s">
        <v>127</v>
      </c>
      <c r="D31" s="1" t="s">
        <v>24</v>
      </c>
      <c r="E31" s="1" t="s">
        <v>24</v>
      </c>
      <c r="F31" s="3" t="s">
        <v>25</v>
      </c>
      <c r="G31" s="1" t="s">
        <v>145</v>
      </c>
      <c r="H31" s="4" t="s">
        <v>21</v>
      </c>
      <c r="I31" s="6"/>
      <c r="U31" s="1" t="s">
        <v>71</v>
      </c>
      <c r="V31" s="45">
        <f>IF(OR(ISNUMBER(SEARCH("unable to locate acct",G31)),ISNUMBER(SEARCH("unknown",G31)),ISNUMBER(SEARCH("inactive",G31)),H31=""),0,1)</f>
        <v>1</v>
      </c>
    </row>
    <row r="32" spans="1:22" hidden="1">
      <c r="A32" s="2">
        <v>45826</v>
      </c>
      <c r="B32" s="1" t="s">
        <v>146</v>
      </c>
      <c r="C32" s="1" t="s">
        <v>147</v>
      </c>
      <c r="D32" s="1" t="s">
        <v>24</v>
      </c>
      <c r="E32" s="1" t="s">
        <v>24</v>
      </c>
      <c r="F32" s="3" t="s">
        <v>25</v>
      </c>
      <c r="G32" s="1" t="s">
        <v>145</v>
      </c>
      <c r="H32" s="4" t="s">
        <v>148</v>
      </c>
      <c r="I32" s="5" t="s">
        <v>67</v>
      </c>
      <c r="J32" s="5" t="s">
        <v>31</v>
      </c>
      <c r="K32" s="5" t="s">
        <v>31</v>
      </c>
      <c r="L32" s="4" t="s">
        <v>32</v>
      </c>
      <c r="M32" s="4" t="s">
        <v>31</v>
      </c>
      <c r="N32" s="4" t="s">
        <v>31</v>
      </c>
      <c r="O32" s="5" t="s">
        <v>32</v>
      </c>
      <c r="P32" s="5" t="s">
        <v>33</v>
      </c>
      <c r="Q32" s="2">
        <v>45957</v>
      </c>
      <c r="V32" s="45">
        <f>IF(OR(ISNUMBER(SEARCH("unable to locate acct",G32)),ISNUMBER(SEARCH("unknown",G32)),ISNUMBER(SEARCH("inactive",G32)),H32=""),0,1)</f>
        <v>1</v>
      </c>
    </row>
    <row r="33" spans="1:22" hidden="1">
      <c r="A33" s="2">
        <v>45826</v>
      </c>
      <c r="B33" s="1" t="s">
        <v>149</v>
      </c>
      <c r="C33" s="1" t="s">
        <v>150</v>
      </c>
      <c r="D33" s="1" t="s">
        <v>24</v>
      </c>
      <c r="E33" s="1" t="s">
        <v>24</v>
      </c>
      <c r="F33" s="3" t="s">
        <v>25</v>
      </c>
      <c r="G33" s="1" t="s">
        <v>145</v>
      </c>
      <c r="H33" s="4" t="s">
        <v>151</v>
      </c>
      <c r="I33" s="6" t="s">
        <v>30</v>
      </c>
      <c r="J33" s="5" t="s">
        <v>31</v>
      </c>
      <c r="K33" s="5" t="s">
        <v>31</v>
      </c>
      <c r="L33" s="4" t="s">
        <v>32</v>
      </c>
      <c r="M33" s="4" t="s">
        <v>31</v>
      </c>
      <c r="N33" s="4" t="s">
        <v>31</v>
      </c>
      <c r="O33" s="5" t="s">
        <v>32</v>
      </c>
      <c r="P33" s="5" t="s">
        <v>33</v>
      </c>
      <c r="Q33" s="2">
        <v>45957</v>
      </c>
      <c r="R33" s="1" t="s">
        <v>152</v>
      </c>
      <c r="U33" s="1" t="s">
        <v>153</v>
      </c>
      <c r="V33" s="45">
        <f>IF(OR(ISNUMBER(SEARCH("unable to locate acct",G33)),ISNUMBER(SEARCH("unknown",G33)),ISNUMBER(SEARCH("inactive",G33)),H33=""),0,1)</f>
        <v>1</v>
      </c>
    </row>
    <row r="34" spans="1:22" hidden="1">
      <c r="A34" s="2">
        <v>45826</v>
      </c>
      <c r="B34" s="1" t="s">
        <v>154</v>
      </c>
      <c r="C34" s="1" t="s">
        <v>111</v>
      </c>
      <c r="D34" s="1" t="s">
        <v>18</v>
      </c>
      <c r="E34" s="1">
        <v>85310</v>
      </c>
      <c r="F34" s="3" t="s">
        <v>25</v>
      </c>
      <c r="G34" s="1" t="s">
        <v>145</v>
      </c>
      <c r="H34" s="4" t="s">
        <v>21</v>
      </c>
      <c r="I34" s="6"/>
      <c r="U34" s="1" t="s">
        <v>71</v>
      </c>
      <c r="V34" s="45">
        <f>IF(OR(ISNUMBER(SEARCH("unable to locate acct",G34)),ISNUMBER(SEARCH("unknown",G34)),ISNUMBER(SEARCH("inactive",G34)),H34=""),0,1)</f>
        <v>1</v>
      </c>
    </row>
    <row r="35" spans="1:22" hidden="1">
      <c r="A35" s="2">
        <v>45826</v>
      </c>
      <c r="B35" s="1" t="s">
        <v>155</v>
      </c>
      <c r="C35" s="1" t="s">
        <v>156</v>
      </c>
      <c r="D35" s="1" t="s">
        <v>62</v>
      </c>
      <c r="E35" s="1">
        <v>85331</v>
      </c>
      <c r="F35" s="3" t="s">
        <v>25</v>
      </c>
      <c r="G35" s="1" t="s">
        <v>145</v>
      </c>
      <c r="H35" s="4" t="s">
        <v>157</v>
      </c>
      <c r="I35" s="6" t="s">
        <v>158</v>
      </c>
      <c r="J35" s="5" t="s">
        <v>31</v>
      </c>
      <c r="K35" s="5" t="s">
        <v>31</v>
      </c>
      <c r="L35" s="9" t="s">
        <v>159</v>
      </c>
      <c r="M35" s="4" t="s">
        <v>31</v>
      </c>
      <c r="N35" s="4" t="s">
        <v>31</v>
      </c>
      <c r="O35" s="5" t="s">
        <v>32</v>
      </c>
      <c r="P35" s="2">
        <v>45964</v>
      </c>
      <c r="Q35" s="2">
        <v>45957</v>
      </c>
      <c r="R35" s="1" t="s">
        <v>142</v>
      </c>
      <c r="U35" s="1" t="s">
        <v>160</v>
      </c>
      <c r="V35" s="45">
        <f>IF(OR(ISNUMBER(SEARCH("unable to locate acct",G35)),ISNUMBER(SEARCH("unknown",G35)),ISNUMBER(SEARCH("inactive",G35)),H35=""),0,1)</f>
        <v>1</v>
      </c>
    </row>
    <row r="36" spans="1:22" hidden="1">
      <c r="A36" s="2">
        <v>45827</v>
      </c>
      <c r="B36" s="1" t="s">
        <v>161</v>
      </c>
      <c r="C36" s="1" t="s">
        <v>162</v>
      </c>
      <c r="D36" s="1" t="s">
        <v>163</v>
      </c>
      <c r="E36" s="1" t="s">
        <v>24</v>
      </c>
      <c r="F36" s="3" t="s">
        <v>164</v>
      </c>
      <c r="G36" s="1" t="s">
        <v>165</v>
      </c>
      <c r="H36" s="4" t="s">
        <v>21</v>
      </c>
      <c r="I36" s="6"/>
      <c r="L36" s="4"/>
      <c r="M36" s="4"/>
      <c r="N36" s="4"/>
      <c r="U36" s="1" t="s">
        <v>71</v>
      </c>
      <c r="V36" s="45">
        <f>IF(OR(ISNUMBER(SEARCH("unable to locate acct",G36)),ISNUMBER(SEARCH("unknown",G36)),ISNUMBER(SEARCH("inactive",G36)),H36=""),0,1)</f>
        <v>1</v>
      </c>
    </row>
    <row r="37" spans="1:22" hidden="1">
      <c r="A37" s="2">
        <v>45827</v>
      </c>
      <c r="B37" s="1" t="s">
        <v>166</v>
      </c>
      <c r="C37" s="1" t="s">
        <v>167</v>
      </c>
      <c r="D37" s="1" t="s">
        <v>168</v>
      </c>
      <c r="E37" s="1" t="s">
        <v>24</v>
      </c>
      <c r="F37" s="3" t="s">
        <v>25</v>
      </c>
      <c r="G37" s="1" t="s">
        <v>169</v>
      </c>
      <c r="H37" s="4" t="s">
        <v>21</v>
      </c>
      <c r="I37" s="6"/>
      <c r="L37" s="4"/>
      <c r="M37" s="4"/>
      <c r="N37" s="4"/>
      <c r="U37" s="1" t="s">
        <v>71</v>
      </c>
      <c r="V37" s="45">
        <f>IF(OR(ISNUMBER(SEARCH("unable to locate acct",G37)),ISNUMBER(SEARCH("unknown",G37)),ISNUMBER(SEARCH("inactive",G37)),H37=""),0,1)</f>
        <v>1</v>
      </c>
    </row>
    <row r="38" spans="1:22" hidden="1">
      <c r="A38" s="2">
        <v>45827</v>
      </c>
      <c r="B38" s="1" t="s">
        <v>170</v>
      </c>
      <c r="C38" s="1" t="s">
        <v>171</v>
      </c>
      <c r="D38" s="1" t="s">
        <v>24</v>
      </c>
      <c r="E38" s="1" t="s">
        <v>24</v>
      </c>
      <c r="F38" s="3" t="s">
        <v>25</v>
      </c>
      <c r="G38" s="1" t="s">
        <v>169</v>
      </c>
      <c r="H38" s="4" t="s">
        <v>21</v>
      </c>
      <c r="I38" s="6"/>
      <c r="L38" s="4"/>
      <c r="M38" s="4"/>
      <c r="N38" s="4"/>
      <c r="U38" s="1" t="s">
        <v>71</v>
      </c>
      <c r="V38" s="45">
        <f>IF(OR(ISNUMBER(SEARCH("unable to locate acct",G38)),ISNUMBER(SEARCH("unknown",G38)),ISNUMBER(SEARCH("inactive",G38)),H38=""),0,1)</f>
        <v>1</v>
      </c>
    </row>
    <row r="39" spans="1:22" hidden="1">
      <c r="A39" s="2">
        <v>45827</v>
      </c>
      <c r="B39" s="1" t="s">
        <v>172</v>
      </c>
      <c r="C39" s="1" t="s">
        <v>173</v>
      </c>
      <c r="D39" s="1" t="s">
        <v>24</v>
      </c>
      <c r="E39" s="1" t="s">
        <v>24</v>
      </c>
      <c r="F39" s="3" t="s">
        <v>25</v>
      </c>
      <c r="G39" s="1" t="s">
        <v>169</v>
      </c>
      <c r="H39" s="4" t="s">
        <v>5114</v>
      </c>
      <c r="I39" s="6" t="s">
        <v>30</v>
      </c>
      <c r="J39" s="5" t="s">
        <v>31</v>
      </c>
      <c r="K39" s="5" t="s">
        <v>31</v>
      </c>
      <c r="L39" s="4" t="s">
        <v>32</v>
      </c>
      <c r="M39" s="4" t="s">
        <v>31</v>
      </c>
      <c r="N39" s="4" t="s">
        <v>31</v>
      </c>
      <c r="O39" s="5" t="s">
        <v>32</v>
      </c>
      <c r="P39" s="5" t="s">
        <v>33</v>
      </c>
      <c r="Q39" s="2">
        <v>45957</v>
      </c>
      <c r="V39" s="45">
        <f>IF(OR(ISNUMBER(SEARCH("unable to locate acct",G39)),ISNUMBER(SEARCH("unknown",G39)),ISNUMBER(SEARCH("inactive",G39)),H39=""),0,1)</f>
        <v>1</v>
      </c>
    </row>
    <row r="40" spans="1:22" hidden="1">
      <c r="A40" s="2">
        <v>45827</v>
      </c>
      <c r="B40" s="1" t="s">
        <v>174</v>
      </c>
      <c r="C40" s="1" t="s">
        <v>175</v>
      </c>
      <c r="D40" s="1" t="s">
        <v>57</v>
      </c>
      <c r="E40" s="1" t="s">
        <v>24</v>
      </c>
      <c r="F40" s="3" t="s">
        <v>25</v>
      </c>
      <c r="G40" s="1" t="s">
        <v>176</v>
      </c>
      <c r="H40" s="4" t="s">
        <v>21</v>
      </c>
      <c r="I40" s="6"/>
      <c r="L40" s="4"/>
      <c r="M40" s="4"/>
      <c r="N40" s="4"/>
      <c r="V40" s="45">
        <f>IF(OR(ISNUMBER(SEARCH("unable to locate acct",G40)),ISNUMBER(SEARCH("unknown",G40)),ISNUMBER(SEARCH("inactive",G40)),H40=""),0,1)</f>
        <v>1</v>
      </c>
    </row>
    <row r="41" spans="1:22" hidden="1">
      <c r="A41" s="2">
        <v>45827</v>
      </c>
      <c r="B41" s="1" t="s">
        <v>177</v>
      </c>
      <c r="C41" s="1" t="s">
        <v>178</v>
      </c>
      <c r="D41" s="1" t="s">
        <v>106</v>
      </c>
      <c r="E41" s="1">
        <v>85374</v>
      </c>
      <c r="F41" s="3" t="s">
        <v>25</v>
      </c>
      <c r="G41" s="1" t="s">
        <v>176</v>
      </c>
      <c r="H41" s="4" t="s">
        <v>179</v>
      </c>
      <c r="I41" s="6" t="s">
        <v>120</v>
      </c>
      <c r="J41" s="5" t="s">
        <v>31</v>
      </c>
      <c r="K41" s="5" t="s">
        <v>31</v>
      </c>
      <c r="L41" s="4" t="s">
        <v>32</v>
      </c>
      <c r="M41" s="4" t="s">
        <v>31</v>
      </c>
      <c r="N41" s="4" t="s">
        <v>31</v>
      </c>
      <c r="O41" s="5" t="s">
        <v>32</v>
      </c>
      <c r="P41" s="5" t="s">
        <v>33</v>
      </c>
      <c r="Q41" s="2">
        <v>45957</v>
      </c>
      <c r="V41" s="45">
        <f>IF(OR(ISNUMBER(SEARCH("unable to locate acct",G41)),ISNUMBER(SEARCH("unknown",G41)),ISNUMBER(SEARCH("inactive",G41)),H41=""),0,1)</f>
        <v>1</v>
      </c>
    </row>
    <row r="42" spans="1:22" hidden="1">
      <c r="A42" s="2">
        <v>45831</v>
      </c>
      <c r="B42" s="1" t="s">
        <v>180</v>
      </c>
      <c r="C42" s="1" t="s">
        <v>96</v>
      </c>
      <c r="D42" s="1" t="s">
        <v>163</v>
      </c>
      <c r="E42" s="1">
        <v>85338</v>
      </c>
      <c r="F42" s="3" t="s">
        <v>25</v>
      </c>
      <c r="H42" s="4" t="s">
        <v>21</v>
      </c>
      <c r="L42" s="4"/>
      <c r="M42" s="4"/>
      <c r="N42" s="4"/>
      <c r="V42" s="45">
        <f>IF(OR(ISNUMBER(SEARCH("unable to locate acct",G42)),ISNUMBER(SEARCH("unknown",G42)),ISNUMBER(SEARCH("inactive",G42)),H42=""),0,1)</f>
        <v>1</v>
      </c>
    </row>
    <row r="43" spans="1:22" hidden="1">
      <c r="A43" s="2">
        <v>45831</v>
      </c>
      <c r="B43" s="1" t="s">
        <v>181</v>
      </c>
      <c r="C43" s="1" t="s">
        <v>182</v>
      </c>
      <c r="D43" s="1" t="s">
        <v>168</v>
      </c>
      <c r="E43" s="1">
        <v>85326</v>
      </c>
      <c r="F43" s="3" t="s">
        <v>25</v>
      </c>
      <c r="H43" s="4" t="s">
        <v>21</v>
      </c>
      <c r="L43" s="4"/>
      <c r="M43" s="4"/>
      <c r="N43" s="4"/>
      <c r="V43" s="45">
        <f>IF(OR(ISNUMBER(SEARCH("unable to locate acct",G43)),ISNUMBER(SEARCH("unknown",G43)),ISNUMBER(SEARCH("inactive",G43)),H43=""),0,1)</f>
        <v>1</v>
      </c>
    </row>
    <row r="44" spans="1:22" hidden="1">
      <c r="A44" s="2">
        <v>45831</v>
      </c>
      <c r="B44" s="1" t="s">
        <v>183</v>
      </c>
      <c r="C44" s="1" t="s">
        <v>184</v>
      </c>
      <c r="D44" s="1" t="s">
        <v>168</v>
      </c>
      <c r="E44" s="1" t="s">
        <v>24</v>
      </c>
      <c r="F44" s="3" t="s">
        <v>19</v>
      </c>
      <c r="H44" s="4" t="s">
        <v>185</v>
      </c>
      <c r="I44" s="5" t="s">
        <v>120</v>
      </c>
      <c r="J44" s="5" t="s">
        <v>31</v>
      </c>
      <c r="K44" s="5" t="s">
        <v>31</v>
      </c>
      <c r="L44" s="4" t="s">
        <v>186</v>
      </c>
      <c r="M44" s="4" t="s">
        <v>31</v>
      </c>
      <c r="N44" s="4" t="s">
        <v>31</v>
      </c>
      <c r="O44" s="5" t="s">
        <v>32</v>
      </c>
      <c r="P44" s="5" t="s">
        <v>33</v>
      </c>
      <c r="Q44" s="2">
        <v>45957</v>
      </c>
      <c r="V44" s="45">
        <f>IF(OR(ISNUMBER(SEARCH("unable to locate acct",G44)),ISNUMBER(SEARCH("unknown",G44)),ISNUMBER(SEARCH("inactive",G44)),H44=""),0,1)</f>
        <v>1</v>
      </c>
    </row>
    <row r="45" spans="1:22" hidden="1">
      <c r="A45" s="2">
        <v>45831</v>
      </c>
      <c r="B45" s="1" t="s">
        <v>187</v>
      </c>
      <c r="C45" s="1" t="s">
        <v>188</v>
      </c>
      <c r="D45" s="1" t="s">
        <v>57</v>
      </c>
      <c r="E45" s="1">
        <v>85006</v>
      </c>
      <c r="F45" s="3" t="s">
        <v>19</v>
      </c>
      <c r="H45" s="4" t="s">
        <v>189</v>
      </c>
      <c r="I45" s="5" t="s">
        <v>190</v>
      </c>
      <c r="J45" s="5" t="s">
        <v>31</v>
      </c>
      <c r="K45" s="5" t="s">
        <v>31</v>
      </c>
      <c r="L45" s="4" t="s">
        <v>191</v>
      </c>
      <c r="M45" s="4" t="s">
        <v>31</v>
      </c>
      <c r="N45" s="4" t="s">
        <v>31</v>
      </c>
      <c r="O45" s="5" t="s">
        <v>32</v>
      </c>
      <c r="P45" s="5" t="s">
        <v>33</v>
      </c>
      <c r="Q45" s="2">
        <v>45957</v>
      </c>
      <c r="V45" s="45">
        <f>IF(OR(ISNUMBER(SEARCH("unable to locate acct",G45)),ISNUMBER(SEARCH("unknown",G45)),ISNUMBER(SEARCH("inactive",G45)),H45=""),0,1)</f>
        <v>1</v>
      </c>
    </row>
    <row r="46" spans="1:22" hidden="1">
      <c r="A46" s="2">
        <v>45831</v>
      </c>
      <c r="B46" s="1" t="s">
        <v>192</v>
      </c>
      <c r="C46" s="1" t="s">
        <v>193</v>
      </c>
      <c r="D46" s="1" t="s">
        <v>57</v>
      </c>
      <c r="E46" s="1">
        <v>85085</v>
      </c>
      <c r="F46" s="3" t="s">
        <v>19</v>
      </c>
      <c r="H46" s="4" t="s">
        <v>84</v>
      </c>
      <c r="L46" s="4"/>
      <c r="M46" s="4"/>
      <c r="N46" s="4"/>
      <c r="V46" s="45">
        <f>IF(OR(ISNUMBER(SEARCH("unable to locate acct",G46)),ISNUMBER(SEARCH("unknown",G46)),ISNUMBER(SEARCH("inactive",G46)),H46=""),0,1)</f>
        <v>1</v>
      </c>
    </row>
    <row r="47" spans="1:22" hidden="1">
      <c r="A47" s="2">
        <v>45831</v>
      </c>
      <c r="B47" s="1" t="s">
        <v>194</v>
      </c>
      <c r="C47" s="1" t="s">
        <v>195</v>
      </c>
      <c r="D47" s="1" t="s">
        <v>196</v>
      </c>
      <c r="E47" s="1">
        <v>85383</v>
      </c>
      <c r="F47" s="3" t="s">
        <v>19</v>
      </c>
      <c r="H47" s="4" t="s">
        <v>197</v>
      </c>
      <c r="I47" s="5" t="s">
        <v>30</v>
      </c>
      <c r="J47" s="5" t="s">
        <v>31</v>
      </c>
      <c r="K47" s="5" t="s">
        <v>31</v>
      </c>
      <c r="L47" s="4" t="s">
        <v>198</v>
      </c>
      <c r="M47" s="4" t="s">
        <v>31</v>
      </c>
      <c r="N47" s="4" t="s">
        <v>31</v>
      </c>
      <c r="O47" s="5" t="s">
        <v>32</v>
      </c>
      <c r="P47" s="5" t="s">
        <v>33</v>
      </c>
      <c r="Q47" s="2">
        <v>45957</v>
      </c>
      <c r="V47" s="45">
        <f>IF(OR(ISNUMBER(SEARCH("unable to locate acct",G47)),ISNUMBER(SEARCH("unknown",G47)),ISNUMBER(SEARCH("inactive",G47)),H47=""),0,1)</f>
        <v>1</v>
      </c>
    </row>
    <row r="48" spans="1:22" hidden="1">
      <c r="A48" s="2">
        <v>45831</v>
      </c>
      <c r="B48" s="1" t="s">
        <v>199</v>
      </c>
      <c r="C48" s="1" t="s">
        <v>200</v>
      </c>
      <c r="D48" s="1" t="s">
        <v>24</v>
      </c>
      <c r="E48" s="1" t="s">
        <v>24</v>
      </c>
      <c r="F48" s="3" t="s">
        <v>19</v>
      </c>
      <c r="H48" s="4" t="s">
        <v>21</v>
      </c>
      <c r="L48" s="4"/>
      <c r="M48" s="4"/>
      <c r="N48" s="4"/>
      <c r="V48" s="45">
        <f>IF(OR(ISNUMBER(SEARCH("unable to locate acct",G48)),ISNUMBER(SEARCH("unknown",G48)),ISNUMBER(SEARCH("inactive",G48)),H48=""),0,1)</f>
        <v>1</v>
      </c>
    </row>
    <row r="49" spans="1:22" hidden="1">
      <c r="A49" s="2">
        <v>45831</v>
      </c>
      <c r="B49" s="1" t="s">
        <v>201</v>
      </c>
      <c r="C49" s="1" t="s">
        <v>202</v>
      </c>
      <c r="D49" s="1" t="s">
        <v>24</v>
      </c>
      <c r="E49" s="1" t="s">
        <v>24</v>
      </c>
      <c r="F49" s="3" t="s">
        <v>19</v>
      </c>
      <c r="H49" s="4" t="s">
        <v>203</v>
      </c>
      <c r="V49" s="45">
        <f>IF(OR(ISNUMBER(SEARCH("unable to locate acct",G49)),ISNUMBER(SEARCH("unknown",G49)),ISNUMBER(SEARCH("inactive",G49)),H49=""),0,1)</f>
        <v>1</v>
      </c>
    </row>
    <row r="50" spans="1:22" hidden="1">
      <c r="A50" s="2">
        <v>45831</v>
      </c>
      <c r="B50" s="1" t="s">
        <v>204</v>
      </c>
      <c r="C50" s="1" t="s">
        <v>205</v>
      </c>
      <c r="D50" s="1" t="s">
        <v>79</v>
      </c>
      <c r="E50" s="1">
        <v>86323</v>
      </c>
      <c r="F50" s="3" t="s">
        <v>25</v>
      </c>
      <c r="G50" s="1" t="s">
        <v>206</v>
      </c>
      <c r="H50" s="4" t="s">
        <v>207</v>
      </c>
      <c r="I50" s="5" t="s">
        <v>67</v>
      </c>
      <c r="J50" s="5" t="s">
        <v>31</v>
      </c>
      <c r="K50" s="5" t="s">
        <v>31</v>
      </c>
      <c r="L50" s="5" t="s">
        <v>32</v>
      </c>
      <c r="M50" s="5" t="s">
        <v>31</v>
      </c>
      <c r="N50" s="5" t="s">
        <v>31</v>
      </c>
      <c r="O50" s="5" t="s">
        <v>32</v>
      </c>
      <c r="P50" s="5" t="s">
        <v>33</v>
      </c>
      <c r="Q50" s="2">
        <v>45958</v>
      </c>
      <c r="V50" s="45">
        <f>IF(OR(ISNUMBER(SEARCH("unable to locate acct",G50)),ISNUMBER(SEARCH("unknown",G50)),ISNUMBER(SEARCH("inactive",G50)),H50=""),0,1)</f>
        <v>1</v>
      </c>
    </row>
    <row r="51" spans="1:22" hidden="1">
      <c r="A51" s="2">
        <v>45833</v>
      </c>
      <c r="B51" s="1" t="s">
        <v>208</v>
      </c>
      <c r="C51" s="1" t="s">
        <v>209</v>
      </c>
      <c r="D51" s="1" t="s">
        <v>24</v>
      </c>
      <c r="E51" s="1" t="s">
        <v>24</v>
      </c>
      <c r="F51" s="3" t="s">
        <v>25</v>
      </c>
      <c r="H51" s="4" t="s">
        <v>21</v>
      </c>
      <c r="V51" s="45">
        <f>IF(OR(ISNUMBER(SEARCH("unable to locate acct",G51)),ISNUMBER(SEARCH("unknown",G51)),ISNUMBER(SEARCH("inactive",G51)),H51=""),0,1)</f>
        <v>1</v>
      </c>
    </row>
    <row r="52" spans="1:22" hidden="1">
      <c r="A52" s="2">
        <v>45835</v>
      </c>
      <c r="B52" s="1" t="s">
        <v>210</v>
      </c>
      <c r="C52" s="1" t="s">
        <v>211</v>
      </c>
      <c r="D52" s="1" t="s">
        <v>119</v>
      </c>
      <c r="E52" s="1">
        <v>85260</v>
      </c>
      <c r="F52" s="3" t="s">
        <v>25</v>
      </c>
      <c r="G52" s="1" t="s">
        <v>212</v>
      </c>
      <c r="H52" s="4" t="s">
        <v>21</v>
      </c>
      <c r="V52" s="45">
        <f>IF(OR(ISNUMBER(SEARCH("unable to locate acct",G52)),ISNUMBER(SEARCH("unknown",G52)),ISNUMBER(SEARCH("inactive",G52)),H52=""),0,1)</f>
        <v>1</v>
      </c>
    </row>
    <row r="53" spans="1:22" hidden="1">
      <c r="A53" s="2">
        <v>45839</v>
      </c>
      <c r="B53" s="1" t="s">
        <v>213</v>
      </c>
      <c r="C53" s="1" t="s">
        <v>214</v>
      </c>
      <c r="D53" s="1" t="s">
        <v>57</v>
      </c>
      <c r="E53" s="1">
        <v>85032</v>
      </c>
      <c r="F53" s="3" t="s">
        <v>25</v>
      </c>
      <c r="G53" s="1" t="s">
        <v>215</v>
      </c>
      <c r="H53" s="4" t="s">
        <v>216</v>
      </c>
      <c r="I53" s="6" t="s">
        <v>120</v>
      </c>
      <c r="J53" s="5" t="s">
        <v>31</v>
      </c>
      <c r="K53" s="5" t="s">
        <v>31</v>
      </c>
      <c r="L53" s="5" t="s">
        <v>32</v>
      </c>
      <c r="M53" s="5" t="s">
        <v>31</v>
      </c>
      <c r="N53" s="5" t="s">
        <v>31</v>
      </c>
      <c r="O53" s="5" t="s">
        <v>32</v>
      </c>
      <c r="P53" s="5" t="s">
        <v>33</v>
      </c>
      <c r="Q53" s="2">
        <v>45958</v>
      </c>
      <c r="U53" s="1" t="s">
        <v>217</v>
      </c>
      <c r="V53" s="45">
        <f>IF(OR(ISNUMBER(SEARCH("unable to locate acct",G53)),ISNUMBER(SEARCH("unknown",G53)),ISNUMBER(SEARCH("inactive",G53)),H53=""),0,1)</f>
        <v>1</v>
      </c>
    </row>
    <row r="54" spans="1:22" hidden="1">
      <c r="A54" s="2">
        <v>45840</v>
      </c>
      <c r="B54" s="1" t="s">
        <v>218</v>
      </c>
      <c r="C54" s="1" t="s">
        <v>219</v>
      </c>
      <c r="D54" s="1" t="s">
        <v>24</v>
      </c>
      <c r="E54" s="1" t="s">
        <v>24</v>
      </c>
      <c r="F54" s="3" t="s">
        <v>25</v>
      </c>
      <c r="G54" s="1" t="s">
        <v>220</v>
      </c>
      <c r="H54" s="4" t="s">
        <v>21</v>
      </c>
      <c r="U54" s="1" t="s">
        <v>71</v>
      </c>
      <c r="V54" s="45">
        <f>IF(OR(ISNUMBER(SEARCH("unable to locate acct",G54)),ISNUMBER(SEARCH("unknown",G54)),ISNUMBER(SEARCH("inactive",G54)),H54=""),0,1)</f>
        <v>1</v>
      </c>
    </row>
    <row r="55" spans="1:22" hidden="1">
      <c r="A55" s="2">
        <v>45840</v>
      </c>
      <c r="B55" s="1" t="s">
        <v>221</v>
      </c>
      <c r="C55" s="1" t="s">
        <v>222</v>
      </c>
      <c r="D55" s="1" t="s">
        <v>24</v>
      </c>
      <c r="E55" s="1" t="s">
        <v>24</v>
      </c>
      <c r="F55" s="3" t="s">
        <v>25</v>
      </c>
      <c r="G55" s="1" t="s">
        <v>220</v>
      </c>
      <c r="H55" s="4" t="s">
        <v>21</v>
      </c>
      <c r="I55" s="10"/>
      <c r="U55" s="1" t="s">
        <v>71</v>
      </c>
      <c r="V55" s="45">
        <f>IF(OR(ISNUMBER(SEARCH("unable to locate acct",G55)),ISNUMBER(SEARCH("unknown",G55)),ISNUMBER(SEARCH("inactive",G55)),H55=""),0,1)</f>
        <v>1</v>
      </c>
    </row>
    <row r="56" spans="1:22" hidden="1">
      <c r="A56" s="2">
        <v>45845</v>
      </c>
      <c r="B56" s="1" t="s">
        <v>223</v>
      </c>
      <c r="C56" s="1" t="s">
        <v>224</v>
      </c>
      <c r="D56" s="1" t="s">
        <v>57</v>
      </c>
      <c r="E56" s="1">
        <v>85022</v>
      </c>
      <c r="F56" s="3" t="s">
        <v>25</v>
      </c>
      <c r="G56" s="1" t="s">
        <v>225</v>
      </c>
      <c r="H56" s="4" t="s">
        <v>21</v>
      </c>
      <c r="V56" s="45">
        <f>IF(OR(ISNUMBER(SEARCH("unable to locate acct",G56)),ISNUMBER(SEARCH("unknown",G56)),ISNUMBER(SEARCH("inactive",G56)),H56=""),0,1)</f>
        <v>1</v>
      </c>
    </row>
    <row r="57" spans="1:22" hidden="1">
      <c r="A57" s="2">
        <v>45846</v>
      </c>
      <c r="B57" s="1" t="s">
        <v>226</v>
      </c>
      <c r="C57" s="1" t="s">
        <v>227</v>
      </c>
      <c r="D57" s="1" t="s">
        <v>83</v>
      </c>
      <c r="E57" s="1">
        <v>86351</v>
      </c>
      <c r="F57" s="3" t="s">
        <v>25</v>
      </c>
      <c r="G57" s="1" t="s">
        <v>228</v>
      </c>
      <c r="H57" s="4" t="s">
        <v>229</v>
      </c>
      <c r="I57" s="5" t="s">
        <v>51</v>
      </c>
      <c r="J57" s="5" t="s">
        <v>31</v>
      </c>
      <c r="K57" s="5" t="s">
        <v>31</v>
      </c>
      <c r="L57" s="7" t="s">
        <v>230</v>
      </c>
      <c r="M57" s="5" t="s">
        <v>31</v>
      </c>
      <c r="N57" s="5" t="s">
        <v>31</v>
      </c>
      <c r="O57" s="5" t="s">
        <v>32</v>
      </c>
      <c r="P57" s="2">
        <v>45964</v>
      </c>
      <c r="Q57" s="2">
        <v>45958</v>
      </c>
      <c r="R57" s="1" t="s">
        <v>231</v>
      </c>
      <c r="V57" s="45">
        <f>IF(OR(ISNUMBER(SEARCH("unable to locate acct",G57)),ISNUMBER(SEARCH("unknown",G57)),ISNUMBER(SEARCH("inactive",G57)),H57=""),0,1)</f>
        <v>1</v>
      </c>
    </row>
    <row r="58" spans="1:22" hidden="1">
      <c r="A58" s="2">
        <v>45847</v>
      </c>
      <c r="B58" s="1" t="s">
        <v>232</v>
      </c>
      <c r="C58" s="1" t="s">
        <v>233</v>
      </c>
      <c r="D58" s="1" t="s">
        <v>234</v>
      </c>
      <c r="E58" s="1">
        <v>85340</v>
      </c>
      <c r="F58" s="3" t="s">
        <v>25</v>
      </c>
      <c r="G58" s="1" t="s">
        <v>235</v>
      </c>
      <c r="H58" s="4" t="s">
        <v>236</v>
      </c>
      <c r="I58" s="5" t="s">
        <v>237</v>
      </c>
      <c r="J58" s="5" t="s">
        <v>31</v>
      </c>
      <c r="K58" s="5" t="s">
        <v>31</v>
      </c>
      <c r="L58" s="5" t="s">
        <v>238</v>
      </c>
      <c r="M58" s="5" t="s">
        <v>31</v>
      </c>
      <c r="N58" s="5" t="s">
        <v>31</v>
      </c>
      <c r="O58" s="5" t="s">
        <v>32</v>
      </c>
      <c r="P58" s="5" t="s">
        <v>33</v>
      </c>
      <c r="Q58" s="2">
        <v>45958</v>
      </c>
      <c r="V58" s="45">
        <f>IF(OR(ISNUMBER(SEARCH("unable to locate acct",G58)),ISNUMBER(SEARCH("unknown",G58)),ISNUMBER(SEARCH("inactive",G58)),H58=""),0,1)</f>
        <v>1</v>
      </c>
    </row>
    <row r="59" spans="1:22" hidden="1">
      <c r="A59" s="2">
        <v>45847</v>
      </c>
      <c r="B59" s="1" t="s">
        <v>239</v>
      </c>
      <c r="C59" s="1" t="s">
        <v>240</v>
      </c>
      <c r="D59" s="1" t="s">
        <v>57</v>
      </c>
      <c r="E59" s="1">
        <v>85029</v>
      </c>
      <c r="F59" s="11" t="s">
        <v>241</v>
      </c>
      <c r="G59" s="1" t="s">
        <v>242</v>
      </c>
      <c r="H59" s="4" t="s">
        <v>243</v>
      </c>
      <c r="I59" s="5" t="s">
        <v>244</v>
      </c>
      <c r="J59" s="5" t="s">
        <v>31</v>
      </c>
      <c r="K59" s="5" t="s">
        <v>31</v>
      </c>
      <c r="L59" s="5" t="s">
        <v>32</v>
      </c>
      <c r="M59" s="5" t="s">
        <v>31</v>
      </c>
      <c r="N59" s="5" t="s">
        <v>31</v>
      </c>
      <c r="O59" s="5" t="s">
        <v>32</v>
      </c>
      <c r="P59" s="5" t="s">
        <v>33</v>
      </c>
      <c r="Q59" s="2">
        <v>45958</v>
      </c>
      <c r="V59" s="45">
        <f>IF(OR(ISNUMBER(SEARCH("unable to locate acct",G59)),ISNUMBER(SEARCH("unknown",G59)),ISNUMBER(SEARCH("inactive",G59)),H59=""),0,1)</f>
        <v>1</v>
      </c>
    </row>
    <row r="60" spans="1:22" hidden="1">
      <c r="A60" s="2">
        <v>45848</v>
      </c>
      <c r="B60" s="1" t="s">
        <v>245</v>
      </c>
      <c r="C60" s="1" t="s">
        <v>246</v>
      </c>
      <c r="D60" s="1" t="s">
        <v>247</v>
      </c>
      <c r="E60" s="1">
        <v>87048</v>
      </c>
      <c r="F60" s="3" t="s">
        <v>25</v>
      </c>
      <c r="G60" s="1" t="s">
        <v>248</v>
      </c>
      <c r="H60" s="4" t="s">
        <v>21</v>
      </c>
      <c r="V60" s="45">
        <f>IF(OR(ISNUMBER(SEARCH("unable to locate acct",G60)),ISNUMBER(SEARCH("unknown",G60)),ISNUMBER(SEARCH("inactive",G60)),H60=""),0,1)</f>
        <v>1</v>
      </c>
    </row>
    <row r="61" spans="1:22" hidden="1">
      <c r="A61" s="2">
        <v>45848</v>
      </c>
      <c r="B61" s="1" t="s">
        <v>249</v>
      </c>
      <c r="C61" s="1" t="s">
        <v>250</v>
      </c>
      <c r="D61" s="1" t="s">
        <v>83</v>
      </c>
      <c r="E61" s="1">
        <v>86336</v>
      </c>
      <c r="F61" s="3" t="s">
        <v>251</v>
      </c>
      <c r="G61" s="1" t="s">
        <v>248</v>
      </c>
      <c r="H61" s="4" t="s">
        <v>84</v>
      </c>
      <c r="V61" s="45">
        <f>IF(OR(ISNUMBER(SEARCH("unable to locate acct",G61)),ISNUMBER(SEARCH("unknown",G61)),ISNUMBER(SEARCH("inactive",G61)),H61=""),0,1)</f>
        <v>1</v>
      </c>
    </row>
    <row r="62" spans="1:22" hidden="1">
      <c r="A62" s="2">
        <v>45852</v>
      </c>
      <c r="B62" s="1" t="s">
        <v>252</v>
      </c>
      <c r="C62" s="1" t="s">
        <v>224</v>
      </c>
      <c r="D62" s="1" t="s">
        <v>24</v>
      </c>
      <c r="E62" s="1" t="s">
        <v>24</v>
      </c>
      <c r="F62" s="3" t="s">
        <v>25</v>
      </c>
      <c r="G62" s="1" t="s">
        <v>253</v>
      </c>
      <c r="H62" s="4" t="s">
        <v>4952</v>
      </c>
      <c r="I62" s="5" t="s">
        <v>67</v>
      </c>
      <c r="J62" s="5" t="s">
        <v>31</v>
      </c>
      <c r="K62" s="5" t="s">
        <v>31</v>
      </c>
      <c r="L62" s="5" t="s">
        <v>254</v>
      </c>
      <c r="M62" s="5" t="s">
        <v>31</v>
      </c>
      <c r="N62" s="5" t="s">
        <v>31</v>
      </c>
      <c r="O62" s="5" t="s">
        <v>32</v>
      </c>
      <c r="P62" s="5" t="s">
        <v>33</v>
      </c>
      <c r="Q62" s="2">
        <v>45958</v>
      </c>
      <c r="V62" s="45">
        <f>IF(OR(ISNUMBER(SEARCH("unable to locate acct",G62)),ISNUMBER(SEARCH("unknown",G62)),ISNUMBER(SEARCH("inactive",G62)),H62=""),0,1)</f>
        <v>1</v>
      </c>
    </row>
    <row r="63" spans="1:22" hidden="1">
      <c r="A63" s="2">
        <v>45852</v>
      </c>
      <c r="B63" s="1" t="s">
        <v>138</v>
      </c>
      <c r="C63" s="1" t="s">
        <v>139</v>
      </c>
      <c r="D63" s="1" t="s">
        <v>255</v>
      </c>
      <c r="E63" s="1">
        <v>86314</v>
      </c>
      <c r="F63" s="3" t="s">
        <v>25</v>
      </c>
      <c r="G63" s="1" t="s">
        <v>253</v>
      </c>
      <c r="H63" s="4" t="s">
        <v>5115</v>
      </c>
      <c r="I63" s="5" t="s">
        <v>244</v>
      </c>
      <c r="J63" s="5" t="s">
        <v>31</v>
      </c>
      <c r="K63" s="5" t="s">
        <v>31</v>
      </c>
      <c r="L63" s="5" t="s">
        <v>32</v>
      </c>
      <c r="M63" s="5" t="s">
        <v>31</v>
      </c>
      <c r="N63" s="5" t="s">
        <v>31</v>
      </c>
      <c r="O63" s="5" t="s">
        <v>32</v>
      </c>
      <c r="P63" s="5" t="s">
        <v>33</v>
      </c>
      <c r="Q63" s="2">
        <v>45958</v>
      </c>
      <c r="V63" s="45">
        <f>IF(OR(ISNUMBER(SEARCH("unable to locate acct",G63)),ISNUMBER(SEARCH("unknown",G63)),ISNUMBER(SEARCH("inactive",G63)),H63=""),0,1)</f>
        <v>1</v>
      </c>
    </row>
    <row r="64" spans="1:22" hidden="1">
      <c r="A64" s="2">
        <v>45854</v>
      </c>
      <c r="B64" s="1" t="s">
        <v>256</v>
      </c>
      <c r="C64" s="1" t="s">
        <v>257</v>
      </c>
      <c r="D64" s="1" t="s">
        <v>258</v>
      </c>
      <c r="E64" s="1">
        <v>85541</v>
      </c>
      <c r="F64" s="3" t="s">
        <v>251</v>
      </c>
      <c r="G64" s="1" t="s">
        <v>259</v>
      </c>
      <c r="H64" s="4" t="s">
        <v>260</v>
      </c>
      <c r="I64" s="5" t="s">
        <v>51</v>
      </c>
      <c r="J64" s="5" t="s">
        <v>31</v>
      </c>
      <c r="K64" s="5" t="s">
        <v>31</v>
      </c>
      <c r="L64" s="7" t="s">
        <v>261</v>
      </c>
      <c r="M64" s="5" t="s">
        <v>31</v>
      </c>
      <c r="N64" s="5" t="s">
        <v>31</v>
      </c>
      <c r="O64" s="5" t="s">
        <v>32</v>
      </c>
      <c r="P64" s="2">
        <v>45964</v>
      </c>
      <c r="Q64" s="2">
        <v>45958</v>
      </c>
      <c r="R64" s="1" t="s">
        <v>142</v>
      </c>
      <c r="U64" s="1" t="s">
        <v>262</v>
      </c>
      <c r="V64" s="45">
        <f>IF(OR(ISNUMBER(SEARCH("unable to locate acct",G64)),ISNUMBER(SEARCH("unknown",G64)),ISNUMBER(SEARCH("inactive",G64)),H64=""),0,1)</f>
        <v>1</v>
      </c>
    </row>
    <row r="65" spans="1:22" hidden="1">
      <c r="A65" s="2">
        <v>45859</v>
      </c>
      <c r="B65" s="1" t="s">
        <v>263</v>
      </c>
      <c r="C65" s="1" t="s">
        <v>264</v>
      </c>
      <c r="D65" s="1" t="s">
        <v>57</v>
      </c>
      <c r="E65" s="1">
        <v>85029</v>
      </c>
      <c r="F65" s="3" t="s">
        <v>265</v>
      </c>
      <c r="G65" s="1" t="s">
        <v>266</v>
      </c>
      <c r="H65" s="12" t="s">
        <v>267</v>
      </c>
      <c r="I65" s="5" t="s">
        <v>30</v>
      </c>
      <c r="J65" s="5" t="s">
        <v>31</v>
      </c>
      <c r="K65" s="5" t="s">
        <v>31</v>
      </c>
      <c r="L65" s="7" t="s">
        <v>268</v>
      </c>
      <c r="M65" s="5" t="s">
        <v>31</v>
      </c>
      <c r="N65" s="5" t="s">
        <v>31</v>
      </c>
      <c r="O65" s="5" t="s">
        <v>32</v>
      </c>
      <c r="P65" s="2">
        <v>45964</v>
      </c>
      <c r="Q65" s="2">
        <v>45958</v>
      </c>
      <c r="R65" s="1" t="s">
        <v>269</v>
      </c>
      <c r="V65" s="45">
        <f>IF(OR(ISNUMBER(SEARCH("unable to locate acct",G65)),ISNUMBER(SEARCH("unknown",G65)),ISNUMBER(SEARCH("inactive",G65)),H65=""),0,1)</f>
        <v>1</v>
      </c>
    </row>
    <row r="66" spans="1:22" hidden="1">
      <c r="A66" s="2">
        <v>45861</v>
      </c>
      <c r="B66" s="1" t="s">
        <v>270</v>
      </c>
      <c r="C66" s="1" t="s">
        <v>111</v>
      </c>
      <c r="D66" s="1" t="s">
        <v>57</v>
      </c>
      <c r="E66" s="1">
        <v>85054</v>
      </c>
      <c r="F66" s="3" t="s">
        <v>25</v>
      </c>
      <c r="G66" s="1" t="s">
        <v>271</v>
      </c>
      <c r="H66" s="4" t="s">
        <v>272</v>
      </c>
      <c r="I66" s="5" t="s">
        <v>51</v>
      </c>
      <c r="J66" s="5" t="s">
        <v>31</v>
      </c>
      <c r="K66" s="5" t="s">
        <v>31</v>
      </c>
      <c r="L66" s="5" t="s">
        <v>273</v>
      </c>
      <c r="M66" s="5" t="s">
        <v>31</v>
      </c>
      <c r="N66" s="5" t="s">
        <v>31</v>
      </c>
      <c r="O66" s="5" t="s">
        <v>32</v>
      </c>
      <c r="P66" s="5" t="s">
        <v>33</v>
      </c>
      <c r="Q66" s="2">
        <v>45958</v>
      </c>
      <c r="R66" s="1" t="s">
        <v>274</v>
      </c>
      <c r="V66" s="45">
        <f>IF(OR(ISNUMBER(SEARCH("unable to locate acct",G66)),ISNUMBER(SEARCH("unknown",G66)),ISNUMBER(SEARCH("inactive",G66)),H66=""),0,1)</f>
        <v>1</v>
      </c>
    </row>
    <row r="67" spans="1:22" hidden="1">
      <c r="A67" s="2">
        <v>45861</v>
      </c>
      <c r="B67" s="1" t="s">
        <v>275</v>
      </c>
      <c r="C67" s="1" t="s">
        <v>147</v>
      </c>
      <c r="D67" s="1" t="s">
        <v>24</v>
      </c>
      <c r="E67" s="1" t="s">
        <v>24</v>
      </c>
      <c r="F67" s="3" t="s">
        <v>276</v>
      </c>
      <c r="G67" s="1" t="s">
        <v>271</v>
      </c>
      <c r="H67" s="4" t="s">
        <v>21</v>
      </c>
      <c r="V67" s="45">
        <f>IF(OR(ISNUMBER(SEARCH("unable to locate acct",G67)),ISNUMBER(SEARCH("unknown",G67)),ISNUMBER(SEARCH("inactive",G67)),H67=""),0,1)</f>
        <v>1</v>
      </c>
    </row>
    <row r="68" spans="1:22" hidden="1">
      <c r="A68" s="2">
        <v>45883</v>
      </c>
      <c r="B68" s="1" t="s">
        <v>277</v>
      </c>
      <c r="C68" s="1" t="s">
        <v>278</v>
      </c>
      <c r="D68" s="1" t="s">
        <v>83</v>
      </c>
      <c r="E68" s="1">
        <v>85336</v>
      </c>
      <c r="F68" s="3" t="s">
        <v>279</v>
      </c>
      <c r="G68" s="1" t="s">
        <v>280</v>
      </c>
      <c r="H68" s="4" t="s">
        <v>281</v>
      </c>
      <c r="I68" s="5" t="s">
        <v>282</v>
      </c>
      <c r="J68" s="5" t="s">
        <v>31</v>
      </c>
      <c r="K68" s="5" t="s">
        <v>31</v>
      </c>
      <c r="L68" s="5" t="s">
        <v>32</v>
      </c>
      <c r="M68" s="5" t="s">
        <v>31</v>
      </c>
      <c r="N68" s="5" t="s">
        <v>31</v>
      </c>
      <c r="O68" s="5" t="s">
        <v>32</v>
      </c>
      <c r="P68" s="5" t="s">
        <v>33</v>
      </c>
      <c r="Q68" s="2">
        <v>45958</v>
      </c>
      <c r="U68" s="1" t="s">
        <v>283</v>
      </c>
      <c r="V68" s="45">
        <f>IF(OR(ISNUMBER(SEARCH("unable to locate acct",G68)),ISNUMBER(SEARCH("unknown",G68)),ISNUMBER(SEARCH("inactive",G68)),H68=""),0,1)</f>
        <v>1</v>
      </c>
    </row>
    <row r="69" spans="1:22" hidden="1">
      <c r="A69" s="2">
        <v>45883</v>
      </c>
      <c r="B69" s="1" t="s">
        <v>284</v>
      </c>
      <c r="C69" s="1" t="s">
        <v>285</v>
      </c>
      <c r="D69" s="1" t="s">
        <v>57</v>
      </c>
      <c r="E69" s="1">
        <v>85023</v>
      </c>
      <c r="F69" s="3" t="s">
        <v>25</v>
      </c>
      <c r="G69" s="1" t="s">
        <v>280</v>
      </c>
      <c r="H69" s="4" t="s">
        <v>21</v>
      </c>
      <c r="V69" s="45">
        <f>IF(OR(ISNUMBER(SEARCH("unable to locate acct",G69)),ISNUMBER(SEARCH("unknown",G69)),ISNUMBER(SEARCH("inactive",G69)),H69=""),0,1)</f>
        <v>1</v>
      </c>
    </row>
    <row r="70" spans="1:22" hidden="1">
      <c r="A70" s="2">
        <v>45895</v>
      </c>
      <c r="B70" s="1" t="s">
        <v>286</v>
      </c>
      <c r="C70" s="1" t="s">
        <v>129</v>
      </c>
      <c r="D70" s="1" t="s">
        <v>287</v>
      </c>
      <c r="E70" s="1">
        <v>85139</v>
      </c>
      <c r="F70" s="3" t="s">
        <v>288</v>
      </c>
      <c r="G70" s="1" t="s">
        <v>289</v>
      </c>
      <c r="H70" s="4" t="s">
        <v>21</v>
      </c>
      <c r="V70" s="45">
        <f>IF(OR(ISNUMBER(SEARCH("unable to locate acct",G70)),ISNUMBER(SEARCH("unknown",G70)),ISNUMBER(SEARCH("inactive",G70)),H70=""),0,1)</f>
        <v>1</v>
      </c>
    </row>
    <row r="71" spans="1:22" hidden="1">
      <c r="A71" s="2">
        <v>45898</v>
      </c>
      <c r="B71" s="1" t="s">
        <v>290</v>
      </c>
      <c r="C71" s="1" t="s">
        <v>291</v>
      </c>
      <c r="D71" s="1" t="s">
        <v>24</v>
      </c>
      <c r="E71" s="1" t="s">
        <v>24</v>
      </c>
      <c r="F71" s="3" t="s">
        <v>19</v>
      </c>
      <c r="G71" s="1" t="s">
        <v>292</v>
      </c>
      <c r="H71" s="4" t="s">
        <v>293</v>
      </c>
      <c r="I71" s="5" t="s">
        <v>190</v>
      </c>
      <c r="J71" s="5" t="s">
        <v>32</v>
      </c>
      <c r="K71" s="5" t="s">
        <v>31</v>
      </c>
      <c r="L71" s="5" t="s">
        <v>294</v>
      </c>
      <c r="M71" s="5" t="s">
        <v>31</v>
      </c>
      <c r="N71" s="5" t="s">
        <v>31</v>
      </c>
      <c r="O71" s="5" t="s">
        <v>32</v>
      </c>
      <c r="P71" s="5" t="s">
        <v>33</v>
      </c>
      <c r="Q71" s="2">
        <v>45958</v>
      </c>
      <c r="V71" s="45">
        <f>IF(OR(ISNUMBER(SEARCH("unable to locate acct",G71)),ISNUMBER(SEARCH("unknown",G71)),ISNUMBER(SEARCH("inactive",G71)),H71=""),0,1)</f>
        <v>1</v>
      </c>
    </row>
    <row r="72" spans="1:22" hidden="1">
      <c r="A72" s="2">
        <v>45902</v>
      </c>
      <c r="B72" s="1" t="s">
        <v>295</v>
      </c>
      <c r="C72" s="1" t="s">
        <v>296</v>
      </c>
      <c r="D72" s="1" t="s">
        <v>106</v>
      </c>
      <c r="E72" s="1">
        <v>85374</v>
      </c>
      <c r="F72" s="3" t="s">
        <v>25</v>
      </c>
      <c r="G72" s="1" t="s">
        <v>297</v>
      </c>
      <c r="H72" s="4" t="s">
        <v>5116</v>
      </c>
      <c r="I72" s="5" t="s">
        <v>120</v>
      </c>
      <c r="J72" s="5" t="s">
        <v>33</v>
      </c>
      <c r="K72" s="5" t="s">
        <v>31</v>
      </c>
      <c r="L72" s="5" t="s">
        <v>198</v>
      </c>
      <c r="M72" s="5" t="s">
        <v>31</v>
      </c>
      <c r="N72" s="5" t="s">
        <v>31</v>
      </c>
      <c r="O72" s="5" t="s">
        <v>32</v>
      </c>
      <c r="P72" s="5" t="s">
        <v>33</v>
      </c>
      <c r="Q72" s="2">
        <v>45967</v>
      </c>
      <c r="V72" s="45">
        <f>IF(OR(ISNUMBER(SEARCH("unable to locate acct",G72)),ISNUMBER(SEARCH("unknown",G72)),ISNUMBER(SEARCH("inactive",G72)),H72=""),0,1)</f>
        <v>1</v>
      </c>
    </row>
    <row r="73" spans="1:22" hidden="1">
      <c r="A73" s="2">
        <v>45902</v>
      </c>
      <c r="B73" s="1" t="s">
        <v>298</v>
      </c>
      <c r="C73" s="1" t="s">
        <v>219</v>
      </c>
      <c r="D73" s="1" t="s">
        <v>119</v>
      </c>
      <c r="E73" s="1">
        <v>85254</v>
      </c>
      <c r="F73" s="3" t="s">
        <v>299</v>
      </c>
      <c r="G73" s="1" t="s">
        <v>297</v>
      </c>
      <c r="H73" s="4" t="s">
        <v>21</v>
      </c>
      <c r="V73" s="45">
        <f>IF(OR(ISNUMBER(SEARCH("unable to locate acct",G73)),ISNUMBER(SEARCH("unknown",G73)),ISNUMBER(SEARCH("inactive",G73)),H73=""),0,1)</f>
        <v>1</v>
      </c>
    </row>
    <row r="74" spans="1:22" hidden="1">
      <c r="A74" s="2">
        <v>56859</v>
      </c>
      <c r="B74" s="1" t="s">
        <v>300</v>
      </c>
      <c r="C74" s="1" t="s">
        <v>301</v>
      </c>
      <c r="D74" s="1" t="s">
        <v>196</v>
      </c>
      <c r="E74" s="1">
        <v>85382</v>
      </c>
      <c r="F74" s="3" t="s">
        <v>299</v>
      </c>
      <c r="G74" s="1" t="s">
        <v>297</v>
      </c>
      <c r="H74" s="4" t="s">
        <v>21</v>
      </c>
      <c r="V74" s="45">
        <f>IF(OR(ISNUMBER(SEARCH("unable to locate acct",G74)),ISNUMBER(SEARCH("unknown",G74)),ISNUMBER(SEARCH("inactive",G74)),H74=""),0,1)</f>
        <v>1</v>
      </c>
    </row>
    <row r="75" spans="1:22" hidden="1">
      <c r="A75" s="2">
        <v>45902</v>
      </c>
      <c r="B75" s="1" t="s">
        <v>302</v>
      </c>
      <c r="C75" s="1" t="s">
        <v>303</v>
      </c>
      <c r="D75" s="1" t="s">
        <v>106</v>
      </c>
      <c r="E75" s="1">
        <v>85387</v>
      </c>
      <c r="F75" s="1" t="s">
        <v>304</v>
      </c>
      <c r="G75" s="1" t="s">
        <v>297</v>
      </c>
      <c r="H75" s="4" t="s">
        <v>21</v>
      </c>
      <c r="V75" s="45">
        <f>IF(OR(ISNUMBER(SEARCH("unable to locate acct",G75)),ISNUMBER(SEARCH("unknown",G75)),ISNUMBER(SEARCH("inactive",G75)),H75=""),0,1)</f>
        <v>1</v>
      </c>
    </row>
    <row r="76" spans="1:22" hidden="1">
      <c r="A76" s="2">
        <v>45902</v>
      </c>
      <c r="B76" s="1" t="s">
        <v>305</v>
      </c>
      <c r="C76" s="1" t="s">
        <v>306</v>
      </c>
      <c r="D76" s="1" t="s">
        <v>307</v>
      </c>
      <c r="E76" s="1">
        <v>85381</v>
      </c>
      <c r="F76" s="3" t="s">
        <v>25</v>
      </c>
      <c r="G76" s="1" t="s">
        <v>297</v>
      </c>
      <c r="H76" s="4" t="s">
        <v>5117</v>
      </c>
      <c r="I76" s="5" t="s">
        <v>190</v>
      </c>
      <c r="J76" s="5" t="s">
        <v>31</v>
      </c>
      <c r="K76" s="5" t="s">
        <v>31</v>
      </c>
      <c r="L76" s="5" t="s">
        <v>32</v>
      </c>
      <c r="M76" s="5" t="s">
        <v>31</v>
      </c>
      <c r="N76" s="5" t="s">
        <v>31</v>
      </c>
      <c r="O76" s="5" t="s">
        <v>32</v>
      </c>
      <c r="P76" s="5" t="s">
        <v>33</v>
      </c>
      <c r="Q76" s="2">
        <v>45958</v>
      </c>
      <c r="V76" s="45">
        <f>IF(OR(ISNUMBER(SEARCH("unable to locate acct",G76)),ISNUMBER(SEARCH("unknown",G76)),ISNUMBER(SEARCH("inactive",G76)),H76=""),0,1)</f>
        <v>1</v>
      </c>
    </row>
    <row r="77" spans="1:22" hidden="1">
      <c r="A77" s="2">
        <v>45902</v>
      </c>
      <c r="B77" s="1" t="s">
        <v>308</v>
      </c>
      <c r="C77" s="1" t="s">
        <v>309</v>
      </c>
      <c r="D77" s="1" t="s">
        <v>168</v>
      </c>
      <c r="E77" s="1">
        <v>85326</v>
      </c>
      <c r="F77" s="3" t="s">
        <v>25</v>
      </c>
      <c r="G77" s="1" t="s">
        <v>297</v>
      </c>
      <c r="H77" s="4" t="s">
        <v>21</v>
      </c>
      <c r="V77" s="45">
        <f>IF(OR(ISNUMBER(SEARCH("unable to locate acct",G77)),ISNUMBER(SEARCH("unknown",G77)),ISNUMBER(SEARCH("inactive",G77)),H77=""),0,1)</f>
        <v>1</v>
      </c>
    </row>
    <row r="78" spans="1:22" hidden="1">
      <c r="A78" s="2">
        <v>45902</v>
      </c>
      <c r="B78" s="1" t="s">
        <v>310</v>
      </c>
      <c r="C78" s="1" t="s">
        <v>311</v>
      </c>
      <c r="D78" s="1" t="s">
        <v>168</v>
      </c>
      <c r="E78" s="1">
        <v>85326</v>
      </c>
      <c r="F78" s="3" t="s">
        <v>25</v>
      </c>
      <c r="G78" s="1" t="s">
        <v>297</v>
      </c>
      <c r="H78" s="4" t="s">
        <v>5118</v>
      </c>
      <c r="I78" s="5" t="s">
        <v>30</v>
      </c>
      <c r="J78" s="5" t="s">
        <v>31</v>
      </c>
      <c r="K78" s="5" t="s">
        <v>31</v>
      </c>
      <c r="L78" s="5" t="s">
        <v>32</v>
      </c>
      <c r="M78" s="5" t="s">
        <v>31</v>
      </c>
      <c r="N78" s="5" t="s">
        <v>31</v>
      </c>
      <c r="O78" s="5" t="s">
        <v>32</v>
      </c>
      <c r="P78" s="5" t="s">
        <v>33</v>
      </c>
      <c r="Q78" s="2">
        <v>45958</v>
      </c>
      <c r="V78" s="45">
        <f>IF(OR(ISNUMBER(SEARCH("unable to locate acct",G78)),ISNUMBER(SEARCH("unknown",G78)),ISNUMBER(SEARCH("inactive",G78)),H78=""),0,1)</f>
        <v>1</v>
      </c>
    </row>
    <row r="79" spans="1:22" hidden="1">
      <c r="A79" s="2">
        <v>45902</v>
      </c>
      <c r="B79" s="1" t="s">
        <v>312</v>
      </c>
      <c r="C79" s="1" t="s">
        <v>69</v>
      </c>
      <c r="D79" s="1" t="s">
        <v>57</v>
      </c>
      <c r="E79" s="1">
        <v>85016</v>
      </c>
      <c r="F79" s="1" t="s">
        <v>304</v>
      </c>
      <c r="G79" s="1" t="s">
        <v>297</v>
      </c>
      <c r="H79" s="4" t="s">
        <v>203</v>
      </c>
      <c r="V79" s="45">
        <f>IF(OR(ISNUMBER(SEARCH("unable to locate acct",G79)),ISNUMBER(SEARCH("unknown",G79)),ISNUMBER(SEARCH("inactive",G79)),H79=""),0,1)</f>
        <v>1</v>
      </c>
    </row>
    <row r="80" spans="1:22" hidden="1">
      <c r="A80" s="2">
        <v>45902</v>
      </c>
      <c r="B80" s="1" t="s">
        <v>313</v>
      </c>
      <c r="C80" s="1" t="s">
        <v>314</v>
      </c>
      <c r="D80" s="1" t="s">
        <v>119</v>
      </c>
      <c r="E80" s="1">
        <v>85260</v>
      </c>
      <c r="F80" s="3" t="s">
        <v>25</v>
      </c>
      <c r="G80" s="1" t="s">
        <v>297</v>
      </c>
      <c r="H80" s="4" t="s">
        <v>315</v>
      </c>
      <c r="I80" s="5" t="s">
        <v>190</v>
      </c>
      <c r="J80" s="5" t="s">
        <v>31</v>
      </c>
      <c r="K80" s="5" t="s">
        <v>31</v>
      </c>
      <c r="L80" s="5" t="s">
        <v>316</v>
      </c>
      <c r="M80" s="5" t="s">
        <v>31</v>
      </c>
      <c r="N80" s="5" t="s">
        <v>31</v>
      </c>
      <c r="O80" s="5" t="s">
        <v>32</v>
      </c>
      <c r="P80" s="5" t="s">
        <v>33</v>
      </c>
      <c r="Q80" s="2">
        <v>45957</v>
      </c>
      <c r="V80" s="45">
        <f>IF(OR(ISNUMBER(SEARCH("unable to locate acct",G80)),ISNUMBER(SEARCH("unknown",G80)),ISNUMBER(SEARCH("inactive",G80)),H80=""),0,1)</f>
        <v>1</v>
      </c>
    </row>
    <row r="81" spans="1:22" hidden="1">
      <c r="A81" s="2">
        <v>45902</v>
      </c>
      <c r="B81" s="1" t="s">
        <v>317</v>
      </c>
      <c r="C81" s="1" t="s">
        <v>318</v>
      </c>
      <c r="D81" s="1" t="s">
        <v>57</v>
      </c>
      <c r="E81" s="1">
        <v>85085</v>
      </c>
      <c r="F81" s="1" t="s">
        <v>304</v>
      </c>
      <c r="G81" s="1" t="s">
        <v>297</v>
      </c>
      <c r="H81" s="4" t="s">
        <v>5119</v>
      </c>
      <c r="I81" s="5" t="s">
        <v>30</v>
      </c>
      <c r="J81" s="5" t="s">
        <v>31</v>
      </c>
      <c r="K81" s="5" t="s">
        <v>31</v>
      </c>
      <c r="L81" s="5" t="s">
        <v>32</v>
      </c>
      <c r="M81" s="5" t="s">
        <v>31</v>
      </c>
      <c r="N81" s="5" t="s">
        <v>31</v>
      </c>
      <c r="O81" s="5" t="s">
        <v>32</v>
      </c>
      <c r="P81" s="5" t="s">
        <v>33</v>
      </c>
      <c r="Q81" s="2">
        <v>45958</v>
      </c>
      <c r="V81" s="45">
        <f>IF(OR(ISNUMBER(SEARCH("unable to locate acct",G81)),ISNUMBER(SEARCH("unknown",G81)),ISNUMBER(SEARCH("inactive",G81)),H81=""),0,1)</f>
        <v>1</v>
      </c>
    </row>
    <row r="82" spans="1:22" hidden="1">
      <c r="A82" s="2">
        <v>45902</v>
      </c>
      <c r="B82" s="1" t="s">
        <v>319</v>
      </c>
      <c r="C82" s="1" t="s">
        <v>129</v>
      </c>
      <c r="D82" s="1" t="s">
        <v>57</v>
      </c>
      <c r="E82" s="1">
        <v>85027</v>
      </c>
      <c r="F82" s="3" t="s">
        <v>25</v>
      </c>
      <c r="G82" s="1" t="s">
        <v>297</v>
      </c>
      <c r="H82" s="4" t="s">
        <v>320</v>
      </c>
      <c r="I82" s="5" t="s">
        <v>30</v>
      </c>
      <c r="J82" s="5" t="s">
        <v>31</v>
      </c>
      <c r="K82" s="5" t="s">
        <v>31</v>
      </c>
      <c r="L82" s="5" t="s">
        <v>32</v>
      </c>
      <c r="M82" s="5" t="s">
        <v>31</v>
      </c>
      <c r="N82" s="5" t="s">
        <v>31</v>
      </c>
      <c r="O82" s="5" t="s">
        <v>32</v>
      </c>
      <c r="P82" s="5" t="s">
        <v>33</v>
      </c>
      <c r="Q82" s="2">
        <v>45958</v>
      </c>
      <c r="V82" s="45">
        <f>IF(OR(ISNUMBER(SEARCH("unable to locate acct",G82)),ISNUMBER(SEARCH("unknown",G82)),ISNUMBER(SEARCH("inactive",G82)),H82=""),0,1)</f>
        <v>1</v>
      </c>
    </row>
    <row r="83" spans="1:22" hidden="1">
      <c r="A83" s="2">
        <v>45902</v>
      </c>
      <c r="B83" s="1" t="s">
        <v>321</v>
      </c>
      <c r="C83" s="1" t="s">
        <v>322</v>
      </c>
      <c r="D83" s="1" t="s">
        <v>57</v>
      </c>
      <c r="E83" s="1">
        <v>85027</v>
      </c>
      <c r="F83" s="1" t="s">
        <v>304</v>
      </c>
      <c r="G83" s="1" t="s">
        <v>297</v>
      </c>
      <c r="H83" s="4" t="s">
        <v>5120</v>
      </c>
      <c r="I83" s="5" t="s">
        <v>120</v>
      </c>
      <c r="J83" s="5" t="s">
        <v>31</v>
      </c>
      <c r="K83" s="5" t="s">
        <v>31</v>
      </c>
      <c r="L83" s="5" t="s">
        <v>32</v>
      </c>
      <c r="M83" s="5" t="s">
        <v>31</v>
      </c>
      <c r="N83" s="5" t="s">
        <v>31</v>
      </c>
      <c r="O83" s="5" t="s">
        <v>32</v>
      </c>
      <c r="P83" s="5" t="s">
        <v>33</v>
      </c>
      <c r="Q83" s="2">
        <v>45958</v>
      </c>
      <c r="V83" s="45">
        <f>IF(OR(ISNUMBER(SEARCH("unable to locate acct",G83)),ISNUMBER(SEARCH("unknown",G83)),ISNUMBER(SEARCH("inactive",G83)),H83=""),0,1)</f>
        <v>1</v>
      </c>
    </row>
    <row r="84" spans="1:22" hidden="1">
      <c r="A84" s="2">
        <v>45902</v>
      </c>
      <c r="B84" s="1" t="s">
        <v>138</v>
      </c>
      <c r="C84" s="1" t="s">
        <v>323</v>
      </c>
      <c r="D84" s="1" t="s">
        <v>57</v>
      </c>
      <c r="E84" s="1">
        <v>85008</v>
      </c>
      <c r="F84" s="1" t="s">
        <v>304</v>
      </c>
      <c r="G84" s="1" t="s">
        <v>297</v>
      </c>
      <c r="H84" s="4" t="s">
        <v>324</v>
      </c>
      <c r="I84" s="5" t="s">
        <v>51</v>
      </c>
      <c r="J84" s="5" t="s">
        <v>31</v>
      </c>
      <c r="K84" s="5" t="s">
        <v>31</v>
      </c>
      <c r="L84" s="7" t="s">
        <v>325</v>
      </c>
      <c r="M84" s="5" t="s">
        <v>31</v>
      </c>
      <c r="N84" s="5" t="s">
        <v>31</v>
      </c>
      <c r="O84" s="5" t="s">
        <v>32</v>
      </c>
      <c r="P84" s="2">
        <v>45932</v>
      </c>
      <c r="Q84" s="2">
        <v>45685</v>
      </c>
      <c r="R84" s="1" t="s">
        <v>326</v>
      </c>
      <c r="V84" s="45">
        <f>IF(OR(ISNUMBER(SEARCH("unable to locate acct",G84)),ISNUMBER(SEARCH("unknown",G84)),ISNUMBER(SEARCH("inactive",G84)),H84=""),0,1)</f>
        <v>1</v>
      </c>
    </row>
    <row r="85" spans="1:22" hidden="1">
      <c r="A85" s="2">
        <v>45902</v>
      </c>
      <c r="B85" s="1" t="s">
        <v>327</v>
      </c>
      <c r="C85" s="1" t="s">
        <v>328</v>
      </c>
      <c r="D85" s="1" t="s">
        <v>196</v>
      </c>
      <c r="E85" s="1">
        <v>85345</v>
      </c>
      <c r="F85" s="1" t="s">
        <v>304</v>
      </c>
      <c r="G85" s="1" t="s">
        <v>297</v>
      </c>
      <c r="H85" s="4" t="s">
        <v>5484</v>
      </c>
      <c r="I85" s="5" t="s">
        <v>30</v>
      </c>
      <c r="J85" s="5" t="s">
        <v>31</v>
      </c>
      <c r="K85" s="5" t="s">
        <v>31</v>
      </c>
      <c r="L85" s="5" t="s">
        <v>32</v>
      </c>
      <c r="M85" s="5" t="s">
        <v>32</v>
      </c>
      <c r="N85" s="5">
        <v>175.19</v>
      </c>
      <c r="O85" s="5" t="s">
        <v>32</v>
      </c>
      <c r="P85" s="5" t="s">
        <v>33</v>
      </c>
      <c r="Q85" s="2">
        <v>45958</v>
      </c>
      <c r="V85" s="45">
        <f>IF(OR(ISNUMBER(SEARCH("unable to locate acct",G85)),ISNUMBER(SEARCH("unknown",G85)),ISNUMBER(SEARCH("inactive",G85)),H85=""),0,1)</f>
        <v>1</v>
      </c>
    </row>
    <row r="86" spans="1:22" hidden="1">
      <c r="A86" s="2">
        <v>45902</v>
      </c>
      <c r="B86" s="1" t="s">
        <v>329</v>
      </c>
      <c r="C86" s="1" t="s">
        <v>330</v>
      </c>
      <c r="D86" s="1" t="s">
        <v>57</v>
      </c>
      <c r="E86" s="1">
        <v>85004</v>
      </c>
      <c r="F86" s="1" t="s">
        <v>304</v>
      </c>
      <c r="G86" s="1" t="s">
        <v>297</v>
      </c>
      <c r="H86" s="4" t="s">
        <v>331</v>
      </c>
      <c r="I86" s="5" t="s">
        <v>120</v>
      </c>
      <c r="J86" s="5" t="s">
        <v>31</v>
      </c>
      <c r="K86" s="5" t="s">
        <v>31</v>
      </c>
      <c r="L86" s="5" t="s">
        <v>332</v>
      </c>
      <c r="M86" s="5" t="s">
        <v>31</v>
      </c>
      <c r="N86" s="5" t="s">
        <v>31</v>
      </c>
      <c r="O86" s="5" t="s">
        <v>32</v>
      </c>
      <c r="P86" s="5" t="s">
        <v>33</v>
      </c>
      <c r="Q86" s="2">
        <v>45958</v>
      </c>
      <c r="V86" s="45">
        <f>IF(OR(ISNUMBER(SEARCH("unable to locate acct",G86)),ISNUMBER(SEARCH("unknown",G86)),ISNUMBER(SEARCH("inactive",G86)),H86=""),0,1)</f>
        <v>1</v>
      </c>
    </row>
    <row r="87" spans="1:22" hidden="1">
      <c r="A87" s="2">
        <v>45902</v>
      </c>
      <c r="B87" s="1" t="s">
        <v>333</v>
      </c>
      <c r="C87" s="1" t="s">
        <v>334</v>
      </c>
      <c r="D87" s="1" t="s">
        <v>57</v>
      </c>
      <c r="E87" s="1">
        <v>85027</v>
      </c>
      <c r="F87" s="3" t="s">
        <v>25</v>
      </c>
      <c r="G87" s="1" t="s">
        <v>297</v>
      </c>
      <c r="H87" s="4" t="s">
        <v>4953</v>
      </c>
      <c r="I87" s="5" t="s">
        <v>190</v>
      </c>
      <c r="J87" s="5" t="s">
        <v>31</v>
      </c>
      <c r="K87" s="5" t="s">
        <v>31</v>
      </c>
      <c r="L87" s="5" t="s">
        <v>335</v>
      </c>
      <c r="M87" s="5" t="s">
        <v>31</v>
      </c>
      <c r="N87" s="5" t="s">
        <v>31</v>
      </c>
      <c r="O87" s="5" t="s">
        <v>32</v>
      </c>
      <c r="P87" s="5" t="s">
        <v>33</v>
      </c>
      <c r="Q87" s="2">
        <v>45958</v>
      </c>
      <c r="V87" s="45">
        <f>IF(OR(ISNUMBER(SEARCH("unable to locate acct",G87)),ISNUMBER(SEARCH("unknown",G87)),ISNUMBER(SEARCH("inactive",G87)),H87=""),0,1)</f>
        <v>1</v>
      </c>
    </row>
    <row r="88" spans="1:22" hidden="1">
      <c r="A88" s="2">
        <v>45902</v>
      </c>
      <c r="B88" s="1" t="s">
        <v>336</v>
      </c>
      <c r="C88" s="1" t="s">
        <v>337</v>
      </c>
      <c r="D88" s="1" t="s">
        <v>168</v>
      </c>
      <c r="E88" s="1">
        <v>85326</v>
      </c>
      <c r="F88" s="3" t="s">
        <v>25</v>
      </c>
      <c r="G88" s="1" t="s">
        <v>297</v>
      </c>
      <c r="H88" s="4" t="s">
        <v>338</v>
      </c>
      <c r="I88" s="5" t="s">
        <v>190</v>
      </c>
      <c r="J88" s="5" t="s">
        <v>31</v>
      </c>
      <c r="K88" s="5" t="s">
        <v>31</v>
      </c>
      <c r="L88" s="5" t="s">
        <v>32</v>
      </c>
      <c r="M88" s="5" t="s">
        <v>31</v>
      </c>
      <c r="N88" s="5" t="s">
        <v>31</v>
      </c>
      <c r="O88" s="5" t="s">
        <v>32</v>
      </c>
      <c r="P88" s="5" t="s">
        <v>33</v>
      </c>
      <c r="Q88" s="2">
        <v>45958</v>
      </c>
      <c r="V88" s="45">
        <f>IF(OR(ISNUMBER(SEARCH("unable to locate acct",G88)),ISNUMBER(SEARCH("unknown",G88)),ISNUMBER(SEARCH("inactive",G88)),H88=""),0,1)</f>
        <v>1</v>
      </c>
    </row>
    <row r="89" spans="1:22" hidden="1">
      <c r="A89" s="2">
        <v>45902</v>
      </c>
      <c r="B89" s="1" t="s">
        <v>339</v>
      </c>
      <c r="C89" s="1" t="s">
        <v>340</v>
      </c>
      <c r="D89" s="1" t="s">
        <v>255</v>
      </c>
      <c r="E89" s="1">
        <v>86314</v>
      </c>
      <c r="F89" s="3" t="s">
        <v>25</v>
      </c>
      <c r="G89" s="1" t="s">
        <v>297</v>
      </c>
      <c r="H89" s="4" t="s">
        <v>5480</v>
      </c>
      <c r="I89" s="5" t="s">
        <v>120</v>
      </c>
      <c r="J89" s="5" t="s">
        <v>31</v>
      </c>
      <c r="K89" s="5" t="s">
        <v>31</v>
      </c>
      <c r="L89" s="7" t="s">
        <v>341</v>
      </c>
      <c r="M89" s="5" t="s">
        <v>32</v>
      </c>
      <c r="N89" s="13">
        <v>605.92999999999995</v>
      </c>
      <c r="O89" s="5" t="s">
        <v>32</v>
      </c>
      <c r="P89" s="2">
        <v>45932</v>
      </c>
      <c r="Q89" s="2"/>
      <c r="R89" s="1" t="s">
        <v>326</v>
      </c>
      <c r="V89" s="45">
        <f>IF(OR(ISNUMBER(SEARCH("unable to locate acct",G89)),ISNUMBER(SEARCH("unknown",G89)),ISNUMBER(SEARCH("inactive",G89)),H89=""),0,1)</f>
        <v>1</v>
      </c>
    </row>
    <row r="90" spans="1:22" hidden="1">
      <c r="A90" s="2">
        <v>45902</v>
      </c>
      <c r="B90" s="1" t="s">
        <v>342</v>
      </c>
      <c r="C90" s="1" t="s">
        <v>343</v>
      </c>
      <c r="D90" s="1" t="s">
        <v>18</v>
      </c>
      <c r="E90" s="1">
        <v>85306</v>
      </c>
      <c r="F90" s="1" t="s">
        <v>304</v>
      </c>
      <c r="G90" s="1" t="s">
        <v>297</v>
      </c>
      <c r="H90" s="4" t="s">
        <v>344</v>
      </c>
      <c r="I90" s="5" t="s">
        <v>51</v>
      </c>
      <c r="J90" s="5" t="s">
        <v>31</v>
      </c>
      <c r="K90" s="5" t="s">
        <v>31</v>
      </c>
      <c r="L90" s="7" t="s">
        <v>345</v>
      </c>
      <c r="M90" s="5" t="s">
        <v>32</v>
      </c>
      <c r="N90" s="13">
        <v>591.48</v>
      </c>
      <c r="O90" s="5" t="s">
        <v>32</v>
      </c>
      <c r="P90" s="2">
        <v>45932</v>
      </c>
      <c r="Q90" s="2">
        <v>45968</v>
      </c>
      <c r="R90" s="1" t="s">
        <v>346</v>
      </c>
      <c r="V90" s="45">
        <f>IF(OR(ISNUMBER(SEARCH("unable to locate acct",G90)),ISNUMBER(SEARCH("unknown",G90)),ISNUMBER(SEARCH("inactive",G90)),H90=""),0,1)</f>
        <v>1</v>
      </c>
    </row>
    <row r="91" spans="1:22" hidden="1">
      <c r="A91" s="2">
        <v>45902</v>
      </c>
      <c r="B91" s="1" t="s">
        <v>347</v>
      </c>
      <c r="C91" s="1" t="s">
        <v>348</v>
      </c>
      <c r="D91" s="1" t="s">
        <v>106</v>
      </c>
      <c r="E91" s="1">
        <v>85387</v>
      </c>
      <c r="F91" s="1" t="s">
        <v>304</v>
      </c>
      <c r="G91" s="1" t="s">
        <v>297</v>
      </c>
      <c r="H91" s="4" t="s">
        <v>349</v>
      </c>
      <c r="I91" s="5" t="s">
        <v>190</v>
      </c>
      <c r="J91" s="5" t="s">
        <v>31</v>
      </c>
      <c r="K91" s="5" t="s">
        <v>31</v>
      </c>
      <c r="L91" s="5" t="s">
        <v>350</v>
      </c>
      <c r="M91" s="5" t="s">
        <v>31</v>
      </c>
      <c r="N91" s="5" t="s">
        <v>31</v>
      </c>
      <c r="O91" s="5" t="s">
        <v>32</v>
      </c>
      <c r="P91" s="5" t="s">
        <v>33</v>
      </c>
      <c r="Q91" s="2">
        <v>45968</v>
      </c>
      <c r="V91" s="45">
        <f>IF(OR(ISNUMBER(SEARCH("unable to locate acct",G91)),ISNUMBER(SEARCH("unknown",G91)),ISNUMBER(SEARCH("inactive",G91)),H91=""),0,1)</f>
        <v>1</v>
      </c>
    </row>
    <row r="92" spans="1:22" hidden="1">
      <c r="A92" s="2">
        <v>45902</v>
      </c>
      <c r="B92" s="1" t="s">
        <v>351</v>
      </c>
      <c r="C92" s="1" t="s">
        <v>352</v>
      </c>
      <c r="D92" s="1" t="s">
        <v>57</v>
      </c>
      <c r="E92" s="1">
        <v>85020</v>
      </c>
      <c r="F92" s="1" t="s">
        <v>304</v>
      </c>
      <c r="G92" s="1" t="s">
        <v>297</v>
      </c>
      <c r="H92" s="4" t="s">
        <v>353</v>
      </c>
      <c r="I92" s="5" t="s">
        <v>120</v>
      </c>
      <c r="J92" s="5" t="s">
        <v>31</v>
      </c>
      <c r="K92" s="5" t="s">
        <v>31</v>
      </c>
      <c r="L92" s="5" t="s">
        <v>354</v>
      </c>
      <c r="M92" s="5" t="s">
        <v>31</v>
      </c>
      <c r="N92" s="5" t="s">
        <v>31</v>
      </c>
      <c r="O92" s="5" t="s">
        <v>32</v>
      </c>
      <c r="P92" s="5" t="s">
        <v>33</v>
      </c>
      <c r="Q92" s="2">
        <v>45968</v>
      </c>
      <c r="V92" s="45">
        <f>IF(OR(ISNUMBER(SEARCH("unable to locate acct",G92)),ISNUMBER(SEARCH("unknown",G92)),ISNUMBER(SEARCH("inactive",G92)),H92=""),0,1)</f>
        <v>1</v>
      </c>
    </row>
    <row r="93" spans="1:22" hidden="1">
      <c r="A93" s="2">
        <v>45902</v>
      </c>
      <c r="B93" s="1" t="s">
        <v>355</v>
      </c>
      <c r="C93" s="1" t="s">
        <v>356</v>
      </c>
      <c r="D93" s="1" t="s">
        <v>234</v>
      </c>
      <c r="E93" s="1">
        <v>85340</v>
      </c>
      <c r="F93" s="3" t="s">
        <v>25</v>
      </c>
      <c r="G93" s="1" t="s">
        <v>297</v>
      </c>
      <c r="H93" s="4" t="s">
        <v>357</v>
      </c>
      <c r="I93" s="5" t="s">
        <v>30</v>
      </c>
      <c r="J93" s="5" t="s">
        <v>31</v>
      </c>
      <c r="K93" s="5" t="s">
        <v>31</v>
      </c>
      <c r="L93" s="5" t="s">
        <v>32</v>
      </c>
      <c r="M93" s="5" t="s">
        <v>31</v>
      </c>
      <c r="N93" s="5" t="s">
        <v>31</v>
      </c>
      <c r="O93" s="5" t="s">
        <v>32</v>
      </c>
      <c r="P93" s="5" t="s">
        <v>33</v>
      </c>
      <c r="Q93" s="2">
        <v>45968</v>
      </c>
      <c r="V93" s="45">
        <f>IF(OR(ISNUMBER(SEARCH("unable to locate acct",G93)),ISNUMBER(SEARCH("unknown",G93)),ISNUMBER(SEARCH("inactive",G93)),H93=""),0,1)</f>
        <v>1</v>
      </c>
    </row>
    <row r="94" spans="1:22" hidden="1">
      <c r="A94" s="2">
        <v>45902</v>
      </c>
      <c r="B94" s="1" t="s">
        <v>358</v>
      </c>
      <c r="C94" s="1" t="s">
        <v>278</v>
      </c>
      <c r="D94" s="1" t="s">
        <v>106</v>
      </c>
      <c r="E94" s="1">
        <v>85387</v>
      </c>
      <c r="F94" s="3" t="s">
        <v>25</v>
      </c>
      <c r="G94" s="1" t="s">
        <v>297</v>
      </c>
      <c r="H94" s="4" t="s">
        <v>359</v>
      </c>
      <c r="I94" s="5" t="s">
        <v>282</v>
      </c>
      <c r="J94" s="5" t="s">
        <v>32</v>
      </c>
      <c r="K94" s="5" t="s">
        <v>31</v>
      </c>
      <c r="L94" s="5" t="s">
        <v>32</v>
      </c>
      <c r="M94" s="5" t="s">
        <v>31</v>
      </c>
      <c r="N94" s="5" t="s">
        <v>31</v>
      </c>
      <c r="O94" s="5" t="s">
        <v>32</v>
      </c>
      <c r="P94" s="5" t="s">
        <v>33</v>
      </c>
      <c r="Q94" s="2">
        <v>45968</v>
      </c>
      <c r="V94" s="45">
        <f>IF(OR(ISNUMBER(SEARCH("unable to locate acct",G94)),ISNUMBER(SEARCH("unknown",G94)),ISNUMBER(SEARCH("inactive",G94)),H94=""),0,1)</f>
        <v>1</v>
      </c>
    </row>
    <row r="95" spans="1:22" hidden="1">
      <c r="A95" s="2">
        <v>45902</v>
      </c>
      <c r="B95" s="1" t="s">
        <v>360</v>
      </c>
      <c r="C95" s="1" t="s">
        <v>219</v>
      </c>
      <c r="D95" s="1" t="s">
        <v>57</v>
      </c>
      <c r="E95" s="1">
        <v>85020</v>
      </c>
      <c r="F95" s="1" t="s">
        <v>304</v>
      </c>
      <c r="G95" s="1" t="s">
        <v>297</v>
      </c>
      <c r="H95" s="4" t="s">
        <v>203</v>
      </c>
      <c r="V95" s="45">
        <f>IF(OR(ISNUMBER(SEARCH("unable to locate acct",G95)),ISNUMBER(SEARCH("unknown",G95)),ISNUMBER(SEARCH("inactive",G95)),H95=""),0,1)</f>
        <v>1</v>
      </c>
    </row>
    <row r="96" spans="1:22" hidden="1">
      <c r="A96" s="2">
        <v>45902</v>
      </c>
      <c r="B96" s="1" t="s">
        <v>361</v>
      </c>
      <c r="C96" s="1" t="s">
        <v>362</v>
      </c>
      <c r="D96" s="1" t="s">
        <v>363</v>
      </c>
      <c r="E96" s="1">
        <v>85225</v>
      </c>
      <c r="F96" s="3" t="s">
        <v>25</v>
      </c>
      <c r="G96" s="1" t="s">
        <v>297</v>
      </c>
      <c r="H96" s="4" t="s">
        <v>364</v>
      </c>
      <c r="I96" s="10" t="s">
        <v>30</v>
      </c>
      <c r="J96" s="5" t="s">
        <v>31</v>
      </c>
      <c r="K96" s="5" t="s">
        <v>31</v>
      </c>
      <c r="L96" s="5" t="s">
        <v>32</v>
      </c>
      <c r="M96" s="5" t="s">
        <v>31</v>
      </c>
      <c r="N96" s="5" t="s">
        <v>31</v>
      </c>
      <c r="O96" s="5" t="s">
        <v>32</v>
      </c>
      <c r="P96" s="5" t="s">
        <v>33</v>
      </c>
      <c r="Q96" s="2">
        <v>45968</v>
      </c>
      <c r="V96" s="45">
        <f>IF(OR(ISNUMBER(SEARCH("unable to locate acct",G96)),ISNUMBER(SEARCH("unknown",G96)),ISNUMBER(SEARCH("inactive",G96)),H96=""),0,1)</f>
        <v>1</v>
      </c>
    </row>
    <row r="97" spans="1:22" hidden="1">
      <c r="A97" s="2">
        <v>45902</v>
      </c>
      <c r="B97" s="1" t="s">
        <v>365</v>
      </c>
      <c r="C97" s="1" t="s">
        <v>366</v>
      </c>
      <c r="D97" s="1" t="s">
        <v>57</v>
      </c>
      <c r="E97" s="1">
        <v>85006</v>
      </c>
      <c r="F97" s="3" t="s">
        <v>25</v>
      </c>
      <c r="G97" s="1" t="s">
        <v>297</v>
      </c>
      <c r="H97" s="4" t="s">
        <v>367</v>
      </c>
      <c r="I97" s="5" t="s">
        <v>190</v>
      </c>
      <c r="J97" s="5" t="s">
        <v>31</v>
      </c>
      <c r="K97" s="5" t="s">
        <v>31</v>
      </c>
      <c r="L97" s="5" t="s">
        <v>32</v>
      </c>
      <c r="M97" s="5" t="s">
        <v>31</v>
      </c>
      <c r="N97" s="5" t="s">
        <v>31</v>
      </c>
      <c r="O97" s="5" t="s">
        <v>32</v>
      </c>
      <c r="P97" s="5" t="s">
        <v>33</v>
      </c>
      <c r="Q97" s="2">
        <v>45968</v>
      </c>
      <c r="V97" s="45">
        <f>IF(OR(ISNUMBER(SEARCH("unable to locate acct",G97)),ISNUMBER(SEARCH("unknown",G97)),ISNUMBER(SEARCH("inactive",G97)),H97=""),0,1)</f>
        <v>1</v>
      </c>
    </row>
    <row r="98" spans="1:22" hidden="1">
      <c r="A98" s="2">
        <v>45902</v>
      </c>
      <c r="B98" s="1" t="s">
        <v>368</v>
      </c>
      <c r="C98" s="1" t="s">
        <v>369</v>
      </c>
      <c r="D98" s="1" t="s">
        <v>106</v>
      </c>
      <c r="E98" s="1">
        <v>85388</v>
      </c>
      <c r="F98" s="3" t="s">
        <v>25</v>
      </c>
      <c r="G98" s="1" t="s">
        <v>297</v>
      </c>
      <c r="H98" s="4" t="s">
        <v>370</v>
      </c>
      <c r="I98" s="5" t="s">
        <v>190</v>
      </c>
      <c r="J98" s="5" t="s">
        <v>31</v>
      </c>
      <c r="K98" s="5" t="s">
        <v>31</v>
      </c>
      <c r="L98" s="7" t="s">
        <v>371</v>
      </c>
      <c r="M98" s="5" t="s">
        <v>31</v>
      </c>
      <c r="N98" s="5" t="s">
        <v>31</v>
      </c>
      <c r="O98" s="5" t="s">
        <v>32</v>
      </c>
      <c r="P98" s="2">
        <v>45932</v>
      </c>
      <c r="Q98" s="2">
        <v>45968</v>
      </c>
      <c r="R98" s="1" t="s">
        <v>326</v>
      </c>
      <c r="V98" s="45">
        <f>IF(OR(ISNUMBER(SEARCH("unable to locate acct",G98)),ISNUMBER(SEARCH("unknown",G98)),ISNUMBER(SEARCH("inactive",G98)),H98=""),0,1)</f>
        <v>1</v>
      </c>
    </row>
    <row r="99" spans="1:22" hidden="1">
      <c r="A99" s="2">
        <v>45902</v>
      </c>
      <c r="B99" s="1" t="s">
        <v>372</v>
      </c>
      <c r="C99" s="1" t="s">
        <v>306</v>
      </c>
      <c r="D99" s="1" t="s">
        <v>163</v>
      </c>
      <c r="E99" s="1">
        <v>85338</v>
      </c>
      <c r="F99" s="3" t="s">
        <v>25</v>
      </c>
      <c r="G99" s="1" t="s">
        <v>297</v>
      </c>
      <c r="H99" s="4" t="s">
        <v>373</v>
      </c>
      <c r="I99" s="5" t="s">
        <v>190</v>
      </c>
      <c r="J99" s="5" t="s">
        <v>31</v>
      </c>
      <c r="K99" s="5" t="s">
        <v>31</v>
      </c>
      <c r="L99" s="5" t="s">
        <v>32</v>
      </c>
      <c r="M99" s="5" t="s">
        <v>31</v>
      </c>
      <c r="N99" s="5" t="s">
        <v>31</v>
      </c>
      <c r="O99" s="5" t="s">
        <v>32</v>
      </c>
      <c r="P99" s="5" t="s">
        <v>33</v>
      </c>
      <c r="Q99" s="2">
        <v>45968</v>
      </c>
      <c r="V99" s="45">
        <f>IF(OR(ISNUMBER(SEARCH("unable to locate acct",G99)),ISNUMBER(SEARCH("unknown",G99)),ISNUMBER(SEARCH("inactive",G99)),H99=""),0,1)</f>
        <v>1</v>
      </c>
    </row>
    <row r="100" spans="1:22" hidden="1">
      <c r="A100" s="2">
        <v>45902</v>
      </c>
      <c r="B100" s="1" t="s">
        <v>374</v>
      </c>
      <c r="C100" s="1" t="s">
        <v>375</v>
      </c>
      <c r="D100" s="1" t="s">
        <v>196</v>
      </c>
      <c r="E100" s="1">
        <v>85345</v>
      </c>
      <c r="F100" s="3" t="s">
        <v>25</v>
      </c>
      <c r="G100" s="1" t="s">
        <v>297</v>
      </c>
      <c r="H100" s="4" t="s">
        <v>21</v>
      </c>
      <c r="V100" s="45">
        <f>IF(OR(ISNUMBER(SEARCH("unable to locate acct",G100)),ISNUMBER(SEARCH("unknown",G100)),ISNUMBER(SEARCH("inactive",G100)),H100=""),0,1)</f>
        <v>1</v>
      </c>
    </row>
    <row r="101" spans="1:22" hidden="1">
      <c r="A101" s="2">
        <v>45902</v>
      </c>
      <c r="B101" s="1" t="s">
        <v>376</v>
      </c>
      <c r="C101" s="1" t="s">
        <v>377</v>
      </c>
      <c r="D101" s="1" t="s">
        <v>57</v>
      </c>
      <c r="E101" s="1">
        <v>85023</v>
      </c>
      <c r="F101" s="3" t="s">
        <v>25</v>
      </c>
      <c r="G101" s="1" t="s">
        <v>297</v>
      </c>
      <c r="H101" s="4" t="s">
        <v>5479</v>
      </c>
      <c r="I101" s="5" t="s">
        <v>120</v>
      </c>
      <c r="J101" s="5" t="s">
        <v>31</v>
      </c>
      <c r="K101" s="5" t="s">
        <v>31</v>
      </c>
      <c r="L101" s="5" t="s">
        <v>32</v>
      </c>
      <c r="M101" s="5" t="s">
        <v>31</v>
      </c>
      <c r="N101" s="5" t="s">
        <v>31</v>
      </c>
      <c r="O101" s="5" t="s">
        <v>32</v>
      </c>
      <c r="P101" s="5" t="s">
        <v>33</v>
      </c>
      <c r="Q101" s="2">
        <v>45968</v>
      </c>
      <c r="V101" s="45">
        <f>IF(OR(ISNUMBER(SEARCH("unable to locate acct",G101)),ISNUMBER(SEARCH("unknown",G101)),ISNUMBER(SEARCH("inactive",G101)),H101=""),0,1)</f>
        <v>1</v>
      </c>
    </row>
    <row r="102" spans="1:22" hidden="1">
      <c r="A102" s="2">
        <v>45902</v>
      </c>
      <c r="B102" s="1" t="s">
        <v>378</v>
      </c>
      <c r="C102" s="1" t="s">
        <v>379</v>
      </c>
      <c r="D102" s="1" t="s">
        <v>163</v>
      </c>
      <c r="E102" s="1">
        <v>85338</v>
      </c>
      <c r="F102" s="3" t="s">
        <v>25</v>
      </c>
      <c r="G102" s="1" t="s">
        <v>297</v>
      </c>
      <c r="H102" s="4" t="s">
        <v>380</v>
      </c>
      <c r="I102" s="5" t="s">
        <v>237</v>
      </c>
      <c r="J102" s="5" t="s">
        <v>32</v>
      </c>
      <c r="K102" s="5" t="s">
        <v>31</v>
      </c>
      <c r="L102" s="5" t="s">
        <v>381</v>
      </c>
      <c r="M102" s="5" t="s">
        <v>32</v>
      </c>
      <c r="N102" s="13">
        <v>326.87</v>
      </c>
      <c r="O102" s="5" t="s">
        <v>32</v>
      </c>
      <c r="P102" s="5" t="s">
        <v>33</v>
      </c>
      <c r="Q102" s="2">
        <v>45968</v>
      </c>
      <c r="R102" s="1" t="s">
        <v>382</v>
      </c>
      <c r="V102" s="45">
        <f>IF(OR(ISNUMBER(SEARCH("unable to locate acct",G102)),ISNUMBER(SEARCH("unknown",G102)),ISNUMBER(SEARCH("inactive",G102)),H102=""),0,1)</f>
        <v>1</v>
      </c>
    </row>
    <row r="103" spans="1:22" hidden="1">
      <c r="A103" s="2">
        <v>45902</v>
      </c>
      <c r="B103" s="1" t="s">
        <v>383</v>
      </c>
      <c r="C103" s="1" t="s">
        <v>384</v>
      </c>
      <c r="D103" s="1" t="s">
        <v>163</v>
      </c>
      <c r="E103" s="1">
        <v>85338</v>
      </c>
      <c r="F103" s="3" t="s">
        <v>25</v>
      </c>
      <c r="G103" s="1" t="s">
        <v>297</v>
      </c>
      <c r="H103" s="4" t="s">
        <v>385</v>
      </c>
      <c r="I103" s="5" t="s">
        <v>30</v>
      </c>
      <c r="J103" s="5" t="s">
        <v>31</v>
      </c>
      <c r="K103" s="5" t="s">
        <v>31</v>
      </c>
      <c r="L103" s="5" t="s">
        <v>32</v>
      </c>
      <c r="M103" s="5" t="s">
        <v>31</v>
      </c>
      <c r="N103" s="5" t="s">
        <v>31</v>
      </c>
      <c r="O103" s="5" t="s">
        <v>32</v>
      </c>
      <c r="P103" s="5" t="s">
        <v>33</v>
      </c>
      <c r="Q103" s="2">
        <v>45968</v>
      </c>
      <c r="V103" s="45">
        <f>IF(OR(ISNUMBER(SEARCH("unable to locate acct",G103)),ISNUMBER(SEARCH("unknown",G103)),ISNUMBER(SEARCH("inactive",G103)),H103=""),0,1)</f>
        <v>1</v>
      </c>
    </row>
    <row r="104" spans="1:22" hidden="1">
      <c r="A104" s="2">
        <v>45902</v>
      </c>
      <c r="B104" s="1" t="s">
        <v>386</v>
      </c>
      <c r="C104" s="1" t="s">
        <v>387</v>
      </c>
      <c r="D104" s="1" t="s">
        <v>388</v>
      </c>
      <c r="E104" s="1">
        <v>85303</v>
      </c>
      <c r="F104" s="3" t="s">
        <v>25</v>
      </c>
      <c r="G104" s="1" t="s">
        <v>297</v>
      </c>
      <c r="H104" s="4" t="s">
        <v>389</v>
      </c>
      <c r="I104" s="5" t="s">
        <v>120</v>
      </c>
      <c r="J104" s="5" t="s">
        <v>31</v>
      </c>
      <c r="K104" s="5" t="s">
        <v>31</v>
      </c>
      <c r="L104" s="5" t="s">
        <v>32</v>
      </c>
      <c r="M104" s="5" t="s">
        <v>31</v>
      </c>
      <c r="N104" s="5" t="s">
        <v>31</v>
      </c>
      <c r="O104" s="5" t="s">
        <v>32</v>
      </c>
      <c r="P104" s="5" t="s">
        <v>33</v>
      </c>
      <c r="Q104" s="2">
        <v>45968</v>
      </c>
      <c r="V104" s="45">
        <f>IF(OR(ISNUMBER(SEARCH("unable to locate acct",G104)),ISNUMBER(SEARCH("unknown",G104)),ISNUMBER(SEARCH("inactive",G104)),H104=""),0,1)</f>
        <v>1</v>
      </c>
    </row>
    <row r="105" spans="1:22" hidden="1">
      <c r="A105" s="2">
        <v>45902</v>
      </c>
      <c r="B105" s="1" t="s">
        <v>390</v>
      </c>
      <c r="C105" s="1" t="s">
        <v>391</v>
      </c>
      <c r="D105" s="1" t="s">
        <v>57</v>
      </c>
      <c r="E105" s="1">
        <v>85006</v>
      </c>
      <c r="F105" s="3" t="s">
        <v>25</v>
      </c>
      <c r="G105" s="1" t="s">
        <v>297</v>
      </c>
      <c r="H105" s="4" t="s">
        <v>392</v>
      </c>
      <c r="I105" s="5" t="s">
        <v>30</v>
      </c>
      <c r="J105" s="5" t="s">
        <v>31</v>
      </c>
      <c r="K105" s="5" t="s">
        <v>31</v>
      </c>
      <c r="L105" s="5" t="s">
        <v>393</v>
      </c>
      <c r="M105" s="5" t="s">
        <v>31</v>
      </c>
      <c r="N105" s="5" t="s">
        <v>31</v>
      </c>
      <c r="O105" s="5" t="s">
        <v>32</v>
      </c>
      <c r="P105" s="5" t="s">
        <v>33</v>
      </c>
      <c r="Q105" s="2">
        <v>45968</v>
      </c>
      <c r="V105" s="45">
        <f>IF(OR(ISNUMBER(SEARCH("unable to locate acct",G105)),ISNUMBER(SEARCH("unknown",G105)),ISNUMBER(SEARCH("inactive",G105)),H105=""),0,1)</f>
        <v>1</v>
      </c>
    </row>
    <row r="106" spans="1:22" hidden="1">
      <c r="A106" s="2">
        <v>45902</v>
      </c>
      <c r="B106" s="1" t="s">
        <v>394</v>
      </c>
      <c r="C106" s="1" t="s">
        <v>395</v>
      </c>
      <c r="D106" s="1" t="s">
        <v>18</v>
      </c>
      <c r="E106" s="1">
        <v>85307</v>
      </c>
      <c r="F106" s="1" t="s">
        <v>304</v>
      </c>
      <c r="G106" s="1" t="s">
        <v>297</v>
      </c>
      <c r="H106" s="4" t="s">
        <v>396</v>
      </c>
      <c r="I106" s="5" t="s">
        <v>120</v>
      </c>
      <c r="J106" s="5" t="s">
        <v>31</v>
      </c>
      <c r="K106" s="5" t="s">
        <v>31</v>
      </c>
      <c r="L106" s="5" t="s">
        <v>397</v>
      </c>
      <c r="M106" s="5" t="s">
        <v>31</v>
      </c>
      <c r="N106" s="5" t="s">
        <v>31</v>
      </c>
      <c r="O106" s="5" t="s">
        <v>32</v>
      </c>
      <c r="P106" s="5" t="s">
        <v>33</v>
      </c>
      <c r="Q106" s="2">
        <v>45968</v>
      </c>
      <c r="V106" s="45">
        <f>IF(OR(ISNUMBER(SEARCH("unable to locate acct",G106)),ISNUMBER(SEARCH("unknown",G106)),ISNUMBER(SEARCH("inactive",G106)),H106=""),0,1)</f>
        <v>1</v>
      </c>
    </row>
    <row r="107" spans="1:22" hidden="1">
      <c r="A107" s="2">
        <v>45902</v>
      </c>
      <c r="B107" s="1" t="s">
        <v>398</v>
      </c>
      <c r="C107" s="1" t="s">
        <v>399</v>
      </c>
      <c r="D107" s="1" t="s">
        <v>57</v>
      </c>
      <c r="E107" s="1">
        <v>85006</v>
      </c>
      <c r="F107" s="3" t="s">
        <v>25</v>
      </c>
      <c r="G107" s="1" t="s">
        <v>297</v>
      </c>
      <c r="H107" s="4" t="s">
        <v>400</v>
      </c>
      <c r="I107" s="5" t="s">
        <v>51</v>
      </c>
      <c r="J107" s="5" t="s">
        <v>31</v>
      </c>
      <c r="K107" s="5" t="s">
        <v>31</v>
      </c>
      <c r="L107" s="7" t="s">
        <v>401</v>
      </c>
      <c r="M107" s="5" t="s">
        <v>31</v>
      </c>
      <c r="N107" s="5" t="s">
        <v>31</v>
      </c>
      <c r="O107" s="5" t="s">
        <v>32</v>
      </c>
      <c r="P107" s="2">
        <v>45932</v>
      </c>
      <c r="Q107" s="2">
        <v>45968</v>
      </c>
      <c r="R107" s="1" t="s">
        <v>326</v>
      </c>
      <c r="V107" s="45">
        <f>IF(OR(ISNUMBER(SEARCH("unable to locate acct",G107)),ISNUMBER(SEARCH("unknown",G107)),ISNUMBER(SEARCH("inactive",G107)),H107=""),0,1)</f>
        <v>1</v>
      </c>
    </row>
    <row r="108" spans="1:22" hidden="1">
      <c r="A108" s="2">
        <v>45902</v>
      </c>
      <c r="B108" s="1" t="s">
        <v>402</v>
      </c>
      <c r="C108" s="1" t="s">
        <v>403</v>
      </c>
      <c r="D108" s="1" t="s">
        <v>404</v>
      </c>
      <c r="E108" s="1">
        <v>85123</v>
      </c>
      <c r="F108" s="1" t="s">
        <v>304</v>
      </c>
      <c r="G108" s="1" t="s">
        <v>297</v>
      </c>
      <c r="H108" s="4" t="s">
        <v>405</v>
      </c>
      <c r="I108" s="5" t="s">
        <v>190</v>
      </c>
      <c r="J108" s="5" t="s">
        <v>31</v>
      </c>
      <c r="K108" s="5" t="s">
        <v>31</v>
      </c>
      <c r="L108" s="5" t="s">
        <v>406</v>
      </c>
      <c r="M108" s="5" t="s">
        <v>31</v>
      </c>
      <c r="N108" s="5" t="s">
        <v>31</v>
      </c>
      <c r="O108" s="5" t="s">
        <v>32</v>
      </c>
      <c r="P108" s="5" t="s">
        <v>33</v>
      </c>
      <c r="Q108" s="2">
        <v>45968</v>
      </c>
      <c r="V108" s="45">
        <f>IF(OR(ISNUMBER(SEARCH("unable to locate acct",G108)),ISNUMBER(SEARCH("unknown",G108)),ISNUMBER(SEARCH("inactive",G108)),H108=""),0,1)</f>
        <v>1</v>
      </c>
    </row>
    <row r="109" spans="1:22" hidden="1">
      <c r="A109" s="2">
        <v>45902</v>
      </c>
      <c r="B109" s="1" t="s">
        <v>407</v>
      </c>
      <c r="C109" s="1" t="s">
        <v>408</v>
      </c>
      <c r="D109" s="1" t="s">
        <v>106</v>
      </c>
      <c r="E109" s="1">
        <v>85379</v>
      </c>
      <c r="F109" s="3" t="s">
        <v>25</v>
      </c>
      <c r="G109" s="1" t="s">
        <v>297</v>
      </c>
      <c r="H109" s="4" t="s">
        <v>409</v>
      </c>
      <c r="I109" s="5" t="s">
        <v>410</v>
      </c>
      <c r="J109" s="5" t="s">
        <v>31</v>
      </c>
      <c r="K109" s="5" t="s">
        <v>31</v>
      </c>
      <c r="L109" s="5" t="s">
        <v>381</v>
      </c>
      <c r="M109" s="5" t="s">
        <v>31</v>
      </c>
      <c r="N109" s="5" t="s">
        <v>31</v>
      </c>
      <c r="O109" s="5" t="s">
        <v>32</v>
      </c>
      <c r="P109" s="5" t="s">
        <v>33</v>
      </c>
      <c r="Q109" s="2">
        <v>45968</v>
      </c>
      <c r="V109" s="45">
        <f>IF(OR(ISNUMBER(SEARCH("unable to locate acct",G109)),ISNUMBER(SEARCH("unknown",G109)),ISNUMBER(SEARCH("inactive",G109)),H109=""),0,1)</f>
        <v>1</v>
      </c>
    </row>
    <row r="110" spans="1:22" hidden="1">
      <c r="A110" s="2">
        <v>45902</v>
      </c>
      <c r="B110" s="1" t="s">
        <v>411</v>
      </c>
      <c r="C110" s="1" t="s">
        <v>412</v>
      </c>
      <c r="D110" s="1" t="s">
        <v>168</v>
      </c>
      <c r="E110" s="1">
        <v>85326</v>
      </c>
      <c r="F110" s="3" t="s">
        <v>25</v>
      </c>
      <c r="G110" s="1" t="s">
        <v>297</v>
      </c>
      <c r="H110" s="4" t="s">
        <v>21</v>
      </c>
      <c r="V110" s="45">
        <f>IF(OR(ISNUMBER(SEARCH("unable to locate acct",G110)),ISNUMBER(SEARCH("unknown",G110)),ISNUMBER(SEARCH("inactive",G110)),H110=""),0,1)</f>
        <v>1</v>
      </c>
    </row>
    <row r="111" spans="1:22" hidden="1">
      <c r="A111" s="2">
        <v>45902</v>
      </c>
      <c r="B111" s="1" t="s">
        <v>413</v>
      </c>
      <c r="C111" s="1" t="s">
        <v>414</v>
      </c>
      <c r="D111" s="1" t="s">
        <v>57</v>
      </c>
      <c r="E111" s="1">
        <v>85054</v>
      </c>
      <c r="F111" s="1" t="s">
        <v>304</v>
      </c>
      <c r="G111" s="1" t="s">
        <v>297</v>
      </c>
      <c r="H111" s="4" t="s">
        <v>4954</v>
      </c>
      <c r="I111" s="5" t="s">
        <v>190</v>
      </c>
      <c r="J111" s="5" t="s">
        <v>31</v>
      </c>
      <c r="K111" s="5" t="s">
        <v>31</v>
      </c>
      <c r="L111" s="7" t="s">
        <v>415</v>
      </c>
      <c r="M111" s="5" t="s">
        <v>31</v>
      </c>
      <c r="N111" s="5" t="s">
        <v>31</v>
      </c>
      <c r="O111" s="5" t="s">
        <v>32</v>
      </c>
      <c r="P111" s="2">
        <v>45932</v>
      </c>
      <c r="Q111" s="2">
        <v>45958</v>
      </c>
      <c r="R111" s="1" t="s">
        <v>326</v>
      </c>
      <c r="V111" s="45">
        <f>IF(OR(ISNUMBER(SEARCH("unable to locate acct",G111)),ISNUMBER(SEARCH("unknown",G111)),ISNUMBER(SEARCH("inactive",G111)),H111=""),0,1)</f>
        <v>1</v>
      </c>
    </row>
    <row r="112" spans="1:22" hidden="1">
      <c r="A112" s="2">
        <v>45902</v>
      </c>
      <c r="B112" s="1" t="s">
        <v>416</v>
      </c>
      <c r="C112" s="1" t="s">
        <v>417</v>
      </c>
      <c r="D112" s="1" t="s">
        <v>234</v>
      </c>
      <c r="E112" s="1">
        <v>85340</v>
      </c>
      <c r="F112" s="1" t="s">
        <v>304</v>
      </c>
      <c r="G112" s="1" t="s">
        <v>297</v>
      </c>
      <c r="H112" s="4" t="s">
        <v>21</v>
      </c>
      <c r="V112" s="45">
        <f>IF(OR(ISNUMBER(SEARCH("unable to locate acct",G112)),ISNUMBER(SEARCH("unknown",G112)),ISNUMBER(SEARCH("inactive",G112)),H112=""),0,1)</f>
        <v>1</v>
      </c>
    </row>
    <row r="113" spans="1:22" hidden="1">
      <c r="A113" s="2">
        <v>45902</v>
      </c>
      <c r="B113" s="1" t="s">
        <v>418</v>
      </c>
      <c r="C113" s="1" t="s">
        <v>419</v>
      </c>
      <c r="D113" s="1" t="s">
        <v>420</v>
      </c>
      <c r="E113" s="1">
        <v>85335</v>
      </c>
      <c r="F113" s="3" t="s">
        <v>25</v>
      </c>
      <c r="G113" s="1" t="s">
        <v>297</v>
      </c>
      <c r="H113" s="4" t="s">
        <v>21</v>
      </c>
      <c r="V113" s="45">
        <f>IF(OR(ISNUMBER(SEARCH("unable to locate acct",G113)),ISNUMBER(SEARCH("unknown",G113)),ISNUMBER(SEARCH("inactive",G113)),H113=""),0,1)</f>
        <v>1</v>
      </c>
    </row>
    <row r="114" spans="1:22" hidden="1">
      <c r="A114" s="2">
        <v>45902</v>
      </c>
      <c r="B114" s="1" t="s">
        <v>421</v>
      </c>
      <c r="C114" s="1" t="s">
        <v>129</v>
      </c>
      <c r="D114" s="1" t="s">
        <v>57</v>
      </c>
      <c r="E114" s="1">
        <v>85029</v>
      </c>
      <c r="F114" s="1" t="s">
        <v>304</v>
      </c>
      <c r="G114" s="1" t="s">
        <v>297</v>
      </c>
      <c r="H114" s="4" t="s">
        <v>5121</v>
      </c>
      <c r="I114" s="5" t="s">
        <v>30</v>
      </c>
      <c r="J114" s="5" t="s">
        <v>32</v>
      </c>
      <c r="K114" s="5" t="s">
        <v>31</v>
      </c>
      <c r="L114" s="5" t="s">
        <v>32</v>
      </c>
      <c r="M114" s="5" t="s">
        <v>31</v>
      </c>
      <c r="N114" s="5" t="s">
        <v>31</v>
      </c>
      <c r="O114" s="5" t="s">
        <v>32</v>
      </c>
      <c r="P114" s="5" t="s">
        <v>422</v>
      </c>
      <c r="Q114" s="2">
        <v>45958</v>
      </c>
      <c r="V114" s="45">
        <f>IF(OR(ISNUMBER(SEARCH("unable to locate acct",G114)),ISNUMBER(SEARCH("unknown",G114)),ISNUMBER(SEARCH("inactive",G114)),H114=""),0,1)</f>
        <v>1</v>
      </c>
    </row>
    <row r="115" spans="1:22" hidden="1">
      <c r="A115" s="2">
        <v>45902</v>
      </c>
      <c r="B115" s="1" t="s">
        <v>423</v>
      </c>
      <c r="C115" s="1" t="s">
        <v>384</v>
      </c>
      <c r="D115" s="1" t="s">
        <v>57</v>
      </c>
      <c r="E115" s="1">
        <v>85006</v>
      </c>
      <c r="F115" s="3" t="s">
        <v>25</v>
      </c>
      <c r="G115" s="1" t="s">
        <v>297</v>
      </c>
      <c r="H115" s="4" t="s">
        <v>203</v>
      </c>
      <c r="V115" s="45">
        <f>IF(OR(ISNUMBER(SEARCH("unable to locate acct",G115)),ISNUMBER(SEARCH("unknown",G115)),ISNUMBER(SEARCH("inactive",G115)),H115=""),0,1)</f>
        <v>1</v>
      </c>
    </row>
    <row r="116" spans="1:22" hidden="1">
      <c r="A116" s="2">
        <v>45902</v>
      </c>
      <c r="B116" s="1" t="s">
        <v>424</v>
      </c>
      <c r="C116" s="1" t="s">
        <v>425</v>
      </c>
      <c r="D116" s="1" t="s">
        <v>79</v>
      </c>
      <c r="E116" s="1">
        <v>86323</v>
      </c>
      <c r="F116" s="1" t="s">
        <v>25</v>
      </c>
      <c r="G116" s="1" t="s">
        <v>297</v>
      </c>
      <c r="H116" s="4" t="s">
        <v>449</v>
      </c>
      <c r="I116" s="5" t="s">
        <v>282</v>
      </c>
      <c r="J116" s="5" t="s">
        <v>31</v>
      </c>
      <c r="K116" s="5" t="s">
        <v>31</v>
      </c>
      <c r="L116" s="5" t="s">
        <v>32</v>
      </c>
      <c r="M116" s="5" t="s">
        <v>31</v>
      </c>
      <c r="N116" s="5" t="s">
        <v>31</v>
      </c>
      <c r="O116" s="5" t="s">
        <v>32</v>
      </c>
      <c r="P116" s="5" t="s">
        <v>33</v>
      </c>
      <c r="Q116" s="2">
        <v>45958</v>
      </c>
      <c r="V116" s="45">
        <f>IF(OR(ISNUMBER(SEARCH("unable to locate acct",G116)),ISNUMBER(SEARCH("unknown",G116)),ISNUMBER(SEARCH("inactive",G116)),H116=""),0,1)</f>
        <v>1</v>
      </c>
    </row>
    <row r="117" spans="1:22" hidden="1">
      <c r="A117" s="2">
        <v>45902</v>
      </c>
      <c r="B117" s="1" t="s">
        <v>426</v>
      </c>
      <c r="C117" s="1" t="s">
        <v>139</v>
      </c>
      <c r="D117" s="1" t="s">
        <v>106</v>
      </c>
      <c r="E117" s="1">
        <v>85379</v>
      </c>
      <c r="F117" s="1" t="s">
        <v>304</v>
      </c>
      <c r="G117" s="1" t="s">
        <v>297</v>
      </c>
      <c r="H117" s="4" t="s">
        <v>427</v>
      </c>
      <c r="I117" s="5" t="s">
        <v>120</v>
      </c>
      <c r="J117" s="5" t="s">
        <v>31</v>
      </c>
      <c r="K117" s="5" t="s">
        <v>31</v>
      </c>
      <c r="L117" s="5" t="s">
        <v>32</v>
      </c>
      <c r="M117" s="5" t="s">
        <v>31</v>
      </c>
      <c r="N117" s="5" t="s">
        <v>31</v>
      </c>
      <c r="O117" s="5" t="s">
        <v>32</v>
      </c>
      <c r="P117" s="5" t="s">
        <v>33</v>
      </c>
      <c r="Q117" s="2">
        <v>45958</v>
      </c>
      <c r="V117" s="45">
        <f>IF(OR(ISNUMBER(SEARCH("unable to locate acct",G117)),ISNUMBER(SEARCH("unknown",G117)),ISNUMBER(SEARCH("inactive",G117)),H117=""),0,1)</f>
        <v>1</v>
      </c>
    </row>
    <row r="118" spans="1:22" hidden="1">
      <c r="A118" s="2">
        <v>45902</v>
      </c>
      <c r="B118" s="1" t="s">
        <v>428</v>
      </c>
      <c r="C118" s="1" t="s">
        <v>429</v>
      </c>
      <c r="D118" s="1" t="s">
        <v>163</v>
      </c>
      <c r="E118" s="1">
        <v>85338</v>
      </c>
      <c r="F118" s="1" t="s">
        <v>25</v>
      </c>
      <c r="G118" s="1" t="s">
        <v>297</v>
      </c>
      <c r="H118" s="4" t="s">
        <v>430</v>
      </c>
      <c r="I118" s="5" t="s">
        <v>410</v>
      </c>
      <c r="J118" s="5" t="s">
        <v>32</v>
      </c>
      <c r="K118" s="5" t="s">
        <v>31</v>
      </c>
      <c r="L118" s="5" t="s">
        <v>381</v>
      </c>
      <c r="M118" s="5" t="s">
        <v>32</v>
      </c>
      <c r="N118" s="13">
        <v>179.9</v>
      </c>
      <c r="O118" s="5" t="s">
        <v>32</v>
      </c>
      <c r="P118" s="5" t="s">
        <v>33</v>
      </c>
      <c r="Q118" s="2">
        <v>45968</v>
      </c>
      <c r="V118" s="45">
        <f>IF(OR(ISNUMBER(SEARCH("unable to locate acct",G118)),ISNUMBER(SEARCH("unknown",G118)),ISNUMBER(SEARCH("inactive",G118)),H118=""),0,1)</f>
        <v>1</v>
      </c>
    </row>
    <row r="119" spans="1:22" hidden="1">
      <c r="A119" s="2">
        <v>45902</v>
      </c>
      <c r="B119" s="1" t="s">
        <v>431</v>
      </c>
      <c r="C119" s="1" t="s">
        <v>432</v>
      </c>
      <c r="D119" s="1" t="s">
        <v>119</v>
      </c>
      <c r="E119" s="1">
        <v>85254</v>
      </c>
      <c r="F119" s="1" t="s">
        <v>304</v>
      </c>
      <c r="G119" s="1" t="s">
        <v>297</v>
      </c>
      <c r="H119" s="4" t="s">
        <v>433</v>
      </c>
      <c r="I119" s="5" t="s">
        <v>30</v>
      </c>
      <c r="J119" s="5" t="s">
        <v>31</v>
      </c>
      <c r="K119" s="5" t="s">
        <v>31</v>
      </c>
      <c r="L119" s="5" t="s">
        <v>32</v>
      </c>
      <c r="M119" s="5" t="s">
        <v>31</v>
      </c>
      <c r="N119" s="5" t="s">
        <v>31</v>
      </c>
      <c r="O119" s="5" t="s">
        <v>32</v>
      </c>
      <c r="P119" s="5" t="s">
        <v>33</v>
      </c>
      <c r="Q119" s="2">
        <v>45968</v>
      </c>
      <c r="V119" s="45">
        <f>IF(OR(ISNUMBER(SEARCH("unable to locate acct",G119)),ISNUMBER(SEARCH("unknown",G119)),ISNUMBER(SEARCH("inactive",G119)),H119=""),0,1)</f>
        <v>1</v>
      </c>
    </row>
    <row r="120" spans="1:22" hidden="1">
      <c r="A120" s="2">
        <v>45902</v>
      </c>
      <c r="B120" s="1" t="s">
        <v>434</v>
      </c>
      <c r="C120" s="1" t="s">
        <v>435</v>
      </c>
      <c r="D120" s="1" t="s">
        <v>57</v>
      </c>
      <c r="E120" s="1">
        <v>85032</v>
      </c>
      <c r="F120" s="1" t="s">
        <v>304</v>
      </c>
      <c r="G120" s="1" t="s">
        <v>297</v>
      </c>
      <c r="H120" s="4" t="s">
        <v>436</v>
      </c>
      <c r="I120" s="5" t="s">
        <v>190</v>
      </c>
      <c r="J120" s="5" t="s">
        <v>31</v>
      </c>
      <c r="K120" s="5" t="s">
        <v>31</v>
      </c>
      <c r="L120" s="7" t="s">
        <v>437</v>
      </c>
      <c r="M120" s="5" t="s">
        <v>31</v>
      </c>
      <c r="N120" s="5" t="s">
        <v>31</v>
      </c>
      <c r="O120" s="5" t="s">
        <v>32</v>
      </c>
      <c r="P120" s="2">
        <v>45932</v>
      </c>
      <c r="Q120" s="2">
        <v>45968</v>
      </c>
      <c r="R120" s="1" t="s">
        <v>438</v>
      </c>
      <c r="V120" s="45">
        <f>IF(OR(ISNUMBER(SEARCH("unable to locate acct",G120)),ISNUMBER(SEARCH("unknown",G120)),ISNUMBER(SEARCH("inactive",G120)),H120=""),0,1)</f>
        <v>1</v>
      </c>
    </row>
    <row r="121" spans="1:22" hidden="1">
      <c r="A121" s="2">
        <v>45902</v>
      </c>
      <c r="B121" s="1" t="s">
        <v>439</v>
      </c>
      <c r="C121" s="1" t="s">
        <v>322</v>
      </c>
      <c r="D121" s="1" t="s">
        <v>440</v>
      </c>
      <c r="E121" s="1">
        <v>85361</v>
      </c>
      <c r="F121" s="1" t="s">
        <v>304</v>
      </c>
      <c r="G121" s="1" t="s">
        <v>297</v>
      </c>
      <c r="H121" s="4" t="s">
        <v>21</v>
      </c>
      <c r="V121" s="45">
        <f>IF(OR(ISNUMBER(SEARCH("unable to locate acct",G121)),ISNUMBER(SEARCH("unknown",G121)),ISNUMBER(SEARCH("inactive",G121)),H121=""),0,1)</f>
        <v>1</v>
      </c>
    </row>
    <row r="122" spans="1:22" hidden="1">
      <c r="A122" s="2">
        <v>45902</v>
      </c>
      <c r="B122" s="1" t="s">
        <v>441</v>
      </c>
      <c r="C122" s="1" t="s">
        <v>327</v>
      </c>
      <c r="D122" s="1" t="s">
        <v>119</v>
      </c>
      <c r="E122" s="1">
        <v>85260</v>
      </c>
      <c r="F122" s="1" t="s">
        <v>304</v>
      </c>
      <c r="G122" s="1" t="s">
        <v>297</v>
      </c>
      <c r="H122" s="4" t="s">
        <v>442</v>
      </c>
      <c r="I122" s="5" t="s">
        <v>120</v>
      </c>
      <c r="J122" s="5" t="s">
        <v>31</v>
      </c>
      <c r="K122" s="5" t="s">
        <v>31</v>
      </c>
      <c r="L122" s="5" t="s">
        <v>32</v>
      </c>
      <c r="M122" s="5" t="s">
        <v>31</v>
      </c>
      <c r="N122" s="5" t="s">
        <v>31</v>
      </c>
      <c r="O122" s="5" t="s">
        <v>32</v>
      </c>
      <c r="P122" s="5" t="s">
        <v>33</v>
      </c>
      <c r="Q122" s="2">
        <v>45968</v>
      </c>
      <c r="V122" s="45">
        <f>IF(OR(ISNUMBER(SEARCH("unable to locate acct",G122)),ISNUMBER(SEARCH("unknown",G122)),ISNUMBER(SEARCH("inactive",G122)),H122=""),0,1)</f>
        <v>1</v>
      </c>
    </row>
    <row r="123" spans="1:22" hidden="1">
      <c r="A123" s="2">
        <v>45902</v>
      </c>
      <c r="B123" s="1" t="s">
        <v>443</v>
      </c>
      <c r="C123" s="1" t="s">
        <v>444</v>
      </c>
      <c r="D123" s="1" t="s">
        <v>196</v>
      </c>
      <c r="E123" s="1">
        <v>85345</v>
      </c>
      <c r="F123" s="1" t="s">
        <v>304</v>
      </c>
      <c r="G123" s="1" t="s">
        <v>297</v>
      </c>
      <c r="H123" s="4" t="s">
        <v>21</v>
      </c>
      <c r="V123" s="45">
        <f>IF(OR(ISNUMBER(SEARCH("unable to locate acct",G123)),ISNUMBER(SEARCH("unknown",G123)),ISNUMBER(SEARCH("inactive",G123)),H123=""),0,1)</f>
        <v>1</v>
      </c>
    </row>
    <row r="124" spans="1:22" hidden="1">
      <c r="A124" s="2">
        <v>45902</v>
      </c>
      <c r="B124" s="1" t="s">
        <v>445</v>
      </c>
      <c r="C124" s="1" t="s">
        <v>446</v>
      </c>
      <c r="D124" s="1" t="s">
        <v>119</v>
      </c>
      <c r="E124" s="1">
        <v>85255</v>
      </c>
      <c r="F124" s="1" t="s">
        <v>304</v>
      </c>
      <c r="G124" s="1" t="s">
        <v>297</v>
      </c>
      <c r="H124" s="4" t="s">
        <v>447</v>
      </c>
      <c r="I124" s="5" t="s">
        <v>282</v>
      </c>
      <c r="J124" s="5" t="s">
        <v>31</v>
      </c>
      <c r="K124" s="5" t="s">
        <v>31</v>
      </c>
      <c r="L124" s="5" t="s">
        <v>32</v>
      </c>
      <c r="M124" s="5" t="s">
        <v>31</v>
      </c>
      <c r="N124" s="5" t="s">
        <v>31</v>
      </c>
      <c r="O124" s="5" t="s">
        <v>32</v>
      </c>
      <c r="P124" s="5" t="s">
        <v>33</v>
      </c>
      <c r="Q124" s="2">
        <v>45968</v>
      </c>
      <c r="V124" s="45">
        <f>IF(OR(ISNUMBER(SEARCH("unable to locate acct",G124)),ISNUMBER(SEARCH("unknown",G124)),ISNUMBER(SEARCH("inactive",G124)),H124=""),0,1)</f>
        <v>1</v>
      </c>
    </row>
    <row r="125" spans="1:22" hidden="1">
      <c r="A125" s="2">
        <v>45902</v>
      </c>
      <c r="B125" s="1" t="s">
        <v>424</v>
      </c>
      <c r="C125" s="1" t="s">
        <v>448</v>
      </c>
      <c r="D125" s="1" t="s">
        <v>79</v>
      </c>
      <c r="E125" s="1">
        <v>86323</v>
      </c>
      <c r="F125" s="1" t="s">
        <v>304</v>
      </c>
      <c r="G125" s="1" t="s">
        <v>297</v>
      </c>
      <c r="H125" s="4" t="s">
        <v>449</v>
      </c>
      <c r="I125" s="5" t="s">
        <v>282</v>
      </c>
      <c r="J125" s="5" t="s">
        <v>31</v>
      </c>
      <c r="K125" s="5" t="s">
        <v>31</v>
      </c>
      <c r="L125" s="5" t="s">
        <v>32</v>
      </c>
      <c r="M125" s="5" t="s">
        <v>31</v>
      </c>
      <c r="N125" s="5" t="s">
        <v>31</v>
      </c>
      <c r="O125" s="5" t="s">
        <v>32</v>
      </c>
      <c r="P125" s="5" t="s">
        <v>33</v>
      </c>
      <c r="Q125" s="2">
        <v>45968</v>
      </c>
      <c r="V125" s="45">
        <f>IF(OR(ISNUMBER(SEARCH("unable to locate acct",G125)),ISNUMBER(SEARCH("unknown",G125)),ISNUMBER(SEARCH("inactive",G125)),H125=""),0,1)</f>
        <v>1</v>
      </c>
    </row>
    <row r="126" spans="1:22" hidden="1">
      <c r="A126" s="2">
        <v>45902</v>
      </c>
      <c r="B126" s="1" t="s">
        <v>450</v>
      </c>
      <c r="C126" s="1" t="s">
        <v>451</v>
      </c>
      <c r="D126" s="1" t="s">
        <v>119</v>
      </c>
      <c r="E126" s="1">
        <v>85255</v>
      </c>
      <c r="F126" s="1" t="s">
        <v>304</v>
      </c>
      <c r="G126" s="1" t="s">
        <v>297</v>
      </c>
      <c r="H126" s="4" t="s">
        <v>452</v>
      </c>
      <c r="I126" s="5" t="s">
        <v>282</v>
      </c>
      <c r="J126" s="5" t="s">
        <v>31</v>
      </c>
      <c r="K126" s="5" t="s">
        <v>31</v>
      </c>
      <c r="L126" s="5" t="s">
        <v>32</v>
      </c>
      <c r="M126" s="5" t="s">
        <v>31</v>
      </c>
      <c r="N126" s="5" t="s">
        <v>31</v>
      </c>
      <c r="O126" s="5" t="s">
        <v>32</v>
      </c>
      <c r="P126" s="5" t="s">
        <v>33</v>
      </c>
      <c r="Q126" s="2">
        <v>45968</v>
      </c>
      <c r="V126" s="45">
        <f>IF(OR(ISNUMBER(SEARCH("unable to locate acct",G126)),ISNUMBER(SEARCH("unknown",G126)),ISNUMBER(SEARCH("inactive",G126)),H126=""),0,1)</f>
        <v>1</v>
      </c>
    </row>
    <row r="127" spans="1:22" hidden="1">
      <c r="A127" s="2">
        <v>45902</v>
      </c>
      <c r="B127" s="1" t="s">
        <v>453</v>
      </c>
      <c r="C127" s="1" t="s">
        <v>435</v>
      </c>
      <c r="D127" s="1" t="s">
        <v>119</v>
      </c>
      <c r="E127" s="1">
        <v>85254</v>
      </c>
      <c r="F127" s="1" t="s">
        <v>304</v>
      </c>
      <c r="G127" s="1" t="s">
        <v>297</v>
      </c>
      <c r="H127" s="4" t="s">
        <v>454</v>
      </c>
      <c r="I127" s="5" t="s">
        <v>30</v>
      </c>
      <c r="J127" s="5" t="s">
        <v>31</v>
      </c>
      <c r="K127" s="5" t="s">
        <v>31</v>
      </c>
      <c r="L127" s="5" t="s">
        <v>32</v>
      </c>
      <c r="M127" s="5" t="s">
        <v>31</v>
      </c>
      <c r="N127" s="5" t="s">
        <v>31</v>
      </c>
      <c r="O127" s="5" t="s">
        <v>32</v>
      </c>
      <c r="P127" s="5" t="s">
        <v>33</v>
      </c>
      <c r="Q127" s="2">
        <v>45968</v>
      </c>
      <c r="V127" s="45">
        <f>IF(OR(ISNUMBER(SEARCH("unable to locate acct",G127)),ISNUMBER(SEARCH("unknown",G127)),ISNUMBER(SEARCH("inactive",G127)),H127=""),0,1)</f>
        <v>1</v>
      </c>
    </row>
    <row r="128" spans="1:22" hidden="1">
      <c r="A128" s="2">
        <v>45902</v>
      </c>
      <c r="B128" s="1" t="s">
        <v>455</v>
      </c>
      <c r="C128" s="1" t="s">
        <v>456</v>
      </c>
      <c r="D128" s="1" t="s">
        <v>57</v>
      </c>
      <c r="E128" s="1">
        <v>85024</v>
      </c>
      <c r="F128" s="1" t="s">
        <v>304</v>
      </c>
      <c r="G128" s="1" t="s">
        <v>297</v>
      </c>
      <c r="H128" s="4" t="s">
        <v>457</v>
      </c>
      <c r="I128" s="5" t="s">
        <v>410</v>
      </c>
      <c r="J128" s="5" t="s">
        <v>31</v>
      </c>
      <c r="K128" s="5" t="s">
        <v>31</v>
      </c>
      <c r="L128" s="5" t="s">
        <v>381</v>
      </c>
      <c r="M128" s="5" t="s">
        <v>31</v>
      </c>
      <c r="N128" s="5" t="s">
        <v>31</v>
      </c>
      <c r="O128" s="5" t="s">
        <v>32</v>
      </c>
      <c r="P128" s="5" t="s">
        <v>33</v>
      </c>
      <c r="Q128" s="2">
        <v>45968</v>
      </c>
      <c r="V128" s="45">
        <f>IF(OR(ISNUMBER(SEARCH("unable to locate acct",G128)),ISNUMBER(SEARCH("unknown",G128)),ISNUMBER(SEARCH("inactive",G128)),H128=""),0,1)</f>
        <v>1</v>
      </c>
    </row>
    <row r="129" spans="1:22" hidden="1">
      <c r="A129" s="2">
        <v>45902</v>
      </c>
      <c r="B129" s="1" t="s">
        <v>418</v>
      </c>
      <c r="C129" s="1" t="s">
        <v>458</v>
      </c>
      <c r="D129" s="1" t="s">
        <v>420</v>
      </c>
      <c r="E129" s="1">
        <v>85335</v>
      </c>
      <c r="F129" s="1" t="s">
        <v>304</v>
      </c>
      <c r="G129" s="1" t="s">
        <v>297</v>
      </c>
      <c r="H129" s="4" t="s">
        <v>21</v>
      </c>
      <c r="V129" s="45">
        <f>IF(OR(ISNUMBER(SEARCH("unable to locate acct",G129)),ISNUMBER(SEARCH("unknown",G129)),ISNUMBER(SEARCH("inactive",G129)),H129=""),0,1)</f>
        <v>1</v>
      </c>
    </row>
    <row r="130" spans="1:22" hidden="1">
      <c r="A130" s="2">
        <v>45902</v>
      </c>
      <c r="B130" s="1" t="s">
        <v>459</v>
      </c>
      <c r="C130" s="1" t="s">
        <v>460</v>
      </c>
      <c r="D130" s="1" t="s">
        <v>57</v>
      </c>
      <c r="E130" s="1">
        <v>85008</v>
      </c>
      <c r="F130" s="1" t="s">
        <v>304</v>
      </c>
      <c r="G130" s="1" t="s">
        <v>297</v>
      </c>
      <c r="H130" s="4" t="s">
        <v>461</v>
      </c>
      <c r="I130" s="5" t="s">
        <v>30</v>
      </c>
      <c r="J130" s="5" t="s">
        <v>31</v>
      </c>
      <c r="K130" s="5" t="s">
        <v>31</v>
      </c>
      <c r="L130" s="5" t="s">
        <v>32</v>
      </c>
      <c r="M130" s="5" t="s">
        <v>31</v>
      </c>
      <c r="N130" s="5" t="s">
        <v>31</v>
      </c>
      <c r="O130" s="5" t="s">
        <v>32</v>
      </c>
      <c r="P130" s="5" t="s">
        <v>33</v>
      </c>
      <c r="Q130" s="2">
        <v>45968</v>
      </c>
      <c r="V130" s="45">
        <f>IF(OR(ISNUMBER(SEARCH("unable to locate acct",G130)),ISNUMBER(SEARCH("unknown",G130)),ISNUMBER(SEARCH("inactive",G130)),H130=""),0,1)</f>
        <v>1</v>
      </c>
    </row>
    <row r="131" spans="1:22" hidden="1">
      <c r="A131" s="2">
        <v>45902</v>
      </c>
      <c r="B131" s="1" t="s">
        <v>462</v>
      </c>
      <c r="C131" s="1" t="s">
        <v>463</v>
      </c>
      <c r="D131" s="1" t="s">
        <v>57</v>
      </c>
      <c r="E131" s="1">
        <v>85004</v>
      </c>
      <c r="F131" s="1" t="s">
        <v>304</v>
      </c>
      <c r="G131" s="1" t="s">
        <v>297</v>
      </c>
      <c r="H131" s="4" t="s">
        <v>464</v>
      </c>
      <c r="I131" s="5" t="s">
        <v>282</v>
      </c>
      <c r="J131" s="5" t="s">
        <v>31</v>
      </c>
      <c r="K131" s="5" t="s">
        <v>31</v>
      </c>
      <c r="L131" s="5" t="s">
        <v>32</v>
      </c>
      <c r="M131" s="5" t="s">
        <v>31</v>
      </c>
      <c r="N131" s="5" t="s">
        <v>31</v>
      </c>
      <c r="O131" s="5" t="s">
        <v>32</v>
      </c>
      <c r="P131" s="5" t="s">
        <v>33</v>
      </c>
      <c r="Q131" s="2">
        <v>45968</v>
      </c>
      <c r="V131" s="45">
        <f>IF(OR(ISNUMBER(SEARCH("unable to locate acct",G131)),ISNUMBER(SEARCH("unknown",G131)),ISNUMBER(SEARCH("inactive",G131)),H131=""),0,1)</f>
        <v>1</v>
      </c>
    </row>
    <row r="132" spans="1:22" hidden="1">
      <c r="A132" s="2">
        <v>45902</v>
      </c>
      <c r="B132" s="1" t="s">
        <v>465</v>
      </c>
      <c r="C132" s="1" t="s">
        <v>466</v>
      </c>
      <c r="D132" s="1" t="s">
        <v>163</v>
      </c>
      <c r="E132" s="1">
        <v>85395</v>
      </c>
      <c r="F132" s="1" t="s">
        <v>304</v>
      </c>
      <c r="G132" s="1" t="s">
        <v>297</v>
      </c>
      <c r="H132" s="4" t="s">
        <v>21</v>
      </c>
      <c r="V132" s="45">
        <f>IF(OR(ISNUMBER(SEARCH("unable to locate acct",G132)),ISNUMBER(SEARCH("unknown",G132)),ISNUMBER(SEARCH("inactive",G132)),H132=""),0,1)</f>
        <v>1</v>
      </c>
    </row>
    <row r="133" spans="1:22" hidden="1">
      <c r="A133" s="2">
        <v>45902</v>
      </c>
      <c r="B133" s="1" t="s">
        <v>467</v>
      </c>
      <c r="C133" s="1" t="s">
        <v>468</v>
      </c>
      <c r="D133" s="1" t="s">
        <v>57</v>
      </c>
      <c r="E133" s="1">
        <v>85050</v>
      </c>
      <c r="F133" s="1" t="s">
        <v>25</v>
      </c>
      <c r="G133" s="1" t="s">
        <v>297</v>
      </c>
      <c r="H133" s="4" t="s">
        <v>5122</v>
      </c>
      <c r="I133" s="5" t="s">
        <v>30</v>
      </c>
      <c r="J133" s="5" t="s">
        <v>31</v>
      </c>
      <c r="K133" s="5" t="s">
        <v>31</v>
      </c>
      <c r="L133" s="5" t="s">
        <v>32</v>
      </c>
      <c r="M133" s="5" t="s">
        <v>31</v>
      </c>
      <c r="N133" s="5" t="s">
        <v>31</v>
      </c>
      <c r="O133" s="5" t="s">
        <v>32</v>
      </c>
      <c r="P133" s="5" t="s">
        <v>33</v>
      </c>
      <c r="Q133" s="2">
        <v>45968</v>
      </c>
      <c r="V133" s="45">
        <f>IF(OR(ISNUMBER(SEARCH("unable to locate acct",G133)),ISNUMBER(SEARCH("unknown",G133)),ISNUMBER(SEARCH("inactive",G133)),H133=""),0,1)</f>
        <v>1</v>
      </c>
    </row>
    <row r="134" spans="1:22" hidden="1">
      <c r="A134" s="2">
        <v>45902</v>
      </c>
      <c r="B134" s="1" t="s">
        <v>469</v>
      </c>
      <c r="C134" s="1" t="s">
        <v>470</v>
      </c>
      <c r="D134" s="1" t="s">
        <v>57</v>
      </c>
      <c r="E134" s="1">
        <v>85028</v>
      </c>
      <c r="F134" s="1" t="s">
        <v>304</v>
      </c>
      <c r="G134" s="1" t="s">
        <v>297</v>
      </c>
      <c r="H134" s="4" t="s">
        <v>21</v>
      </c>
      <c r="V134" s="45">
        <f>IF(OR(ISNUMBER(SEARCH("unable to locate acct",G134)),ISNUMBER(SEARCH("unknown",G134)),ISNUMBER(SEARCH("inactive",G134)),H134=""),0,1)</f>
        <v>1</v>
      </c>
    </row>
    <row r="135" spans="1:22" hidden="1">
      <c r="A135" s="2">
        <v>45902</v>
      </c>
      <c r="B135" s="1" t="s">
        <v>471</v>
      </c>
      <c r="C135" s="1" t="s">
        <v>472</v>
      </c>
      <c r="D135" s="1" t="s">
        <v>57</v>
      </c>
      <c r="E135" s="1">
        <v>85083</v>
      </c>
      <c r="F135" s="1" t="s">
        <v>304</v>
      </c>
      <c r="G135" s="1" t="s">
        <v>297</v>
      </c>
      <c r="H135" s="4" t="s">
        <v>473</v>
      </c>
      <c r="I135" s="5" t="s">
        <v>40</v>
      </c>
      <c r="J135" s="5" t="s">
        <v>31</v>
      </c>
      <c r="K135" s="5" t="s">
        <v>31</v>
      </c>
      <c r="L135" s="7" t="s">
        <v>474</v>
      </c>
      <c r="M135" s="5" t="s">
        <v>31</v>
      </c>
      <c r="N135" s="5" t="s">
        <v>31</v>
      </c>
      <c r="O135" s="5" t="s">
        <v>32</v>
      </c>
      <c r="P135" s="2">
        <v>45939</v>
      </c>
      <c r="Q135" s="2">
        <v>45968</v>
      </c>
      <c r="R135" s="1" t="s">
        <v>475</v>
      </c>
      <c r="V135" s="45">
        <f>IF(OR(ISNUMBER(SEARCH("unable to locate acct",G135)),ISNUMBER(SEARCH("unknown",G135)),ISNUMBER(SEARCH("inactive",G135)),H135=""),0,1)</f>
        <v>1</v>
      </c>
    </row>
    <row r="136" spans="1:22" hidden="1">
      <c r="A136" s="2">
        <v>45902</v>
      </c>
      <c r="B136" s="1" t="s">
        <v>476</v>
      </c>
      <c r="C136" s="1" t="s">
        <v>477</v>
      </c>
      <c r="D136" s="1" t="s">
        <v>57</v>
      </c>
      <c r="E136" s="1">
        <v>85013</v>
      </c>
      <c r="F136" s="1" t="s">
        <v>304</v>
      </c>
      <c r="G136" s="1" t="s">
        <v>297</v>
      </c>
      <c r="H136" s="4" t="s">
        <v>21</v>
      </c>
      <c r="V136" s="45">
        <f>IF(OR(ISNUMBER(SEARCH("unable to locate acct",G136)),ISNUMBER(SEARCH("unknown",G136)),ISNUMBER(SEARCH("inactive",G136)),H136=""),0,1)</f>
        <v>1</v>
      </c>
    </row>
    <row r="137" spans="1:22" hidden="1">
      <c r="A137" s="2">
        <v>45902</v>
      </c>
      <c r="B137" s="1" t="s">
        <v>478</v>
      </c>
      <c r="C137" s="1" t="s">
        <v>479</v>
      </c>
      <c r="D137" s="1" t="s">
        <v>57</v>
      </c>
      <c r="E137" s="1">
        <v>85013</v>
      </c>
      <c r="F137" s="1" t="s">
        <v>304</v>
      </c>
      <c r="G137" s="1" t="s">
        <v>297</v>
      </c>
      <c r="H137" s="4" t="s">
        <v>480</v>
      </c>
      <c r="I137" s="5" t="s">
        <v>120</v>
      </c>
      <c r="J137" s="5" t="s">
        <v>31</v>
      </c>
      <c r="K137" s="5" t="s">
        <v>31</v>
      </c>
      <c r="L137" s="5" t="s">
        <v>32</v>
      </c>
      <c r="M137" s="5" t="s">
        <v>31</v>
      </c>
      <c r="N137" s="5" t="s">
        <v>31</v>
      </c>
      <c r="O137" s="5" t="s">
        <v>32</v>
      </c>
      <c r="P137" s="5" t="s">
        <v>33</v>
      </c>
      <c r="Q137" s="2">
        <v>45968</v>
      </c>
      <c r="V137" s="45">
        <f>IF(OR(ISNUMBER(SEARCH("unable to locate acct",G137)),ISNUMBER(SEARCH("unknown",G137)),ISNUMBER(SEARCH("inactive",G137)),H137=""),0,1)</f>
        <v>1</v>
      </c>
    </row>
    <row r="138" spans="1:22" hidden="1">
      <c r="A138" s="14">
        <v>45902</v>
      </c>
      <c r="B138" s="1" t="s">
        <v>481</v>
      </c>
      <c r="C138" s="1" t="s">
        <v>482</v>
      </c>
      <c r="D138" s="1" t="s">
        <v>24</v>
      </c>
      <c r="E138" s="1" t="s">
        <v>24</v>
      </c>
      <c r="F138" s="1" t="s">
        <v>25</v>
      </c>
      <c r="G138" s="1" t="s">
        <v>297</v>
      </c>
      <c r="H138" s="4" t="s">
        <v>483</v>
      </c>
      <c r="I138" s="5" t="s">
        <v>120</v>
      </c>
      <c r="J138" s="5" t="s">
        <v>32</v>
      </c>
      <c r="K138" s="5" t="s">
        <v>31</v>
      </c>
      <c r="L138" s="5" t="s">
        <v>32</v>
      </c>
      <c r="M138" s="5" t="s">
        <v>31</v>
      </c>
      <c r="N138" s="5" t="s">
        <v>31</v>
      </c>
      <c r="O138" s="5" t="s">
        <v>32</v>
      </c>
      <c r="P138" s="5" t="s">
        <v>33</v>
      </c>
      <c r="Q138" s="2">
        <v>45968</v>
      </c>
      <c r="V138" s="45">
        <f>IF(OR(ISNUMBER(SEARCH("unable to locate acct",G138)),ISNUMBER(SEARCH("unknown",G138)),ISNUMBER(SEARCH("inactive",G138)),H138=""),0,1)</f>
        <v>1</v>
      </c>
    </row>
    <row r="139" spans="1:22" hidden="1">
      <c r="A139" s="2">
        <v>45902</v>
      </c>
      <c r="B139" s="1" t="s">
        <v>484</v>
      </c>
      <c r="C139" s="1" t="s">
        <v>327</v>
      </c>
      <c r="D139" s="1" t="s">
        <v>57</v>
      </c>
      <c r="E139" s="1">
        <v>85009</v>
      </c>
      <c r="F139" s="1" t="s">
        <v>25</v>
      </c>
      <c r="G139" s="1" t="s">
        <v>297</v>
      </c>
      <c r="H139" s="4" t="s">
        <v>485</v>
      </c>
      <c r="I139" s="5" t="s">
        <v>30</v>
      </c>
      <c r="J139" s="5" t="s">
        <v>31</v>
      </c>
      <c r="K139" s="5" t="s">
        <v>31</v>
      </c>
      <c r="L139" s="5" t="s">
        <v>32</v>
      </c>
      <c r="M139" s="5" t="s">
        <v>32</v>
      </c>
      <c r="N139" s="15">
        <v>942.59</v>
      </c>
      <c r="O139" s="5" t="s">
        <v>32</v>
      </c>
      <c r="P139" s="7"/>
      <c r="Q139" s="2">
        <v>45968</v>
      </c>
      <c r="R139" s="1" t="s">
        <v>486</v>
      </c>
      <c r="V139" s="45">
        <f>IF(OR(ISNUMBER(SEARCH("unable to locate acct",G139)),ISNUMBER(SEARCH("unknown",G139)),ISNUMBER(SEARCH("inactive",G139)),H139=""),0,1)</f>
        <v>1</v>
      </c>
    </row>
    <row r="140" spans="1:22" ht="11.25" hidden="1" customHeight="1">
      <c r="A140" s="2">
        <v>45902</v>
      </c>
      <c r="B140" s="1" t="s">
        <v>487</v>
      </c>
      <c r="C140" s="1" t="s">
        <v>488</v>
      </c>
      <c r="D140" s="1" t="s">
        <v>57</v>
      </c>
      <c r="E140" s="1">
        <v>85028</v>
      </c>
      <c r="F140" s="1" t="s">
        <v>304</v>
      </c>
      <c r="G140" s="1" t="s">
        <v>297</v>
      </c>
      <c r="H140" s="4" t="s">
        <v>21</v>
      </c>
      <c r="V140" s="45">
        <f>IF(OR(ISNUMBER(SEARCH("unable to locate acct",G140)),ISNUMBER(SEARCH("unknown",G140)),ISNUMBER(SEARCH("inactive",G140)),H140=""),0,1)</f>
        <v>1</v>
      </c>
    </row>
    <row r="141" spans="1:22" hidden="1">
      <c r="A141" s="2">
        <v>45902</v>
      </c>
      <c r="B141" s="1" t="s">
        <v>489</v>
      </c>
      <c r="C141" s="1" t="s">
        <v>435</v>
      </c>
      <c r="D141" s="1" t="s">
        <v>57</v>
      </c>
      <c r="E141" s="1">
        <v>85023</v>
      </c>
      <c r="F141" s="1" t="s">
        <v>304</v>
      </c>
      <c r="G141" s="1" t="s">
        <v>297</v>
      </c>
      <c r="H141" s="4" t="s">
        <v>21</v>
      </c>
      <c r="V141" s="45">
        <f>IF(OR(ISNUMBER(SEARCH("unable to locate acct",G141)),ISNUMBER(SEARCH("unknown",G141)),ISNUMBER(SEARCH("inactive",G141)),H141=""),0,1)</f>
        <v>1</v>
      </c>
    </row>
    <row r="142" spans="1:22" hidden="1">
      <c r="A142" s="2">
        <v>45903</v>
      </c>
      <c r="B142" s="1" t="s">
        <v>490</v>
      </c>
      <c r="C142" s="1" t="s">
        <v>328</v>
      </c>
      <c r="D142" s="1" t="s">
        <v>24</v>
      </c>
      <c r="E142" s="1" t="s">
        <v>24</v>
      </c>
      <c r="F142" s="1" t="s">
        <v>25</v>
      </c>
      <c r="G142" s="1" t="s">
        <v>491</v>
      </c>
      <c r="H142" s="4" t="s">
        <v>492</v>
      </c>
      <c r="I142" s="5" t="s">
        <v>30</v>
      </c>
      <c r="J142" s="5" t="s">
        <v>31</v>
      </c>
      <c r="K142" s="5" t="s">
        <v>31</v>
      </c>
      <c r="L142" s="5" t="s">
        <v>32</v>
      </c>
      <c r="M142" s="5" t="s">
        <v>31</v>
      </c>
      <c r="N142" s="5" t="s">
        <v>31</v>
      </c>
      <c r="O142" s="5" t="s">
        <v>32</v>
      </c>
      <c r="P142" s="5" t="s">
        <v>33</v>
      </c>
      <c r="Q142" s="2">
        <v>45968</v>
      </c>
      <c r="V142" s="45">
        <f>IF(OR(ISNUMBER(SEARCH("unable to locate acct",G142)),ISNUMBER(SEARCH("unknown",G142)),ISNUMBER(SEARCH("inactive",G142)),H142=""),0,1)</f>
        <v>1</v>
      </c>
    </row>
    <row r="143" spans="1:22" hidden="1">
      <c r="A143" s="2">
        <v>45903</v>
      </c>
      <c r="B143" s="1" t="s">
        <v>493</v>
      </c>
      <c r="C143" s="1" t="s">
        <v>494</v>
      </c>
      <c r="D143" s="1" t="s">
        <v>495</v>
      </c>
      <c r="E143" s="1">
        <v>86001</v>
      </c>
      <c r="F143" s="1" t="s">
        <v>496</v>
      </c>
      <c r="G143" s="1" t="s">
        <v>497</v>
      </c>
      <c r="H143" s="4" t="s">
        <v>498</v>
      </c>
      <c r="I143" s="5" t="s">
        <v>67</v>
      </c>
      <c r="J143" s="5" t="s">
        <v>31</v>
      </c>
      <c r="K143" s="5" t="s">
        <v>31</v>
      </c>
      <c r="L143" s="5" t="s">
        <v>32</v>
      </c>
      <c r="M143" s="5" t="s">
        <v>31</v>
      </c>
      <c r="N143" s="5" t="s">
        <v>31</v>
      </c>
      <c r="O143" s="5" t="s">
        <v>32</v>
      </c>
      <c r="P143" s="5" t="s">
        <v>33</v>
      </c>
      <c r="Q143" s="2">
        <v>45968</v>
      </c>
      <c r="V143" s="45">
        <f>IF(OR(ISNUMBER(SEARCH("unable to locate acct",G143)),ISNUMBER(SEARCH("unknown",G143)),ISNUMBER(SEARCH("inactive",G143)),H143=""),0,1)</f>
        <v>1</v>
      </c>
    </row>
    <row r="144" spans="1:22" hidden="1">
      <c r="A144" s="2">
        <v>45903</v>
      </c>
      <c r="B144" s="1" t="s">
        <v>499</v>
      </c>
      <c r="C144" s="1" t="s">
        <v>500</v>
      </c>
      <c r="D144" s="1" t="s">
        <v>18</v>
      </c>
      <c r="E144" s="1">
        <v>85308</v>
      </c>
      <c r="F144" s="1" t="s">
        <v>25</v>
      </c>
      <c r="G144" s="1" t="s">
        <v>497</v>
      </c>
      <c r="H144" s="4" t="s">
        <v>501</v>
      </c>
      <c r="I144" s="5" t="s">
        <v>190</v>
      </c>
      <c r="J144" s="5" t="s">
        <v>31</v>
      </c>
      <c r="K144" s="5" t="s">
        <v>31</v>
      </c>
      <c r="L144" s="7" t="s">
        <v>502</v>
      </c>
      <c r="M144" s="5" t="s">
        <v>31</v>
      </c>
      <c r="N144" s="5" t="s">
        <v>31</v>
      </c>
      <c r="O144" s="5" t="s">
        <v>32</v>
      </c>
      <c r="P144" s="2">
        <v>45932</v>
      </c>
      <c r="Q144" s="2">
        <v>45968</v>
      </c>
      <c r="R144" s="1" t="s">
        <v>503</v>
      </c>
      <c r="V144" s="45">
        <f>IF(OR(ISNUMBER(SEARCH("unable to locate acct",G144)),ISNUMBER(SEARCH("unknown",G144)),ISNUMBER(SEARCH("inactive",G144)),H144=""),0,1)</f>
        <v>1</v>
      </c>
    </row>
    <row r="145" spans="1:22" hidden="1">
      <c r="A145" s="2">
        <v>45903</v>
      </c>
      <c r="B145" s="1" t="s">
        <v>504</v>
      </c>
      <c r="C145" s="1" t="s">
        <v>362</v>
      </c>
      <c r="D145" s="1" t="s">
        <v>57</v>
      </c>
      <c r="E145" s="1">
        <v>85024</v>
      </c>
      <c r="F145" s="1" t="s">
        <v>304</v>
      </c>
      <c r="G145" s="1" t="s">
        <v>497</v>
      </c>
      <c r="H145" s="4" t="s">
        <v>505</v>
      </c>
      <c r="I145" s="5" t="s">
        <v>120</v>
      </c>
      <c r="J145" s="5" t="s">
        <v>31</v>
      </c>
      <c r="K145" s="5" t="s">
        <v>31</v>
      </c>
      <c r="L145" s="5" t="s">
        <v>32</v>
      </c>
      <c r="M145" s="5" t="s">
        <v>31</v>
      </c>
      <c r="N145" s="5" t="s">
        <v>31</v>
      </c>
      <c r="O145" s="5" t="s">
        <v>32</v>
      </c>
      <c r="P145" s="5" t="s">
        <v>33</v>
      </c>
      <c r="Q145" s="2">
        <v>45968</v>
      </c>
      <c r="V145" s="45">
        <f>IF(OR(ISNUMBER(SEARCH("unable to locate acct",G145)),ISNUMBER(SEARCH("unknown",G145)),ISNUMBER(SEARCH("inactive",G145)),H145=""),0,1)</f>
        <v>1</v>
      </c>
    </row>
    <row r="146" spans="1:22" hidden="1">
      <c r="A146" s="2">
        <v>45903</v>
      </c>
      <c r="B146" s="1" t="s">
        <v>506</v>
      </c>
      <c r="C146" s="1" t="s">
        <v>507</v>
      </c>
      <c r="D146" s="1" t="s">
        <v>196</v>
      </c>
      <c r="E146" s="1">
        <v>85383</v>
      </c>
      <c r="F146" s="1" t="s">
        <v>508</v>
      </c>
      <c r="G146" s="1" t="s">
        <v>497</v>
      </c>
      <c r="H146" s="4" t="s">
        <v>509</v>
      </c>
      <c r="I146" s="5" t="s">
        <v>190</v>
      </c>
      <c r="J146" s="5" t="s">
        <v>31</v>
      </c>
      <c r="K146" s="5" t="s">
        <v>31</v>
      </c>
      <c r="L146" s="7" t="s">
        <v>510</v>
      </c>
      <c r="M146" s="5" t="s">
        <v>31</v>
      </c>
      <c r="N146" s="5" t="s">
        <v>31</v>
      </c>
      <c r="O146" s="5" t="s">
        <v>32</v>
      </c>
      <c r="P146" s="2">
        <v>45932</v>
      </c>
      <c r="Q146" s="2">
        <v>45968</v>
      </c>
      <c r="R146" s="1" t="s">
        <v>511</v>
      </c>
      <c r="V146" s="45">
        <f>IF(OR(ISNUMBER(SEARCH("unable to locate acct",G146)),ISNUMBER(SEARCH("unknown",G146)),ISNUMBER(SEARCH("inactive",G146)),H146=""),0,1)</f>
        <v>1</v>
      </c>
    </row>
    <row r="147" spans="1:22" hidden="1">
      <c r="A147" s="2">
        <v>45903</v>
      </c>
      <c r="B147" s="1" t="s">
        <v>512</v>
      </c>
      <c r="C147" s="1" t="s">
        <v>513</v>
      </c>
      <c r="D147" s="1" t="s">
        <v>514</v>
      </c>
      <c r="E147" s="1">
        <v>85392</v>
      </c>
      <c r="F147" s="1" t="s">
        <v>25</v>
      </c>
      <c r="G147" s="1" t="s">
        <v>497</v>
      </c>
      <c r="H147" s="4" t="s">
        <v>515</v>
      </c>
      <c r="I147" s="5" t="s">
        <v>30</v>
      </c>
      <c r="J147" s="5" t="s">
        <v>31</v>
      </c>
      <c r="K147" s="5" t="s">
        <v>31</v>
      </c>
      <c r="L147" s="5" t="s">
        <v>32</v>
      </c>
      <c r="M147" s="5" t="s">
        <v>31</v>
      </c>
      <c r="N147" s="5" t="s">
        <v>31</v>
      </c>
      <c r="O147" s="5" t="s">
        <v>32</v>
      </c>
      <c r="P147" s="5" t="s">
        <v>33</v>
      </c>
      <c r="Q147" s="2">
        <v>45968</v>
      </c>
      <c r="R147" s="1" t="s">
        <v>516</v>
      </c>
      <c r="V147" s="45">
        <f>IF(OR(ISNUMBER(SEARCH("unable to locate acct",G147)),ISNUMBER(SEARCH("unknown",G147)),ISNUMBER(SEARCH("inactive",G147)),H147=""),0,1)</f>
        <v>1</v>
      </c>
    </row>
    <row r="148" spans="1:22" hidden="1">
      <c r="A148" s="2">
        <v>45903</v>
      </c>
      <c r="B148" s="1" t="s">
        <v>517</v>
      </c>
      <c r="C148" s="1" t="s">
        <v>127</v>
      </c>
      <c r="D148" s="1" t="s">
        <v>57</v>
      </c>
      <c r="E148" s="1">
        <v>85014</v>
      </c>
      <c r="F148" s="1" t="s">
        <v>304</v>
      </c>
      <c r="G148" s="1" t="s">
        <v>497</v>
      </c>
      <c r="H148" s="4" t="s">
        <v>203</v>
      </c>
      <c r="V148" s="45">
        <f>IF(OR(ISNUMBER(SEARCH("unable to locate acct",G148)),ISNUMBER(SEARCH("unknown",G148)),ISNUMBER(SEARCH("inactive",G148)),H148=""),0,1)</f>
        <v>1</v>
      </c>
    </row>
    <row r="149" spans="1:22" hidden="1">
      <c r="A149" s="2">
        <v>45903</v>
      </c>
      <c r="B149" s="1" t="s">
        <v>518</v>
      </c>
      <c r="C149" s="1" t="s">
        <v>463</v>
      </c>
      <c r="D149" s="1" t="s">
        <v>163</v>
      </c>
      <c r="E149" s="1">
        <v>85338</v>
      </c>
      <c r="F149" s="1" t="s">
        <v>25</v>
      </c>
      <c r="G149" s="1" t="s">
        <v>497</v>
      </c>
      <c r="H149" s="4" t="s">
        <v>21</v>
      </c>
      <c r="V149" s="45">
        <f>IF(OR(ISNUMBER(SEARCH("unable to locate acct",G149)),ISNUMBER(SEARCH("unknown",G149)),ISNUMBER(SEARCH("inactive",G149)),H149=""),0,1)</f>
        <v>1</v>
      </c>
    </row>
    <row r="150" spans="1:22" hidden="1">
      <c r="A150" s="2">
        <v>45903</v>
      </c>
      <c r="B150" s="1" t="s">
        <v>519</v>
      </c>
      <c r="C150" s="1" t="s">
        <v>520</v>
      </c>
      <c r="D150" s="1" t="s">
        <v>18</v>
      </c>
      <c r="E150" s="1">
        <v>85310</v>
      </c>
      <c r="F150" s="1" t="s">
        <v>304</v>
      </c>
      <c r="G150" s="1" t="s">
        <v>497</v>
      </c>
      <c r="H150" s="4" t="s">
        <v>521</v>
      </c>
      <c r="I150" s="5" t="s">
        <v>190</v>
      </c>
      <c r="J150" s="5" t="s">
        <v>31</v>
      </c>
      <c r="K150" s="5" t="s">
        <v>31</v>
      </c>
      <c r="L150" s="5" t="s">
        <v>32</v>
      </c>
      <c r="M150" s="5" t="s">
        <v>31</v>
      </c>
      <c r="N150" s="5" t="s">
        <v>31</v>
      </c>
      <c r="O150" s="5" t="s">
        <v>32</v>
      </c>
      <c r="P150" s="5" t="s">
        <v>33</v>
      </c>
      <c r="Q150" s="2">
        <v>45968</v>
      </c>
      <c r="V150" s="45">
        <f>IF(OR(ISNUMBER(SEARCH("unable to locate acct",G150)),ISNUMBER(SEARCH("unknown",G150)),ISNUMBER(SEARCH("inactive",G150)),H150=""),0,1)</f>
        <v>1</v>
      </c>
    </row>
    <row r="151" spans="1:22" hidden="1">
      <c r="A151" s="2">
        <v>45903</v>
      </c>
      <c r="B151" s="1" t="s">
        <v>522</v>
      </c>
      <c r="C151" s="1" t="s">
        <v>523</v>
      </c>
      <c r="D151" s="1" t="s">
        <v>163</v>
      </c>
      <c r="E151" s="1">
        <v>85395</v>
      </c>
      <c r="F151" s="1" t="s">
        <v>25</v>
      </c>
      <c r="G151" s="1" t="s">
        <v>497</v>
      </c>
      <c r="H151" s="4" t="s">
        <v>524</v>
      </c>
      <c r="I151" s="5" t="s">
        <v>30</v>
      </c>
      <c r="J151" s="5" t="s">
        <v>31</v>
      </c>
      <c r="K151" s="5" t="s">
        <v>31</v>
      </c>
      <c r="L151" s="5" t="s">
        <v>32</v>
      </c>
      <c r="M151" s="5" t="s">
        <v>31</v>
      </c>
      <c r="N151" s="5" t="s">
        <v>31</v>
      </c>
      <c r="O151" s="5" t="s">
        <v>32</v>
      </c>
      <c r="P151" s="5" t="s">
        <v>33</v>
      </c>
      <c r="Q151" s="2">
        <v>45968</v>
      </c>
      <c r="V151" s="45">
        <f>IF(OR(ISNUMBER(SEARCH("unable to locate acct",G151)),ISNUMBER(SEARCH("unknown",G151)),ISNUMBER(SEARCH("inactive",G151)),H151=""),0,1)</f>
        <v>1</v>
      </c>
    </row>
    <row r="152" spans="1:22" hidden="1">
      <c r="A152" s="2">
        <v>45903</v>
      </c>
      <c r="B152" s="1" t="s">
        <v>525</v>
      </c>
      <c r="C152" s="1" t="s">
        <v>526</v>
      </c>
      <c r="D152" s="1" t="s">
        <v>514</v>
      </c>
      <c r="E152" s="1">
        <v>85392</v>
      </c>
      <c r="F152" s="1" t="s">
        <v>25</v>
      </c>
      <c r="G152" s="1" t="s">
        <v>497</v>
      </c>
      <c r="H152" s="4" t="s">
        <v>527</v>
      </c>
      <c r="I152" s="5" t="s">
        <v>410</v>
      </c>
      <c r="J152" s="5" t="s">
        <v>31</v>
      </c>
      <c r="K152" s="5" t="s">
        <v>31</v>
      </c>
      <c r="L152" s="5" t="s">
        <v>381</v>
      </c>
      <c r="M152" s="5" t="s">
        <v>31</v>
      </c>
      <c r="N152" s="5" t="s">
        <v>31</v>
      </c>
      <c r="O152" s="5" t="s">
        <v>32</v>
      </c>
      <c r="P152" s="5" t="s">
        <v>33</v>
      </c>
      <c r="Q152" s="2">
        <v>45968</v>
      </c>
      <c r="V152" s="45">
        <f>IF(OR(ISNUMBER(SEARCH("unable to locate acct",G152)),ISNUMBER(SEARCH("unknown",G152)),ISNUMBER(SEARCH("inactive",G152)),H152=""),0,1)</f>
        <v>1</v>
      </c>
    </row>
    <row r="153" spans="1:22" hidden="1">
      <c r="A153" s="2">
        <v>45903</v>
      </c>
      <c r="B153" s="1" t="s">
        <v>528</v>
      </c>
      <c r="C153" s="1" t="s">
        <v>529</v>
      </c>
      <c r="D153" s="1" t="s">
        <v>530</v>
      </c>
      <c r="E153" s="1">
        <v>85194</v>
      </c>
      <c r="F153" s="1" t="s">
        <v>304</v>
      </c>
      <c r="G153" s="1" t="s">
        <v>497</v>
      </c>
      <c r="H153" s="4" t="s">
        <v>531</v>
      </c>
      <c r="I153" s="5" t="s">
        <v>532</v>
      </c>
      <c r="J153" s="5" t="s">
        <v>31</v>
      </c>
      <c r="K153" s="5" t="s">
        <v>31</v>
      </c>
      <c r="L153" s="5" t="s">
        <v>381</v>
      </c>
      <c r="M153" s="5" t="s">
        <v>31</v>
      </c>
      <c r="N153" s="5" t="s">
        <v>31</v>
      </c>
      <c r="O153" s="5" t="s">
        <v>32</v>
      </c>
      <c r="P153" s="5" t="s">
        <v>33</v>
      </c>
      <c r="Q153" s="2">
        <v>45968</v>
      </c>
      <c r="V153" s="45">
        <f>IF(OR(ISNUMBER(SEARCH("unable to locate acct",G153)),ISNUMBER(SEARCH("unknown",G153)),ISNUMBER(SEARCH("inactive",G153)),H153=""),0,1)</f>
        <v>1</v>
      </c>
    </row>
    <row r="154" spans="1:22" hidden="1">
      <c r="A154" s="2">
        <v>45903</v>
      </c>
      <c r="B154" s="1" t="s">
        <v>533</v>
      </c>
      <c r="C154" s="1" t="s">
        <v>534</v>
      </c>
      <c r="D154" s="1" t="s">
        <v>57</v>
      </c>
      <c r="E154" s="1">
        <v>85050</v>
      </c>
      <c r="F154" s="1" t="s">
        <v>304</v>
      </c>
      <c r="G154" s="1" t="s">
        <v>497</v>
      </c>
      <c r="H154" s="4" t="s">
        <v>535</v>
      </c>
      <c r="I154" s="5" t="s">
        <v>30</v>
      </c>
      <c r="J154" s="5" t="s">
        <v>31</v>
      </c>
      <c r="K154" s="5" t="s">
        <v>31</v>
      </c>
      <c r="L154" s="5" t="s">
        <v>32</v>
      </c>
      <c r="M154" s="5" t="s">
        <v>31</v>
      </c>
      <c r="N154" s="5" t="s">
        <v>31</v>
      </c>
      <c r="O154" s="5" t="s">
        <v>32</v>
      </c>
      <c r="P154" s="5" t="s">
        <v>33</v>
      </c>
      <c r="Q154" s="2">
        <v>45968</v>
      </c>
      <c r="V154" s="45">
        <f>IF(OR(ISNUMBER(SEARCH("unable to locate acct",G154)),ISNUMBER(SEARCH("unknown",G154)),ISNUMBER(SEARCH("inactive",G154)),H154=""),0,1)</f>
        <v>1</v>
      </c>
    </row>
    <row r="155" spans="1:22" hidden="1">
      <c r="A155" s="2">
        <v>45903</v>
      </c>
      <c r="B155" s="1" t="s">
        <v>536</v>
      </c>
      <c r="C155" s="1" t="s">
        <v>537</v>
      </c>
      <c r="D155" s="1" t="s">
        <v>57</v>
      </c>
      <c r="E155" s="1">
        <v>85022</v>
      </c>
      <c r="F155" s="1" t="s">
        <v>25</v>
      </c>
      <c r="G155" s="1" t="s">
        <v>497</v>
      </c>
      <c r="H155" s="4" t="s">
        <v>203</v>
      </c>
      <c r="O155" s="16"/>
      <c r="V155" s="45">
        <f>IF(OR(ISNUMBER(SEARCH("unable to locate acct",G155)),ISNUMBER(SEARCH("unknown",G155)),ISNUMBER(SEARCH("inactive",G155)),H155=""),0,1)</f>
        <v>1</v>
      </c>
    </row>
    <row r="156" spans="1:22" hidden="1">
      <c r="A156" s="2">
        <v>45903</v>
      </c>
      <c r="B156" s="1" t="s">
        <v>538</v>
      </c>
      <c r="C156" s="1" t="s">
        <v>539</v>
      </c>
      <c r="D156" s="1" t="s">
        <v>57</v>
      </c>
      <c r="E156" s="1">
        <v>85085</v>
      </c>
      <c r="F156" s="1" t="s">
        <v>25</v>
      </c>
      <c r="G156" s="1" t="s">
        <v>497</v>
      </c>
      <c r="H156" s="4" t="s">
        <v>21</v>
      </c>
      <c r="V156" s="45">
        <f>IF(OR(ISNUMBER(SEARCH("unable to locate acct",G156)),ISNUMBER(SEARCH("unknown",G156)),ISNUMBER(SEARCH("inactive",G156)),H156=""),0,1)</f>
        <v>1</v>
      </c>
    </row>
    <row r="157" spans="1:22" hidden="1">
      <c r="A157" s="2">
        <v>45903</v>
      </c>
      <c r="B157" s="1" t="s">
        <v>540</v>
      </c>
      <c r="C157" s="1" t="s">
        <v>541</v>
      </c>
      <c r="D157" s="1" t="s">
        <v>163</v>
      </c>
      <c r="E157" s="1">
        <v>85338</v>
      </c>
      <c r="F157" s="1" t="s">
        <v>25</v>
      </c>
      <c r="G157" s="1" t="s">
        <v>497</v>
      </c>
      <c r="H157" s="4" t="s">
        <v>542</v>
      </c>
      <c r="I157" s="5" t="s">
        <v>30</v>
      </c>
      <c r="J157" s="5" t="s">
        <v>31</v>
      </c>
      <c r="K157" s="5" t="s">
        <v>31</v>
      </c>
      <c r="L157" s="5" t="s">
        <v>32</v>
      </c>
      <c r="M157" s="5" t="s">
        <v>31</v>
      </c>
      <c r="N157" s="5" t="s">
        <v>31</v>
      </c>
      <c r="O157" s="5" t="s">
        <v>32</v>
      </c>
      <c r="P157" s="5" t="s">
        <v>33</v>
      </c>
      <c r="Q157" s="2">
        <v>45968</v>
      </c>
      <c r="V157" s="45">
        <f>IF(OR(ISNUMBER(SEARCH("unable to locate acct",G157)),ISNUMBER(SEARCH("unknown",G157)),ISNUMBER(SEARCH("inactive",G157)),H157=""),0,1)</f>
        <v>1</v>
      </c>
    </row>
    <row r="158" spans="1:22" hidden="1">
      <c r="A158" s="2">
        <v>45903</v>
      </c>
      <c r="B158" s="1" t="s">
        <v>543</v>
      </c>
      <c r="C158" s="1" t="s">
        <v>544</v>
      </c>
      <c r="D158" s="1" t="s">
        <v>57</v>
      </c>
      <c r="E158" s="1">
        <v>85012</v>
      </c>
      <c r="F158" s="1" t="s">
        <v>304</v>
      </c>
      <c r="G158" s="1" t="s">
        <v>497</v>
      </c>
      <c r="H158" s="4" t="s">
        <v>545</v>
      </c>
      <c r="I158" s="5" t="s">
        <v>30</v>
      </c>
      <c r="J158" s="5" t="s">
        <v>31</v>
      </c>
      <c r="K158" s="5" t="s">
        <v>31</v>
      </c>
      <c r="L158" s="5" t="s">
        <v>32</v>
      </c>
      <c r="M158" s="5" t="s">
        <v>31</v>
      </c>
      <c r="N158" s="5" t="s">
        <v>31</v>
      </c>
      <c r="O158" s="5" t="s">
        <v>32</v>
      </c>
      <c r="P158" s="5" t="s">
        <v>33</v>
      </c>
      <c r="Q158" s="2">
        <v>45968</v>
      </c>
      <c r="V158" s="45">
        <f>IF(OR(ISNUMBER(SEARCH("unable to locate acct",G158)),ISNUMBER(SEARCH("unknown",G158)),ISNUMBER(SEARCH("inactive",G158)),H158=""),0,1)</f>
        <v>1</v>
      </c>
    </row>
    <row r="159" spans="1:22" hidden="1">
      <c r="A159" s="2">
        <v>45903</v>
      </c>
      <c r="B159" s="1" t="s">
        <v>546</v>
      </c>
      <c r="C159" s="1" t="s">
        <v>547</v>
      </c>
      <c r="D159" s="1" t="s">
        <v>119</v>
      </c>
      <c r="E159" s="1">
        <v>85255</v>
      </c>
      <c r="F159" s="1" t="s">
        <v>25</v>
      </c>
      <c r="G159" s="1" t="s">
        <v>497</v>
      </c>
      <c r="H159" s="4" t="s">
        <v>21</v>
      </c>
      <c r="V159" s="45">
        <f>IF(OR(ISNUMBER(SEARCH("unable to locate acct",G159)),ISNUMBER(SEARCH("unknown",G159)),ISNUMBER(SEARCH("inactive",G159)),H159=""),0,1)</f>
        <v>1</v>
      </c>
    </row>
    <row r="160" spans="1:22" hidden="1">
      <c r="A160" s="2">
        <v>45903</v>
      </c>
      <c r="B160" s="1" t="s">
        <v>548</v>
      </c>
      <c r="C160" s="1" t="s">
        <v>549</v>
      </c>
      <c r="D160" s="1" t="s">
        <v>57</v>
      </c>
      <c r="E160" s="1">
        <v>85020</v>
      </c>
      <c r="F160" s="1" t="s">
        <v>304</v>
      </c>
      <c r="G160" s="1" t="s">
        <v>497</v>
      </c>
      <c r="H160" s="4" t="s">
        <v>550</v>
      </c>
      <c r="I160" s="5" t="s">
        <v>120</v>
      </c>
      <c r="J160" s="5" t="s">
        <v>31</v>
      </c>
      <c r="K160" s="5" t="s">
        <v>31</v>
      </c>
      <c r="L160" s="7" t="s">
        <v>551</v>
      </c>
      <c r="M160" s="5" t="s">
        <v>31</v>
      </c>
      <c r="N160" s="5" t="s">
        <v>31</v>
      </c>
      <c r="O160" s="5" t="s">
        <v>32</v>
      </c>
      <c r="P160" s="2">
        <v>45933</v>
      </c>
      <c r="Q160" s="2">
        <v>45968</v>
      </c>
      <c r="R160" s="1" t="s">
        <v>552</v>
      </c>
      <c r="V160" s="45">
        <f>IF(OR(ISNUMBER(SEARCH("unable to locate acct",G160)),ISNUMBER(SEARCH("unknown",G160)),ISNUMBER(SEARCH("inactive",G160)),H160=""),0,1)</f>
        <v>1</v>
      </c>
    </row>
    <row r="161" spans="1:22" hidden="1">
      <c r="A161" s="2">
        <v>45903</v>
      </c>
      <c r="B161" s="1" t="s">
        <v>553</v>
      </c>
      <c r="C161" s="1" t="s">
        <v>356</v>
      </c>
      <c r="D161" s="1" t="s">
        <v>57</v>
      </c>
      <c r="E161" s="1">
        <v>85023</v>
      </c>
      <c r="F161" s="1" t="s">
        <v>554</v>
      </c>
      <c r="G161" s="1" t="s">
        <v>497</v>
      </c>
      <c r="H161" s="4" t="s">
        <v>555</v>
      </c>
      <c r="I161" s="5" t="s">
        <v>30</v>
      </c>
      <c r="J161" s="5" t="s">
        <v>31</v>
      </c>
      <c r="K161" s="5" t="s">
        <v>31</v>
      </c>
      <c r="L161" s="5" t="s">
        <v>32</v>
      </c>
      <c r="M161" s="5" t="s">
        <v>31</v>
      </c>
      <c r="N161" s="5" t="s">
        <v>31</v>
      </c>
      <c r="O161" s="5" t="s">
        <v>32</v>
      </c>
      <c r="P161" s="5" t="s">
        <v>33</v>
      </c>
      <c r="Q161" s="2">
        <v>45968</v>
      </c>
      <c r="V161" s="45">
        <f>IF(OR(ISNUMBER(SEARCH("unable to locate acct",G161)),ISNUMBER(SEARCH("unknown",G161)),ISNUMBER(SEARCH("inactive",G161)),H161=""),0,1)</f>
        <v>1</v>
      </c>
    </row>
    <row r="162" spans="1:22" hidden="1">
      <c r="A162" s="2">
        <v>45903</v>
      </c>
      <c r="B162" s="1" t="s">
        <v>556</v>
      </c>
      <c r="C162" s="1" t="s">
        <v>250</v>
      </c>
      <c r="D162" s="1" t="s">
        <v>57</v>
      </c>
      <c r="E162" s="1">
        <v>85020</v>
      </c>
      <c r="F162" s="1" t="s">
        <v>304</v>
      </c>
      <c r="G162" s="1" t="s">
        <v>497</v>
      </c>
      <c r="H162" s="4" t="s">
        <v>557</v>
      </c>
      <c r="I162" s="5" t="s">
        <v>190</v>
      </c>
      <c r="J162" s="5" t="s">
        <v>31</v>
      </c>
      <c r="K162" s="5" t="s">
        <v>31</v>
      </c>
      <c r="L162" s="5" t="s">
        <v>32</v>
      </c>
      <c r="M162" s="5" t="s">
        <v>31</v>
      </c>
      <c r="N162" s="5" t="s">
        <v>31</v>
      </c>
      <c r="O162" s="5" t="s">
        <v>32</v>
      </c>
      <c r="P162" s="5" t="s">
        <v>33</v>
      </c>
      <c r="Q162" s="2">
        <v>45968</v>
      </c>
      <c r="V162" s="45">
        <f>IF(OR(ISNUMBER(SEARCH("unable to locate acct",G162)),ISNUMBER(SEARCH("unknown",G162)),ISNUMBER(SEARCH("inactive",G162)),H162=""),0,1)</f>
        <v>1</v>
      </c>
    </row>
    <row r="163" spans="1:22" hidden="1">
      <c r="A163" s="2">
        <v>45903</v>
      </c>
      <c r="B163" s="1" t="s">
        <v>558</v>
      </c>
      <c r="C163" s="1" t="s">
        <v>559</v>
      </c>
      <c r="D163" s="1" t="s">
        <v>57</v>
      </c>
      <c r="E163" s="1">
        <v>85004</v>
      </c>
      <c r="F163" s="1" t="s">
        <v>304</v>
      </c>
      <c r="G163" s="1" t="s">
        <v>497</v>
      </c>
      <c r="H163" s="4" t="s">
        <v>21</v>
      </c>
      <c r="V163" s="45">
        <f>IF(OR(ISNUMBER(SEARCH("unable to locate acct",G163)),ISNUMBER(SEARCH("unknown",G163)),ISNUMBER(SEARCH("inactive",G163)),H163=""),0,1)</f>
        <v>1</v>
      </c>
    </row>
    <row r="164" spans="1:22" hidden="1">
      <c r="A164" s="2">
        <v>45903</v>
      </c>
      <c r="B164" s="1" t="s">
        <v>560</v>
      </c>
      <c r="C164" s="1" t="s">
        <v>561</v>
      </c>
      <c r="D164" s="1" t="s">
        <v>196</v>
      </c>
      <c r="E164" s="1">
        <v>85383</v>
      </c>
      <c r="F164" s="1" t="s">
        <v>304</v>
      </c>
      <c r="G164" s="1" t="s">
        <v>497</v>
      </c>
      <c r="H164" s="4" t="s">
        <v>562</v>
      </c>
      <c r="I164" s="5" t="s">
        <v>30</v>
      </c>
      <c r="J164" s="5" t="s">
        <v>31</v>
      </c>
      <c r="K164" s="5" t="s">
        <v>31</v>
      </c>
      <c r="L164" s="5" t="s">
        <v>32</v>
      </c>
      <c r="M164" s="5" t="s">
        <v>31</v>
      </c>
      <c r="N164" s="5" t="s">
        <v>31</v>
      </c>
      <c r="O164" s="5" t="s">
        <v>32</v>
      </c>
      <c r="P164" s="5" t="s">
        <v>33</v>
      </c>
      <c r="Q164" s="2">
        <v>45968</v>
      </c>
      <c r="V164" s="45">
        <f>IF(OR(ISNUMBER(SEARCH("unable to locate acct",G164)),ISNUMBER(SEARCH("unknown",G164)),ISNUMBER(SEARCH("inactive",G164)),H164=""),0,1)</f>
        <v>1</v>
      </c>
    </row>
    <row r="165" spans="1:22" hidden="1">
      <c r="A165" s="2">
        <v>45903</v>
      </c>
      <c r="B165" s="1" t="s">
        <v>563</v>
      </c>
      <c r="C165" s="1" t="s">
        <v>564</v>
      </c>
      <c r="D165" s="1" t="s">
        <v>57</v>
      </c>
      <c r="E165" s="1">
        <v>85024</v>
      </c>
      <c r="F165" s="1" t="s">
        <v>304</v>
      </c>
      <c r="G165" s="1" t="s">
        <v>497</v>
      </c>
      <c r="H165" s="4" t="s">
        <v>565</v>
      </c>
      <c r="I165" s="5" t="s">
        <v>190</v>
      </c>
      <c r="J165" s="5" t="s">
        <v>31</v>
      </c>
      <c r="K165" s="5" t="s">
        <v>31</v>
      </c>
      <c r="L165" s="5" t="s">
        <v>32</v>
      </c>
      <c r="M165" s="5" t="s">
        <v>31</v>
      </c>
      <c r="N165" s="5" t="s">
        <v>31</v>
      </c>
      <c r="O165" s="5" t="s">
        <v>32</v>
      </c>
      <c r="P165" s="5" t="s">
        <v>33</v>
      </c>
      <c r="Q165" s="2">
        <v>45968</v>
      </c>
      <c r="V165" s="45">
        <f>IF(OR(ISNUMBER(SEARCH("unable to locate acct",G165)),ISNUMBER(SEARCH("unknown",G165)),ISNUMBER(SEARCH("inactive",G165)),H165=""),0,1)</f>
        <v>1</v>
      </c>
    </row>
    <row r="166" spans="1:22" hidden="1">
      <c r="A166" s="2">
        <v>45903</v>
      </c>
      <c r="B166" s="1" t="s">
        <v>566</v>
      </c>
      <c r="C166" s="1" t="s">
        <v>128</v>
      </c>
      <c r="D166" s="1" t="s">
        <v>57</v>
      </c>
      <c r="E166" s="1">
        <v>85004</v>
      </c>
      <c r="F166" s="1" t="s">
        <v>304</v>
      </c>
      <c r="G166" s="1" t="s">
        <v>497</v>
      </c>
      <c r="H166" s="4" t="s">
        <v>567</v>
      </c>
      <c r="I166" s="5" t="s">
        <v>67</v>
      </c>
      <c r="J166" s="5" t="s">
        <v>31</v>
      </c>
      <c r="K166" s="5" t="s">
        <v>31</v>
      </c>
      <c r="L166" s="5" t="s">
        <v>32</v>
      </c>
      <c r="M166" s="5" t="s">
        <v>31</v>
      </c>
      <c r="N166" s="5" t="s">
        <v>31</v>
      </c>
      <c r="O166" s="5" t="s">
        <v>32</v>
      </c>
      <c r="P166" s="5" t="s">
        <v>33</v>
      </c>
      <c r="Q166" s="2">
        <v>45968</v>
      </c>
      <c r="V166" s="45">
        <f>IF(OR(ISNUMBER(SEARCH("unable to locate acct",G166)),ISNUMBER(SEARCH("unknown",G166)),ISNUMBER(SEARCH("inactive",G166)),H166=""),0,1)</f>
        <v>1</v>
      </c>
    </row>
    <row r="167" spans="1:22" hidden="1">
      <c r="A167" s="2">
        <v>45903</v>
      </c>
      <c r="B167" s="1" t="s">
        <v>568</v>
      </c>
      <c r="C167" s="1" t="s">
        <v>569</v>
      </c>
      <c r="D167" s="1" t="s">
        <v>119</v>
      </c>
      <c r="E167" s="1">
        <v>85260</v>
      </c>
      <c r="F167" s="1" t="s">
        <v>570</v>
      </c>
      <c r="G167" s="1" t="s">
        <v>497</v>
      </c>
      <c r="H167" s="4" t="s">
        <v>571</v>
      </c>
      <c r="I167" s="5" t="s">
        <v>190</v>
      </c>
      <c r="J167" s="5" t="s">
        <v>31</v>
      </c>
      <c r="K167" s="5" t="s">
        <v>31</v>
      </c>
      <c r="L167" s="5" t="s">
        <v>32</v>
      </c>
      <c r="M167" s="5" t="s">
        <v>31</v>
      </c>
      <c r="N167" s="5" t="s">
        <v>31</v>
      </c>
      <c r="O167" s="5" t="s">
        <v>32</v>
      </c>
      <c r="P167" s="5" t="s">
        <v>33</v>
      </c>
      <c r="Q167" s="2">
        <v>45968</v>
      </c>
      <c r="V167" s="45">
        <f>IF(OR(ISNUMBER(SEARCH("unable to locate acct",G167)),ISNUMBER(SEARCH("unknown",G167)),ISNUMBER(SEARCH("inactive",G167)),H167=""),0,1)</f>
        <v>1</v>
      </c>
    </row>
    <row r="168" spans="1:22" hidden="1">
      <c r="A168" s="2">
        <v>45903</v>
      </c>
      <c r="B168" s="1" t="s">
        <v>572</v>
      </c>
      <c r="C168" s="1" t="s">
        <v>541</v>
      </c>
      <c r="D168" s="1" t="s">
        <v>57</v>
      </c>
      <c r="E168" s="1">
        <v>85015</v>
      </c>
      <c r="F168" s="1" t="s">
        <v>304</v>
      </c>
      <c r="G168" s="1" t="s">
        <v>497</v>
      </c>
      <c r="H168" s="4" t="s">
        <v>573</v>
      </c>
      <c r="I168" s="5" t="s">
        <v>51</v>
      </c>
      <c r="J168" s="5" t="s">
        <v>31</v>
      </c>
      <c r="K168" s="5" t="s">
        <v>31</v>
      </c>
      <c r="L168" s="5" t="s">
        <v>574</v>
      </c>
      <c r="M168" s="5" t="s">
        <v>31</v>
      </c>
      <c r="N168" s="5" t="s">
        <v>31</v>
      </c>
      <c r="O168" s="5" t="s">
        <v>32</v>
      </c>
      <c r="P168" s="5" t="s">
        <v>33</v>
      </c>
      <c r="Q168" s="2">
        <v>45968</v>
      </c>
      <c r="V168" s="45">
        <f>IF(OR(ISNUMBER(SEARCH("unable to locate acct",G168)),ISNUMBER(SEARCH("unknown",G168)),ISNUMBER(SEARCH("inactive",G168)),H168=""),0,1)</f>
        <v>1</v>
      </c>
    </row>
    <row r="169" spans="1:22" hidden="1">
      <c r="A169" s="2">
        <v>45903</v>
      </c>
      <c r="B169" s="1" t="s">
        <v>575</v>
      </c>
      <c r="C169" s="1" t="s">
        <v>576</v>
      </c>
      <c r="D169" s="1" t="s">
        <v>57</v>
      </c>
      <c r="E169" s="1">
        <v>85016</v>
      </c>
      <c r="F169" s="1" t="s">
        <v>304</v>
      </c>
      <c r="G169" s="1" t="s">
        <v>497</v>
      </c>
      <c r="H169" s="4" t="s">
        <v>21</v>
      </c>
      <c r="V169" s="45">
        <f>IF(OR(ISNUMBER(SEARCH("unable to locate acct",G169)),ISNUMBER(SEARCH("unknown",G169)),ISNUMBER(SEARCH("inactive",G169)),H169=""),0,1)</f>
        <v>1</v>
      </c>
    </row>
    <row r="170" spans="1:22" hidden="1">
      <c r="A170" s="2">
        <v>45903</v>
      </c>
      <c r="B170" s="1" t="s">
        <v>577</v>
      </c>
      <c r="C170" s="1" t="s">
        <v>578</v>
      </c>
      <c r="D170" s="1" t="s">
        <v>57</v>
      </c>
      <c r="E170" s="1">
        <v>85028</v>
      </c>
      <c r="F170" s="1" t="s">
        <v>579</v>
      </c>
      <c r="G170" s="1" t="s">
        <v>497</v>
      </c>
      <c r="H170" s="4" t="s">
        <v>580</v>
      </c>
      <c r="I170" s="5" t="s">
        <v>30</v>
      </c>
      <c r="J170" s="5" t="s">
        <v>31</v>
      </c>
      <c r="K170" s="5" t="s">
        <v>31</v>
      </c>
      <c r="L170" s="5" t="s">
        <v>32</v>
      </c>
      <c r="M170" s="5" t="s">
        <v>31</v>
      </c>
      <c r="N170" s="5" t="s">
        <v>31</v>
      </c>
      <c r="O170" s="5" t="s">
        <v>32</v>
      </c>
      <c r="P170" s="5" t="s">
        <v>33</v>
      </c>
      <c r="Q170" s="2">
        <v>45968</v>
      </c>
      <c r="V170" s="45">
        <f>IF(OR(ISNUMBER(SEARCH("unable to locate acct",G170)),ISNUMBER(SEARCH("unknown",G170)),ISNUMBER(SEARCH("inactive",G170)),H170=""),0,1)</f>
        <v>1</v>
      </c>
    </row>
    <row r="171" spans="1:22" hidden="1">
      <c r="A171" s="2">
        <v>45903</v>
      </c>
      <c r="B171" s="1" t="s">
        <v>581</v>
      </c>
      <c r="C171" s="1" t="s">
        <v>582</v>
      </c>
      <c r="D171" s="1" t="s">
        <v>234</v>
      </c>
      <c r="E171" s="1">
        <v>85340</v>
      </c>
      <c r="F171" s="1" t="s">
        <v>25</v>
      </c>
      <c r="G171" s="1" t="s">
        <v>497</v>
      </c>
      <c r="H171" s="4" t="s">
        <v>583</v>
      </c>
      <c r="I171" s="5" t="s">
        <v>30</v>
      </c>
      <c r="J171" s="5" t="s">
        <v>31</v>
      </c>
      <c r="K171" s="5" t="s">
        <v>31</v>
      </c>
      <c r="L171" s="5" t="s">
        <v>32</v>
      </c>
      <c r="M171" s="5" t="s">
        <v>31</v>
      </c>
      <c r="N171" s="5" t="s">
        <v>31</v>
      </c>
      <c r="O171" s="5" t="s">
        <v>32</v>
      </c>
      <c r="P171" s="5" t="s">
        <v>33</v>
      </c>
      <c r="Q171" s="2">
        <v>45968</v>
      </c>
      <c r="V171" s="45">
        <f>IF(OR(ISNUMBER(SEARCH("unable to locate acct",G171)),ISNUMBER(SEARCH("unknown",G171)),ISNUMBER(SEARCH("inactive",G171)),H171=""),0,1)</f>
        <v>1</v>
      </c>
    </row>
    <row r="172" spans="1:22" hidden="1">
      <c r="A172" s="2">
        <v>45903</v>
      </c>
      <c r="B172" s="1" t="s">
        <v>584</v>
      </c>
      <c r="C172" s="1" t="s">
        <v>585</v>
      </c>
      <c r="D172" s="1" t="s">
        <v>57</v>
      </c>
      <c r="E172" s="1">
        <v>85024</v>
      </c>
      <c r="F172" s="1" t="s">
        <v>304</v>
      </c>
      <c r="G172" s="1" t="s">
        <v>497</v>
      </c>
      <c r="H172" s="4" t="s">
        <v>586</v>
      </c>
      <c r="I172" s="5" t="s">
        <v>30</v>
      </c>
      <c r="J172" s="5" t="s">
        <v>31</v>
      </c>
      <c r="K172" s="5" t="s">
        <v>31</v>
      </c>
      <c r="L172" s="5" t="s">
        <v>32</v>
      </c>
      <c r="M172" s="5" t="s">
        <v>31</v>
      </c>
      <c r="N172" s="5" t="s">
        <v>31</v>
      </c>
      <c r="O172" s="5" t="s">
        <v>32</v>
      </c>
      <c r="P172" s="5" t="s">
        <v>33</v>
      </c>
      <c r="Q172" s="2">
        <v>45968</v>
      </c>
      <c r="V172" s="45">
        <f>IF(OR(ISNUMBER(SEARCH("unable to locate acct",G172)),ISNUMBER(SEARCH("unknown",G172)),ISNUMBER(SEARCH("inactive",G172)),H172=""),0,1)</f>
        <v>1</v>
      </c>
    </row>
    <row r="173" spans="1:22" hidden="1">
      <c r="A173" s="2">
        <v>45903</v>
      </c>
      <c r="B173" s="1" t="s">
        <v>587</v>
      </c>
      <c r="C173" s="1" t="s">
        <v>588</v>
      </c>
      <c r="D173" s="1" t="s">
        <v>234</v>
      </c>
      <c r="E173" s="1">
        <v>85340</v>
      </c>
      <c r="F173" s="1" t="s">
        <v>589</v>
      </c>
      <c r="G173" s="1" t="s">
        <v>497</v>
      </c>
      <c r="H173" s="4" t="s">
        <v>590</v>
      </c>
      <c r="I173" s="5" t="s">
        <v>120</v>
      </c>
      <c r="J173" s="5" t="s">
        <v>31</v>
      </c>
      <c r="K173" s="5" t="s">
        <v>31</v>
      </c>
      <c r="L173" s="5" t="s">
        <v>32</v>
      </c>
      <c r="M173" s="5" t="s">
        <v>31</v>
      </c>
      <c r="N173" s="5" t="s">
        <v>31</v>
      </c>
      <c r="O173" s="5" t="s">
        <v>32</v>
      </c>
      <c r="P173" s="5" t="s">
        <v>33</v>
      </c>
      <c r="Q173" s="2">
        <v>45968</v>
      </c>
      <c r="V173" s="45">
        <f>IF(OR(ISNUMBER(SEARCH("unable to locate acct",G173)),ISNUMBER(SEARCH("unknown",G173)),ISNUMBER(SEARCH("inactive",G173)),H173=""),0,1)</f>
        <v>1</v>
      </c>
    </row>
    <row r="174" spans="1:22" hidden="1">
      <c r="A174" s="2">
        <v>45903</v>
      </c>
      <c r="B174" s="1" t="s">
        <v>591</v>
      </c>
      <c r="C174" s="1" t="s">
        <v>592</v>
      </c>
      <c r="D174" s="1" t="s">
        <v>57</v>
      </c>
      <c r="E174" s="1">
        <v>85022</v>
      </c>
      <c r="F174" s="1" t="s">
        <v>304</v>
      </c>
      <c r="G174" s="1" t="s">
        <v>497</v>
      </c>
      <c r="H174" s="4" t="s">
        <v>593</v>
      </c>
      <c r="I174" s="5" t="s">
        <v>190</v>
      </c>
      <c r="J174" s="5" t="s">
        <v>31</v>
      </c>
      <c r="K174" s="5" t="s">
        <v>31</v>
      </c>
      <c r="L174" s="5" t="s">
        <v>594</v>
      </c>
      <c r="M174" s="5" t="s">
        <v>31</v>
      </c>
      <c r="N174" s="5" t="s">
        <v>31</v>
      </c>
      <c r="O174" s="5" t="s">
        <v>32</v>
      </c>
      <c r="P174" s="2">
        <v>45933</v>
      </c>
      <c r="Q174" s="2">
        <v>45968</v>
      </c>
      <c r="R174" s="1" t="s">
        <v>552</v>
      </c>
      <c r="V174" s="45">
        <f>IF(OR(ISNUMBER(SEARCH("unable to locate acct",G174)),ISNUMBER(SEARCH("unknown",G174)),ISNUMBER(SEARCH("inactive",G174)),H174=""),0,1)</f>
        <v>1</v>
      </c>
    </row>
    <row r="175" spans="1:22" hidden="1">
      <c r="A175" s="2">
        <v>45903</v>
      </c>
      <c r="B175" s="1" t="s">
        <v>595</v>
      </c>
      <c r="C175" s="1" t="s">
        <v>412</v>
      </c>
      <c r="D175" s="1" t="s">
        <v>18</v>
      </c>
      <c r="E175" s="1">
        <v>85308</v>
      </c>
      <c r="F175" s="1" t="s">
        <v>304</v>
      </c>
      <c r="G175" s="1" t="s">
        <v>497</v>
      </c>
      <c r="H175" s="4" t="s">
        <v>5090</v>
      </c>
      <c r="I175" s="5" t="s">
        <v>67</v>
      </c>
      <c r="J175" s="5" t="s">
        <v>31</v>
      </c>
      <c r="L175" s="5" t="s">
        <v>32</v>
      </c>
      <c r="O175" s="5" t="s">
        <v>32</v>
      </c>
      <c r="P175" s="5" t="s">
        <v>33</v>
      </c>
      <c r="V175" s="45">
        <f>IF(OR(ISNUMBER(SEARCH("unable to locate acct",G175)),ISNUMBER(SEARCH("unknown",G175)),ISNUMBER(SEARCH("inactive",G175)),H175=""),0,1)</f>
        <v>1</v>
      </c>
    </row>
    <row r="176" spans="1:22" hidden="1">
      <c r="A176" s="2">
        <v>45903</v>
      </c>
      <c r="B176" s="1" t="s">
        <v>596</v>
      </c>
      <c r="C176" s="1" t="s">
        <v>597</v>
      </c>
      <c r="D176" s="1" t="s">
        <v>57</v>
      </c>
      <c r="E176" s="1">
        <v>85022</v>
      </c>
      <c r="F176" s="1" t="s">
        <v>598</v>
      </c>
      <c r="G176" s="1" t="s">
        <v>497</v>
      </c>
      <c r="H176" s="4" t="s">
        <v>599</v>
      </c>
      <c r="I176" s="5" t="s">
        <v>51</v>
      </c>
      <c r="J176" s="5" t="s">
        <v>31</v>
      </c>
      <c r="K176" s="5" t="s">
        <v>31</v>
      </c>
      <c r="L176" s="7" t="s">
        <v>600</v>
      </c>
      <c r="M176" s="5" t="s">
        <v>31</v>
      </c>
      <c r="N176" s="5" t="s">
        <v>31</v>
      </c>
      <c r="O176" s="5" t="s">
        <v>32</v>
      </c>
      <c r="P176" s="2">
        <v>45933</v>
      </c>
      <c r="Q176" s="2">
        <v>45968</v>
      </c>
      <c r="R176" s="1" t="s">
        <v>601</v>
      </c>
      <c r="V176" s="45">
        <f>IF(OR(ISNUMBER(SEARCH("unable to locate acct",G176)),ISNUMBER(SEARCH("unknown",G176)),ISNUMBER(SEARCH("inactive",G176)),H176=""),0,1)</f>
        <v>1</v>
      </c>
    </row>
    <row r="177" spans="1:22" hidden="1">
      <c r="A177" s="2">
        <v>45903</v>
      </c>
      <c r="B177" s="1" t="s">
        <v>439</v>
      </c>
      <c r="C177" s="1" t="s">
        <v>602</v>
      </c>
      <c r="D177" s="1" t="s">
        <v>495</v>
      </c>
      <c r="E177" s="1">
        <v>86001</v>
      </c>
      <c r="F177" s="1" t="s">
        <v>25</v>
      </c>
      <c r="G177" s="1" t="s">
        <v>497</v>
      </c>
      <c r="H177" s="4" t="s">
        <v>603</v>
      </c>
      <c r="I177" s="5" t="s">
        <v>120</v>
      </c>
      <c r="J177" s="5" t="s">
        <v>31</v>
      </c>
      <c r="K177" s="5" t="s">
        <v>31</v>
      </c>
      <c r="L177" s="7" t="s">
        <v>604</v>
      </c>
      <c r="M177" s="5" t="s">
        <v>31</v>
      </c>
      <c r="N177" s="5" t="s">
        <v>31</v>
      </c>
      <c r="O177" s="5" t="s">
        <v>32</v>
      </c>
      <c r="P177" s="2">
        <v>45933</v>
      </c>
      <c r="Q177" s="2">
        <v>45968</v>
      </c>
      <c r="R177" s="1" t="s">
        <v>552</v>
      </c>
      <c r="V177" s="45">
        <f>IF(OR(ISNUMBER(SEARCH("unable to locate acct",G177)),ISNUMBER(SEARCH("unknown",G177)),ISNUMBER(SEARCH("inactive",G177)),H177=""),0,1)</f>
        <v>1</v>
      </c>
    </row>
    <row r="178" spans="1:22" hidden="1">
      <c r="A178" s="2">
        <v>45903</v>
      </c>
      <c r="B178" s="1" t="s">
        <v>605</v>
      </c>
      <c r="C178" s="1" t="s">
        <v>544</v>
      </c>
      <c r="D178" s="1" t="s">
        <v>57</v>
      </c>
      <c r="E178" s="1">
        <v>85014</v>
      </c>
      <c r="F178" s="1" t="s">
        <v>606</v>
      </c>
      <c r="G178" s="1" t="s">
        <v>497</v>
      </c>
      <c r="H178" s="4" t="s">
        <v>607</v>
      </c>
      <c r="I178" s="5" t="s">
        <v>67</v>
      </c>
      <c r="J178" s="5" t="s">
        <v>31</v>
      </c>
      <c r="K178" s="5" t="s">
        <v>31</v>
      </c>
      <c r="L178" s="5" t="s">
        <v>32</v>
      </c>
      <c r="M178" s="5" t="s">
        <v>31</v>
      </c>
      <c r="N178" s="5" t="s">
        <v>31</v>
      </c>
      <c r="O178" s="5" t="s">
        <v>32</v>
      </c>
      <c r="P178" s="5" t="s">
        <v>33</v>
      </c>
      <c r="Q178" s="2">
        <v>45968</v>
      </c>
      <c r="V178" s="45">
        <f>IF(OR(ISNUMBER(SEARCH("unable to locate acct",G178)),ISNUMBER(SEARCH("unknown",G178)),ISNUMBER(SEARCH("inactive",G178)),H178=""),0,1)</f>
        <v>1</v>
      </c>
    </row>
    <row r="179" spans="1:22" hidden="1">
      <c r="A179" s="2">
        <v>45903</v>
      </c>
      <c r="B179" s="1" t="s">
        <v>608</v>
      </c>
      <c r="C179" s="1" t="s">
        <v>609</v>
      </c>
      <c r="D179" s="1" t="s">
        <v>610</v>
      </c>
      <c r="E179" s="1">
        <v>85365</v>
      </c>
      <c r="F179" s="1" t="s">
        <v>304</v>
      </c>
      <c r="G179" s="1" t="s">
        <v>497</v>
      </c>
      <c r="H179" s="4" t="s">
        <v>611</v>
      </c>
      <c r="I179" s="5" t="s">
        <v>190</v>
      </c>
      <c r="J179" s="5" t="s">
        <v>31</v>
      </c>
      <c r="K179" s="5" t="s">
        <v>31</v>
      </c>
      <c r="L179" s="5" t="s">
        <v>612</v>
      </c>
      <c r="M179" s="5" t="s">
        <v>31</v>
      </c>
      <c r="N179" s="5" t="s">
        <v>31</v>
      </c>
      <c r="O179" s="5" t="s">
        <v>32</v>
      </c>
      <c r="P179" s="5" t="s">
        <v>33</v>
      </c>
      <c r="Q179" s="2">
        <v>45968</v>
      </c>
      <c r="R179" s="1" t="s">
        <v>613</v>
      </c>
      <c r="V179" s="45">
        <f>IF(OR(ISNUMBER(SEARCH("unable to locate acct",G179)),ISNUMBER(SEARCH("unknown",G179)),ISNUMBER(SEARCH("inactive",G179)),H179=""),0,1)</f>
        <v>1</v>
      </c>
    </row>
    <row r="180" spans="1:22" hidden="1">
      <c r="A180" s="2">
        <v>45903</v>
      </c>
      <c r="B180" s="1" t="s">
        <v>614</v>
      </c>
      <c r="C180" s="1" t="s">
        <v>615</v>
      </c>
      <c r="D180" s="1" t="s">
        <v>57</v>
      </c>
      <c r="E180" s="1">
        <v>85013</v>
      </c>
      <c r="F180" s="1" t="s">
        <v>304</v>
      </c>
      <c r="G180" s="1" t="s">
        <v>497</v>
      </c>
      <c r="H180" s="4" t="s">
        <v>21</v>
      </c>
      <c r="V180" s="45">
        <f>IF(OR(ISNUMBER(SEARCH("unable to locate acct",G180)),ISNUMBER(SEARCH("unknown",G180)),ISNUMBER(SEARCH("inactive",G180)),H180=""),0,1)</f>
        <v>1</v>
      </c>
    </row>
    <row r="181" spans="1:22" hidden="1">
      <c r="A181" s="2">
        <v>45903</v>
      </c>
      <c r="B181" s="1" t="s">
        <v>616</v>
      </c>
      <c r="C181" s="1" t="s">
        <v>617</v>
      </c>
      <c r="D181" s="1" t="s">
        <v>57</v>
      </c>
      <c r="E181" s="1">
        <v>85085</v>
      </c>
      <c r="F181" s="1" t="s">
        <v>618</v>
      </c>
      <c r="G181" s="1" t="s">
        <v>497</v>
      </c>
      <c r="H181" s="4" t="s">
        <v>619</v>
      </c>
      <c r="I181" s="5" t="s">
        <v>30</v>
      </c>
      <c r="J181" s="5" t="s">
        <v>31</v>
      </c>
      <c r="K181" s="5" t="s">
        <v>31</v>
      </c>
      <c r="L181" s="5" t="s">
        <v>32</v>
      </c>
      <c r="M181" s="5" t="s">
        <v>31</v>
      </c>
      <c r="N181" s="5" t="s">
        <v>31</v>
      </c>
      <c r="O181" s="5" t="s">
        <v>32</v>
      </c>
      <c r="P181" s="5" t="s">
        <v>33</v>
      </c>
      <c r="Q181" s="2">
        <v>45968</v>
      </c>
      <c r="V181" s="45">
        <f>IF(OR(ISNUMBER(SEARCH("unable to locate acct",G181)),ISNUMBER(SEARCH("unknown",G181)),ISNUMBER(SEARCH("inactive",G181)),H181=""),0,1)</f>
        <v>1</v>
      </c>
    </row>
    <row r="182" spans="1:22" hidden="1">
      <c r="A182" s="2">
        <v>45903</v>
      </c>
      <c r="B182" s="1" t="s">
        <v>620</v>
      </c>
      <c r="C182" s="1" t="s">
        <v>621</v>
      </c>
      <c r="D182" s="1" t="s">
        <v>514</v>
      </c>
      <c r="E182" s="1">
        <v>85392</v>
      </c>
      <c r="F182" s="1" t="s">
        <v>622</v>
      </c>
      <c r="G182" s="1" t="s">
        <v>497</v>
      </c>
      <c r="H182" s="4" t="s">
        <v>623</v>
      </c>
      <c r="I182" s="5" t="s">
        <v>120</v>
      </c>
      <c r="J182" s="5" t="s">
        <v>31</v>
      </c>
      <c r="K182" s="5" t="s">
        <v>31</v>
      </c>
      <c r="L182" s="5" t="s">
        <v>32</v>
      </c>
      <c r="M182" s="5" t="s">
        <v>31</v>
      </c>
      <c r="N182" s="5" t="s">
        <v>31</v>
      </c>
      <c r="O182" s="5" t="s">
        <v>32</v>
      </c>
      <c r="P182" s="5" t="s">
        <v>33</v>
      </c>
      <c r="Q182" s="2">
        <v>45968</v>
      </c>
      <c r="V182" s="45">
        <f>IF(OR(ISNUMBER(SEARCH("unable to locate acct",G182)),ISNUMBER(SEARCH("unknown",G182)),ISNUMBER(SEARCH("inactive",G182)),H182=""),0,1)</f>
        <v>1</v>
      </c>
    </row>
    <row r="183" spans="1:22" hidden="1">
      <c r="A183" s="2">
        <v>45903</v>
      </c>
      <c r="B183" s="1" t="s">
        <v>624</v>
      </c>
      <c r="C183" s="1" t="s">
        <v>625</v>
      </c>
      <c r="D183" s="1" t="s">
        <v>626</v>
      </c>
      <c r="E183" s="1">
        <v>85281</v>
      </c>
      <c r="F183" s="1" t="s">
        <v>304</v>
      </c>
      <c r="G183" s="1" t="s">
        <v>497</v>
      </c>
      <c r="H183" s="4" t="s">
        <v>21</v>
      </c>
      <c r="V183" s="45">
        <f>IF(OR(ISNUMBER(SEARCH("unable to locate acct",G183)),ISNUMBER(SEARCH("unknown",G183)),ISNUMBER(SEARCH("inactive",G183)),H183=""),0,1)</f>
        <v>1</v>
      </c>
    </row>
    <row r="184" spans="1:22" hidden="1">
      <c r="A184" s="2">
        <v>45903</v>
      </c>
      <c r="B184" s="1" t="s">
        <v>627</v>
      </c>
      <c r="C184" s="1" t="s">
        <v>520</v>
      </c>
      <c r="D184" s="1" t="s">
        <v>495</v>
      </c>
      <c r="E184" s="1">
        <v>86001</v>
      </c>
      <c r="F184" s="1" t="s">
        <v>304</v>
      </c>
      <c r="G184" s="1" t="s">
        <v>497</v>
      </c>
      <c r="H184" s="4" t="s">
        <v>628</v>
      </c>
      <c r="I184" s="5" t="s">
        <v>67</v>
      </c>
      <c r="J184" s="5" t="s">
        <v>31</v>
      </c>
      <c r="K184" s="5" t="s">
        <v>31</v>
      </c>
      <c r="L184" s="5" t="s">
        <v>32</v>
      </c>
      <c r="M184" s="5" t="s">
        <v>31</v>
      </c>
      <c r="N184" s="5" t="s">
        <v>31</v>
      </c>
      <c r="O184" s="5" t="s">
        <v>32</v>
      </c>
      <c r="P184" s="5" t="s">
        <v>33</v>
      </c>
      <c r="Q184" s="2">
        <v>45968</v>
      </c>
      <c r="V184" s="45">
        <f>IF(OR(ISNUMBER(SEARCH("unable to locate acct",G184)),ISNUMBER(SEARCH("unknown",G184)),ISNUMBER(SEARCH("inactive",G184)),H184=""),0,1)</f>
        <v>1</v>
      </c>
    </row>
    <row r="185" spans="1:22" hidden="1">
      <c r="A185" s="2">
        <v>45903</v>
      </c>
      <c r="B185" s="1" t="s">
        <v>629</v>
      </c>
      <c r="C185" s="1" t="s">
        <v>630</v>
      </c>
      <c r="D185" s="1" t="s">
        <v>196</v>
      </c>
      <c r="E185" s="1">
        <v>85383</v>
      </c>
      <c r="F185" s="1" t="s">
        <v>304</v>
      </c>
      <c r="G185" s="1" t="s">
        <v>497</v>
      </c>
      <c r="H185" s="4" t="s">
        <v>631</v>
      </c>
      <c r="I185" s="5" t="s">
        <v>190</v>
      </c>
      <c r="J185" s="5" t="s">
        <v>31</v>
      </c>
      <c r="K185" s="5" t="s">
        <v>31</v>
      </c>
      <c r="L185" s="7" t="s">
        <v>632</v>
      </c>
      <c r="M185" s="5" t="s">
        <v>31</v>
      </c>
      <c r="N185" s="5" t="s">
        <v>31</v>
      </c>
      <c r="O185" s="5" t="s">
        <v>32</v>
      </c>
      <c r="P185" s="2">
        <v>45933</v>
      </c>
      <c r="Q185" s="2">
        <v>45968</v>
      </c>
      <c r="R185" s="1" t="s">
        <v>552</v>
      </c>
      <c r="V185" s="45">
        <f>IF(OR(ISNUMBER(SEARCH("unable to locate acct",G185)),ISNUMBER(SEARCH("unknown",G185)),ISNUMBER(SEARCH("inactive",G185)),H185=""),0,1)</f>
        <v>1</v>
      </c>
    </row>
    <row r="186" spans="1:22" hidden="1">
      <c r="A186" s="2">
        <v>45903</v>
      </c>
      <c r="B186" s="1" t="s">
        <v>633</v>
      </c>
      <c r="C186" s="1" t="s">
        <v>634</v>
      </c>
      <c r="D186" s="1" t="s">
        <v>119</v>
      </c>
      <c r="E186" s="1">
        <v>85255</v>
      </c>
      <c r="F186" s="1" t="s">
        <v>304</v>
      </c>
      <c r="G186" s="1" t="s">
        <v>497</v>
      </c>
      <c r="H186" s="4" t="s">
        <v>635</v>
      </c>
      <c r="I186" s="5" t="s">
        <v>30</v>
      </c>
      <c r="J186" s="5" t="s">
        <v>31</v>
      </c>
      <c r="K186" s="5" t="s">
        <v>31</v>
      </c>
      <c r="L186" s="5" t="s">
        <v>32</v>
      </c>
      <c r="M186" s="5" t="s">
        <v>31</v>
      </c>
      <c r="N186" s="5" t="s">
        <v>31</v>
      </c>
      <c r="O186" s="5" t="s">
        <v>32</v>
      </c>
      <c r="P186" s="5" t="s">
        <v>33</v>
      </c>
      <c r="Q186" s="2">
        <v>45968</v>
      </c>
      <c r="V186" s="45">
        <f>IF(OR(ISNUMBER(SEARCH("unable to locate acct",G186)),ISNUMBER(SEARCH("unknown",G186)),ISNUMBER(SEARCH("inactive",G186)),H186=""),0,1)</f>
        <v>1</v>
      </c>
    </row>
    <row r="187" spans="1:22" hidden="1">
      <c r="A187" s="2">
        <v>45903</v>
      </c>
      <c r="B187" s="1" t="s">
        <v>636</v>
      </c>
      <c r="C187" s="1" t="s">
        <v>637</v>
      </c>
      <c r="D187" s="1" t="s">
        <v>363</v>
      </c>
      <c r="E187" s="1">
        <v>85225</v>
      </c>
      <c r="F187" s="1" t="s">
        <v>304</v>
      </c>
      <c r="G187" s="1" t="s">
        <v>497</v>
      </c>
      <c r="H187" s="4" t="s">
        <v>203</v>
      </c>
      <c r="V187" s="45">
        <f>IF(OR(ISNUMBER(SEARCH("unable to locate acct",G187)),ISNUMBER(SEARCH("unknown",G187)),ISNUMBER(SEARCH("inactive",G187)),H187=""),0,1)</f>
        <v>1</v>
      </c>
    </row>
    <row r="188" spans="1:22" hidden="1">
      <c r="A188" s="2">
        <v>45903</v>
      </c>
      <c r="B188" s="1" t="s">
        <v>638</v>
      </c>
      <c r="C188" s="1" t="s">
        <v>639</v>
      </c>
      <c r="D188" s="1" t="s">
        <v>57</v>
      </c>
      <c r="E188" s="1">
        <v>85022</v>
      </c>
      <c r="F188" s="1" t="s">
        <v>304</v>
      </c>
      <c r="G188" s="1" t="s">
        <v>497</v>
      </c>
      <c r="H188" s="4" t="s">
        <v>640</v>
      </c>
      <c r="I188" s="5" t="s">
        <v>67</v>
      </c>
      <c r="J188" s="5" t="s">
        <v>31</v>
      </c>
      <c r="K188" s="5" t="s">
        <v>31</v>
      </c>
      <c r="L188" s="5" t="s">
        <v>32</v>
      </c>
      <c r="M188" s="5" t="s">
        <v>31</v>
      </c>
      <c r="N188" s="5" t="s">
        <v>31</v>
      </c>
      <c r="O188" s="5" t="s">
        <v>32</v>
      </c>
      <c r="P188" s="5" t="s">
        <v>33</v>
      </c>
      <c r="Q188" s="2">
        <v>45968</v>
      </c>
      <c r="V188" s="45">
        <f>IF(OR(ISNUMBER(SEARCH("unable to locate acct",G188)),ISNUMBER(SEARCH("unknown",G188)),ISNUMBER(SEARCH("inactive",G188)),H188=""),0,1)</f>
        <v>1</v>
      </c>
    </row>
    <row r="189" spans="1:22" hidden="1">
      <c r="A189" s="2">
        <v>45903</v>
      </c>
      <c r="B189" s="1" t="s">
        <v>641</v>
      </c>
      <c r="C189" s="1" t="s">
        <v>111</v>
      </c>
      <c r="D189" s="1" t="s">
        <v>163</v>
      </c>
      <c r="E189" s="1">
        <v>85338</v>
      </c>
      <c r="F189" s="1" t="s">
        <v>642</v>
      </c>
      <c r="G189" s="1" t="s">
        <v>497</v>
      </c>
      <c r="H189" s="4" t="s">
        <v>203</v>
      </c>
      <c r="V189" s="45">
        <f>IF(OR(ISNUMBER(SEARCH("unable to locate acct",G189)),ISNUMBER(SEARCH("unknown",G189)),ISNUMBER(SEARCH("inactive",G189)),H189=""),0,1)</f>
        <v>1</v>
      </c>
    </row>
    <row r="190" spans="1:22" hidden="1">
      <c r="A190" s="2">
        <v>45903</v>
      </c>
      <c r="B190" s="1" t="s">
        <v>643</v>
      </c>
      <c r="C190" s="1" t="s">
        <v>644</v>
      </c>
      <c r="D190" s="1" t="s">
        <v>106</v>
      </c>
      <c r="E190" s="1">
        <v>85388</v>
      </c>
      <c r="F190" s="1" t="s">
        <v>19</v>
      </c>
      <c r="G190" s="1" t="s">
        <v>497</v>
      </c>
      <c r="H190" s="4" t="s">
        <v>203</v>
      </c>
      <c r="V190" s="45">
        <f>IF(OR(ISNUMBER(SEARCH("unable to locate acct",G190)),ISNUMBER(SEARCH("unknown",G190)),ISNUMBER(SEARCH("inactive",G190)),H190=""),0,1)</f>
        <v>1</v>
      </c>
    </row>
    <row r="191" spans="1:22" hidden="1">
      <c r="A191" s="2">
        <v>45903</v>
      </c>
      <c r="B191" s="1" t="s">
        <v>645</v>
      </c>
      <c r="C191" s="1" t="s">
        <v>646</v>
      </c>
      <c r="D191" s="1" t="s">
        <v>24</v>
      </c>
      <c r="E191" s="1">
        <v>85254</v>
      </c>
      <c r="F191" s="1" t="s">
        <v>304</v>
      </c>
      <c r="G191" s="1" t="s">
        <v>497</v>
      </c>
      <c r="H191" s="4" t="s">
        <v>647</v>
      </c>
      <c r="I191" s="5" t="s">
        <v>120</v>
      </c>
      <c r="J191" s="5" t="s">
        <v>31</v>
      </c>
      <c r="K191" s="5" t="s">
        <v>31</v>
      </c>
      <c r="L191" s="5" t="s">
        <v>32</v>
      </c>
      <c r="M191" s="5" t="s">
        <v>32</v>
      </c>
      <c r="N191" s="15">
        <v>664.06</v>
      </c>
      <c r="O191" s="5" t="s">
        <v>32</v>
      </c>
      <c r="P191" s="7"/>
      <c r="Q191" s="2">
        <v>45968</v>
      </c>
      <c r="V191" s="45">
        <f>IF(OR(ISNUMBER(SEARCH("unable to locate acct",G191)),ISNUMBER(SEARCH("unknown",G191)),ISNUMBER(SEARCH("inactive",G191)),H191=""),0,1)</f>
        <v>1</v>
      </c>
    </row>
    <row r="192" spans="1:22" hidden="1">
      <c r="A192" s="2">
        <v>45903</v>
      </c>
      <c r="B192" s="1" t="s">
        <v>648</v>
      </c>
      <c r="C192" s="1" t="s">
        <v>649</v>
      </c>
      <c r="D192" s="1" t="s">
        <v>650</v>
      </c>
      <c r="E192" s="1">
        <v>85350</v>
      </c>
      <c r="F192" s="1" t="s">
        <v>651</v>
      </c>
      <c r="G192" s="1" t="s">
        <v>497</v>
      </c>
      <c r="H192" s="4" t="s">
        <v>21</v>
      </c>
      <c r="V192" s="45">
        <f>IF(OR(ISNUMBER(SEARCH("unable to locate acct",G192)),ISNUMBER(SEARCH("unknown",G192)),ISNUMBER(SEARCH("inactive",G192)),H192=""),0,1)</f>
        <v>1</v>
      </c>
    </row>
    <row r="193" spans="1:22" hidden="1">
      <c r="A193" s="2">
        <v>45903</v>
      </c>
      <c r="B193" s="1" t="s">
        <v>652</v>
      </c>
      <c r="C193" s="1" t="s">
        <v>653</v>
      </c>
      <c r="D193" s="1" t="s">
        <v>18</v>
      </c>
      <c r="E193" s="1">
        <v>85308</v>
      </c>
      <c r="F193" s="1" t="s">
        <v>304</v>
      </c>
      <c r="G193" s="1" t="s">
        <v>497</v>
      </c>
      <c r="H193" s="4" t="s">
        <v>21</v>
      </c>
      <c r="V193" s="45">
        <f>IF(OR(ISNUMBER(SEARCH("unable to locate acct",G193)),ISNUMBER(SEARCH("unknown",G193)),ISNUMBER(SEARCH("inactive",G193)),H193=""),0,1)</f>
        <v>1</v>
      </c>
    </row>
    <row r="194" spans="1:22" hidden="1">
      <c r="A194" s="2">
        <v>45903</v>
      </c>
      <c r="B194" s="1" t="s">
        <v>654</v>
      </c>
      <c r="C194" s="1" t="s">
        <v>306</v>
      </c>
      <c r="D194" s="1" t="s">
        <v>163</v>
      </c>
      <c r="E194" s="1">
        <v>85338</v>
      </c>
      <c r="F194" s="1" t="s">
        <v>655</v>
      </c>
      <c r="G194" s="1" t="s">
        <v>497</v>
      </c>
      <c r="H194" s="4" t="s">
        <v>21</v>
      </c>
      <c r="V194" s="45">
        <f>IF(OR(ISNUMBER(SEARCH("unable to locate acct",G194)),ISNUMBER(SEARCH("unknown",G194)),ISNUMBER(SEARCH("inactive",G194)),H194=""),0,1)</f>
        <v>1</v>
      </c>
    </row>
    <row r="195" spans="1:22" hidden="1">
      <c r="A195" s="2">
        <v>45903</v>
      </c>
      <c r="B195" s="1" t="s">
        <v>656</v>
      </c>
      <c r="C195" s="1" t="s">
        <v>657</v>
      </c>
      <c r="D195" s="1" t="s">
        <v>163</v>
      </c>
      <c r="E195" s="1">
        <v>85338</v>
      </c>
      <c r="F195" s="1" t="s">
        <v>658</v>
      </c>
      <c r="G195" s="1" t="s">
        <v>497</v>
      </c>
      <c r="H195" s="4" t="s">
        <v>659</v>
      </c>
      <c r="I195" s="5" t="s">
        <v>51</v>
      </c>
      <c r="J195" s="5" t="s">
        <v>32</v>
      </c>
      <c r="K195" s="5" t="s">
        <v>31</v>
      </c>
      <c r="L195" s="7" t="s">
        <v>660</v>
      </c>
      <c r="M195" s="5" t="s">
        <v>32</v>
      </c>
      <c r="N195" s="15">
        <v>3681.83</v>
      </c>
      <c r="O195" s="5" t="s">
        <v>32</v>
      </c>
      <c r="P195" s="2">
        <v>45933</v>
      </c>
      <c r="Q195" s="2">
        <v>45968</v>
      </c>
      <c r="R195" s="1" t="s">
        <v>661</v>
      </c>
      <c r="V195" s="45">
        <f>IF(OR(ISNUMBER(SEARCH("unable to locate acct",G195)),ISNUMBER(SEARCH("unknown",G195)),ISNUMBER(SEARCH("inactive",G195)),H195=""),0,1)</f>
        <v>1</v>
      </c>
    </row>
    <row r="196" spans="1:22" hidden="1">
      <c r="A196" s="2">
        <v>45903</v>
      </c>
      <c r="B196" s="1" t="s">
        <v>662</v>
      </c>
      <c r="C196" s="1" t="s">
        <v>369</v>
      </c>
      <c r="D196" s="1" t="s">
        <v>57</v>
      </c>
      <c r="E196" s="1">
        <v>85083</v>
      </c>
      <c r="F196" s="1" t="s">
        <v>304</v>
      </c>
      <c r="G196" s="1" t="s">
        <v>497</v>
      </c>
      <c r="H196" s="4" t="s">
        <v>203</v>
      </c>
      <c r="V196" s="45">
        <f>IF(OR(ISNUMBER(SEARCH("unable to locate acct",G196)),ISNUMBER(SEARCH("unknown",G196)),ISNUMBER(SEARCH("inactive",G196)),H196=""),0,1)</f>
        <v>1</v>
      </c>
    </row>
    <row r="197" spans="1:22" hidden="1">
      <c r="A197" s="2">
        <v>45903</v>
      </c>
      <c r="B197" s="1" t="s">
        <v>663</v>
      </c>
      <c r="C197" s="1" t="s">
        <v>664</v>
      </c>
      <c r="D197" s="1" t="s">
        <v>196</v>
      </c>
      <c r="E197" s="1">
        <v>85382</v>
      </c>
      <c r="F197" s="1" t="s">
        <v>25</v>
      </c>
      <c r="G197" s="1" t="s">
        <v>497</v>
      </c>
      <c r="H197" s="4" t="s">
        <v>665</v>
      </c>
      <c r="I197" s="5" t="s">
        <v>67</v>
      </c>
      <c r="J197" s="5" t="s">
        <v>31</v>
      </c>
      <c r="K197" s="5" t="s">
        <v>31</v>
      </c>
      <c r="L197" s="5" t="s">
        <v>32</v>
      </c>
      <c r="M197" s="5" t="s">
        <v>31</v>
      </c>
      <c r="N197" s="5" t="s">
        <v>31</v>
      </c>
      <c r="O197" s="5" t="s">
        <v>32</v>
      </c>
      <c r="P197" s="5" t="s">
        <v>33</v>
      </c>
      <c r="Q197" s="2">
        <v>45968</v>
      </c>
      <c r="V197" s="45">
        <f>IF(OR(ISNUMBER(SEARCH("unable to locate acct",G197)),ISNUMBER(SEARCH("unknown",G197)),ISNUMBER(SEARCH("inactive",G197)),H197=""),0,1)</f>
        <v>1</v>
      </c>
    </row>
    <row r="198" spans="1:22" hidden="1">
      <c r="A198" s="2">
        <v>45903</v>
      </c>
      <c r="B198" s="1" t="s">
        <v>666</v>
      </c>
      <c r="C198" s="1" t="s">
        <v>667</v>
      </c>
      <c r="D198" s="1" t="s">
        <v>514</v>
      </c>
      <c r="E198" s="1">
        <v>85392</v>
      </c>
      <c r="F198" s="1" t="s">
        <v>668</v>
      </c>
      <c r="G198" s="1" t="s">
        <v>497</v>
      </c>
      <c r="H198" s="4" t="s">
        <v>669</v>
      </c>
      <c r="I198" s="5" t="s">
        <v>30</v>
      </c>
      <c r="J198" s="5" t="s">
        <v>31</v>
      </c>
      <c r="K198" s="5" t="s">
        <v>31</v>
      </c>
      <c r="L198" s="5" t="s">
        <v>32</v>
      </c>
      <c r="M198" s="5" t="s">
        <v>31</v>
      </c>
      <c r="N198" s="5" t="s">
        <v>31</v>
      </c>
      <c r="O198" s="5" t="s">
        <v>32</v>
      </c>
      <c r="P198" s="5" t="s">
        <v>33</v>
      </c>
      <c r="Q198" s="2">
        <v>45968</v>
      </c>
      <c r="V198" s="45">
        <f>IF(OR(ISNUMBER(SEARCH("unable to locate acct",G198)),ISNUMBER(SEARCH("unknown",G198)),ISNUMBER(SEARCH("inactive",G198)),H198=""),0,1)</f>
        <v>1</v>
      </c>
    </row>
    <row r="199" spans="1:22" hidden="1">
      <c r="A199" s="2">
        <v>45903</v>
      </c>
      <c r="B199" s="1" t="s">
        <v>670</v>
      </c>
      <c r="C199" s="1" t="s">
        <v>671</v>
      </c>
      <c r="D199" s="1" t="s">
        <v>196</v>
      </c>
      <c r="E199" s="1">
        <v>85383</v>
      </c>
      <c r="F199" s="1" t="s">
        <v>304</v>
      </c>
      <c r="G199" s="1" t="s">
        <v>497</v>
      </c>
      <c r="H199" s="4" t="s">
        <v>672</v>
      </c>
      <c r="I199" s="5" t="s">
        <v>30</v>
      </c>
      <c r="J199" s="5" t="s">
        <v>31</v>
      </c>
      <c r="K199" s="5" t="s">
        <v>31</v>
      </c>
      <c r="L199" s="5" t="s">
        <v>32</v>
      </c>
      <c r="M199" s="5" t="s">
        <v>31</v>
      </c>
      <c r="N199" s="5" t="s">
        <v>31</v>
      </c>
      <c r="O199" s="5" t="s">
        <v>32</v>
      </c>
      <c r="P199" s="5" t="s">
        <v>33</v>
      </c>
      <c r="Q199" s="2">
        <v>45968</v>
      </c>
      <c r="V199" s="45">
        <f>IF(OR(ISNUMBER(SEARCH("unable to locate acct",G199)),ISNUMBER(SEARCH("unknown",G199)),ISNUMBER(SEARCH("inactive",G199)),H199=""),0,1)</f>
        <v>1</v>
      </c>
    </row>
    <row r="200" spans="1:22" hidden="1">
      <c r="A200" s="2">
        <v>45903</v>
      </c>
      <c r="B200" s="1" t="s">
        <v>673</v>
      </c>
      <c r="C200" s="1" t="s">
        <v>674</v>
      </c>
      <c r="D200" s="1" t="s">
        <v>57</v>
      </c>
      <c r="E200" s="1">
        <v>85085</v>
      </c>
      <c r="F200" s="1" t="s">
        <v>675</v>
      </c>
      <c r="G200" s="1" t="s">
        <v>497</v>
      </c>
      <c r="H200" s="4" t="s">
        <v>21</v>
      </c>
      <c r="V200" s="45">
        <f>IF(OR(ISNUMBER(SEARCH("unable to locate acct",G200)),ISNUMBER(SEARCH("unknown",G200)),ISNUMBER(SEARCH("inactive",G200)),H200=""),0,1)</f>
        <v>1</v>
      </c>
    </row>
    <row r="201" spans="1:22" hidden="1">
      <c r="A201" s="2">
        <v>45903</v>
      </c>
      <c r="B201" s="1" t="s">
        <v>676</v>
      </c>
      <c r="C201" s="1" t="s">
        <v>412</v>
      </c>
      <c r="D201" s="1" t="s">
        <v>57</v>
      </c>
      <c r="E201" s="1">
        <v>85326</v>
      </c>
      <c r="F201" s="1" t="s">
        <v>304</v>
      </c>
      <c r="G201" s="1" t="s">
        <v>497</v>
      </c>
      <c r="H201" s="4" t="s">
        <v>21</v>
      </c>
      <c r="V201" s="45">
        <f>IF(OR(ISNUMBER(SEARCH("unable to locate acct",G201)),ISNUMBER(SEARCH("unknown",G201)),ISNUMBER(SEARCH("inactive",G201)),H201=""),0,1)</f>
        <v>1</v>
      </c>
    </row>
    <row r="202" spans="1:22" hidden="1">
      <c r="A202" s="2">
        <v>45903</v>
      </c>
      <c r="B202" s="1" t="s">
        <v>677</v>
      </c>
      <c r="C202" s="1" t="s">
        <v>678</v>
      </c>
      <c r="D202" s="1" t="s">
        <v>62</v>
      </c>
      <c r="E202" s="1">
        <v>85331</v>
      </c>
      <c r="F202" s="1" t="s">
        <v>304</v>
      </c>
      <c r="G202" s="1" t="s">
        <v>497</v>
      </c>
      <c r="H202" s="4" t="s">
        <v>21</v>
      </c>
      <c r="V202" s="45">
        <f>IF(OR(ISNUMBER(SEARCH("unable to locate acct",G202)),ISNUMBER(SEARCH("unknown",G202)),ISNUMBER(SEARCH("inactive",G202)),H202=""),0,1)</f>
        <v>1</v>
      </c>
    </row>
    <row r="203" spans="1:22" hidden="1">
      <c r="A203" s="2">
        <v>45903</v>
      </c>
      <c r="B203" s="1" t="s">
        <v>679</v>
      </c>
      <c r="C203" s="1" t="s">
        <v>306</v>
      </c>
      <c r="D203" s="1" t="s">
        <v>57</v>
      </c>
      <c r="E203" s="1">
        <v>85053</v>
      </c>
      <c r="F203" s="1" t="s">
        <v>304</v>
      </c>
      <c r="G203" s="1" t="s">
        <v>497</v>
      </c>
      <c r="H203" s="4" t="s">
        <v>203</v>
      </c>
      <c r="V203" s="45">
        <f>IF(OR(ISNUMBER(SEARCH("unable to locate acct",G203)),ISNUMBER(SEARCH("unknown",G203)),ISNUMBER(SEARCH("inactive",G203)),H203=""),0,1)</f>
        <v>1</v>
      </c>
    </row>
    <row r="204" spans="1:22" hidden="1">
      <c r="A204" s="2">
        <v>45903</v>
      </c>
      <c r="B204" s="1" t="s">
        <v>680</v>
      </c>
      <c r="C204" s="1" t="s">
        <v>681</v>
      </c>
      <c r="D204" s="1" t="s">
        <v>57</v>
      </c>
      <c r="E204" s="1">
        <v>85040</v>
      </c>
      <c r="F204" s="1" t="s">
        <v>682</v>
      </c>
      <c r="G204" s="1" t="s">
        <v>497</v>
      </c>
      <c r="H204" s="4" t="s">
        <v>21</v>
      </c>
      <c r="V204" s="45">
        <f>IF(OR(ISNUMBER(SEARCH("unable to locate acct",G204)),ISNUMBER(SEARCH("unknown",G204)),ISNUMBER(SEARCH("inactive",G204)),H204=""),0,1)</f>
        <v>1</v>
      </c>
    </row>
    <row r="205" spans="1:22" hidden="1">
      <c r="A205" s="2">
        <v>45903</v>
      </c>
      <c r="B205" s="1" t="s">
        <v>683</v>
      </c>
      <c r="C205" s="1" t="s">
        <v>684</v>
      </c>
      <c r="D205" s="1" t="s">
        <v>196</v>
      </c>
      <c r="E205" s="1">
        <v>85383</v>
      </c>
      <c r="F205" s="1" t="s">
        <v>304</v>
      </c>
      <c r="G205" s="1" t="s">
        <v>497</v>
      </c>
      <c r="H205" s="4" t="s">
        <v>685</v>
      </c>
      <c r="I205" s="5" t="s">
        <v>190</v>
      </c>
      <c r="J205" s="5" t="s">
        <v>31</v>
      </c>
      <c r="K205" s="5" t="s">
        <v>31</v>
      </c>
      <c r="L205" s="7" t="s">
        <v>686</v>
      </c>
      <c r="M205" s="5" t="s">
        <v>31</v>
      </c>
      <c r="N205" s="5" t="s">
        <v>31</v>
      </c>
      <c r="O205" s="5" t="s">
        <v>32</v>
      </c>
      <c r="P205" s="2">
        <v>45933</v>
      </c>
      <c r="Q205" s="2">
        <v>45968</v>
      </c>
      <c r="R205" s="1" t="s">
        <v>552</v>
      </c>
      <c r="V205" s="45">
        <f>IF(OR(ISNUMBER(SEARCH("unable to locate acct",G205)),ISNUMBER(SEARCH("unknown",G205)),ISNUMBER(SEARCH("inactive",G205)),H205=""),0,1)</f>
        <v>1</v>
      </c>
    </row>
    <row r="206" spans="1:22" hidden="1">
      <c r="A206" s="2">
        <v>45903</v>
      </c>
      <c r="B206" s="1" t="s">
        <v>687</v>
      </c>
      <c r="C206" s="1" t="s">
        <v>688</v>
      </c>
      <c r="D206" s="1" t="s">
        <v>689</v>
      </c>
      <c r="E206" s="1">
        <v>85375</v>
      </c>
      <c r="F206" s="1" t="s">
        <v>690</v>
      </c>
      <c r="G206" s="1" t="s">
        <v>497</v>
      </c>
      <c r="H206" s="4" t="s">
        <v>691</v>
      </c>
      <c r="I206" s="5" t="s">
        <v>67</v>
      </c>
      <c r="J206" s="5" t="s">
        <v>31</v>
      </c>
      <c r="K206" s="5" t="s">
        <v>31</v>
      </c>
      <c r="L206" s="5" t="s">
        <v>32</v>
      </c>
      <c r="M206" s="5" t="s">
        <v>31</v>
      </c>
      <c r="N206" s="5" t="s">
        <v>31</v>
      </c>
      <c r="O206" s="5" t="s">
        <v>32</v>
      </c>
      <c r="P206" s="5" t="s">
        <v>33</v>
      </c>
      <c r="Q206" s="2">
        <v>45968</v>
      </c>
      <c r="V206" s="45">
        <f>IF(OR(ISNUMBER(SEARCH("unable to locate acct",G206)),ISNUMBER(SEARCH("unknown",G206)),ISNUMBER(SEARCH("inactive",G206)),H206=""),0,1)</f>
        <v>1</v>
      </c>
    </row>
    <row r="207" spans="1:22" hidden="1">
      <c r="A207" s="2">
        <v>45903</v>
      </c>
      <c r="B207" s="1" t="s">
        <v>692</v>
      </c>
      <c r="C207" s="1" t="s">
        <v>693</v>
      </c>
      <c r="D207" s="1" t="s">
        <v>163</v>
      </c>
      <c r="E207" s="1">
        <v>85395</v>
      </c>
      <c r="F207" s="1" t="s">
        <v>694</v>
      </c>
      <c r="G207" s="1" t="s">
        <v>497</v>
      </c>
      <c r="H207" s="4" t="s">
        <v>84</v>
      </c>
      <c r="V207" s="45">
        <f>IF(OR(ISNUMBER(SEARCH("unable to locate acct",G207)),ISNUMBER(SEARCH("unknown",G207)),ISNUMBER(SEARCH("inactive",G207)),H207=""),0,1)</f>
        <v>1</v>
      </c>
    </row>
    <row r="208" spans="1:22" hidden="1">
      <c r="A208" s="2">
        <v>45903</v>
      </c>
      <c r="B208" s="1" t="s">
        <v>695</v>
      </c>
      <c r="C208" s="1" t="s">
        <v>387</v>
      </c>
      <c r="D208" s="1" t="s">
        <v>57</v>
      </c>
      <c r="E208" s="1">
        <v>85003</v>
      </c>
      <c r="F208" s="1" t="s">
        <v>304</v>
      </c>
      <c r="G208" s="1" t="s">
        <v>497</v>
      </c>
      <c r="H208" s="4" t="s">
        <v>21</v>
      </c>
      <c r="V208" s="45">
        <f>IF(OR(ISNUMBER(SEARCH("unable to locate acct",G208)),ISNUMBER(SEARCH("unknown",G208)),ISNUMBER(SEARCH("inactive",G208)),H208=""),0,1)</f>
        <v>1</v>
      </c>
    </row>
    <row r="209" spans="1:22" hidden="1">
      <c r="A209" s="2">
        <v>45903</v>
      </c>
      <c r="B209" s="1" t="s">
        <v>360</v>
      </c>
      <c r="C209" s="1" t="s">
        <v>696</v>
      </c>
      <c r="D209" s="1" t="s">
        <v>234</v>
      </c>
      <c r="E209" s="1">
        <v>85340</v>
      </c>
      <c r="F209" s="1" t="s">
        <v>304</v>
      </c>
      <c r="G209" s="1" t="s">
        <v>497</v>
      </c>
      <c r="H209" s="4" t="s">
        <v>21</v>
      </c>
      <c r="V209" s="45">
        <f>IF(OR(ISNUMBER(SEARCH("unable to locate acct",G209)),ISNUMBER(SEARCH("unknown",G209)),ISNUMBER(SEARCH("inactive",G209)),H209=""),0,1)</f>
        <v>1</v>
      </c>
    </row>
    <row r="210" spans="1:22" hidden="1">
      <c r="A210" s="2">
        <v>45903</v>
      </c>
      <c r="B210" s="1" t="s">
        <v>697</v>
      </c>
      <c r="C210" s="1" t="s">
        <v>698</v>
      </c>
      <c r="D210" s="1" t="s">
        <v>106</v>
      </c>
      <c r="E210" s="1">
        <v>85388</v>
      </c>
      <c r="F210" s="1" t="s">
        <v>699</v>
      </c>
      <c r="G210" s="1" t="s">
        <v>497</v>
      </c>
      <c r="H210" s="4" t="s">
        <v>700</v>
      </c>
      <c r="I210" s="5" t="s">
        <v>30</v>
      </c>
      <c r="J210" s="5" t="s">
        <v>31</v>
      </c>
      <c r="K210" s="5" t="s">
        <v>31</v>
      </c>
      <c r="L210" s="5" t="s">
        <v>32</v>
      </c>
      <c r="M210" s="5" t="s">
        <v>31</v>
      </c>
      <c r="N210" s="5" t="s">
        <v>31</v>
      </c>
      <c r="O210" s="5" t="s">
        <v>32</v>
      </c>
      <c r="P210" s="5" t="s">
        <v>33</v>
      </c>
      <c r="Q210" s="2">
        <v>45968</v>
      </c>
      <c r="V210" s="45">
        <f>IF(OR(ISNUMBER(SEARCH("unable to locate acct",G210)),ISNUMBER(SEARCH("unknown",G210)),ISNUMBER(SEARCH("inactive",G210)),H210=""),0,1)</f>
        <v>1</v>
      </c>
    </row>
    <row r="211" spans="1:22" hidden="1">
      <c r="A211" s="2">
        <v>45903</v>
      </c>
      <c r="B211" s="1" t="s">
        <v>701</v>
      </c>
      <c r="C211" s="1" t="s">
        <v>702</v>
      </c>
      <c r="D211" s="1" t="s">
        <v>168</v>
      </c>
      <c r="E211" s="1">
        <v>85326</v>
      </c>
      <c r="F211" s="1" t="s">
        <v>703</v>
      </c>
      <c r="G211" s="1" t="s">
        <v>497</v>
      </c>
      <c r="H211" s="4" t="s">
        <v>84</v>
      </c>
      <c r="V211" s="45">
        <f>IF(OR(ISNUMBER(SEARCH("unable to locate acct",G211)),ISNUMBER(SEARCH("unknown",G211)),ISNUMBER(SEARCH("inactive",G211)),H211=""),0,1)</f>
        <v>1</v>
      </c>
    </row>
    <row r="212" spans="1:22" hidden="1">
      <c r="A212" s="2">
        <v>45903</v>
      </c>
      <c r="B212" s="1" t="s">
        <v>704</v>
      </c>
      <c r="C212" s="1" t="s">
        <v>705</v>
      </c>
      <c r="D212" s="1" t="s">
        <v>57</v>
      </c>
      <c r="E212" s="1">
        <v>85085</v>
      </c>
      <c r="F212" s="1" t="s">
        <v>304</v>
      </c>
      <c r="G212" s="1" t="s">
        <v>497</v>
      </c>
      <c r="H212" s="4" t="s">
        <v>706</v>
      </c>
      <c r="I212" s="5" t="s">
        <v>30</v>
      </c>
      <c r="J212" s="5" t="s">
        <v>31</v>
      </c>
      <c r="K212" s="5" t="s">
        <v>31</v>
      </c>
      <c r="L212" s="5" t="s">
        <v>32</v>
      </c>
      <c r="M212" s="5" t="s">
        <v>31</v>
      </c>
      <c r="N212" s="5" t="s">
        <v>31</v>
      </c>
      <c r="O212" s="5" t="s">
        <v>32</v>
      </c>
      <c r="P212" s="5" t="s">
        <v>33</v>
      </c>
      <c r="Q212" s="2">
        <v>45968</v>
      </c>
      <c r="V212" s="45">
        <f>IF(OR(ISNUMBER(SEARCH("unable to locate acct",G212)),ISNUMBER(SEARCH("unknown",G212)),ISNUMBER(SEARCH("inactive",G212)),H212=""),0,1)</f>
        <v>1</v>
      </c>
    </row>
    <row r="213" spans="1:22" ht="12.75" hidden="1" customHeight="1">
      <c r="A213" s="2">
        <v>45903</v>
      </c>
      <c r="B213" s="1" t="s">
        <v>707</v>
      </c>
      <c r="C213" s="1" t="s">
        <v>708</v>
      </c>
      <c r="D213" s="1" t="s">
        <v>234</v>
      </c>
      <c r="E213" s="1">
        <v>85340</v>
      </c>
      <c r="F213" s="1" t="s">
        <v>709</v>
      </c>
      <c r="G213" s="1" t="s">
        <v>497</v>
      </c>
      <c r="H213" s="4" t="s">
        <v>710</v>
      </c>
      <c r="I213" s="17" t="s">
        <v>711</v>
      </c>
      <c r="J213" s="5" t="s">
        <v>31</v>
      </c>
      <c r="K213" s="5" t="s">
        <v>31</v>
      </c>
      <c r="L213" s="5" t="s">
        <v>712</v>
      </c>
      <c r="M213" s="5" t="s">
        <v>31</v>
      </c>
      <c r="N213" s="5" t="s">
        <v>31</v>
      </c>
      <c r="O213" s="5" t="s">
        <v>32</v>
      </c>
      <c r="P213" s="5" t="s">
        <v>33</v>
      </c>
      <c r="Q213" s="2">
        <v>45968</v>
      </c>
      <c r="V213" s="45">
        <f>IF(OR(ISNUMBER(SEARCH("unable to locate acct",G213)),ISNUMBER(SEARCH("unknown",G213)),ISNUMBER(SEARCH("inactive",G213)),H213=""),0,1)</f>
        <v>1</v>
      </c>
    </row>
    <row r="214" spans="1:22" hidden="1">
      <c r="A214" s="2">
        <v>45903</v>
      </c>
      <c r="B214" s="1" t="s">
        <v>677</v>
      </c>
      <c r="C214" s="1" t="s">
        <v>713</v>
      </c>
      <c r="D214" s="1" t="s">
        <v>363</v>
      </c>
      <c r="E214" s="1">
        <v>85225</v>
      </c>
      <c r="F214" s="1" t="s">
        <v>304</v>
      </c>
      <c r="G214" s="1" t="s">
        <v>497</v>
      </c>
      <c r="H214" s="4" t="s">
        <v>714</v>
      </c>
      <c r="I214" s="5" t="s">
        <v>30</v>
      </c>
      <c r="J214" s="5" t="s">
        <v>31</v>
      </c>
      <c r="K214" s="5" t="s">
        <v>31</v>
      </c>
      <c r="L214" s="5" t="s">
        <v>32</v>
      </c>
      <c r="M214" s="5" t="s">
        <v>31</v>
      </c>
      <c r="N214" s="5" t="s">
        <v>31</v>
      </c>
      <c r="O214" s="5" t="s">
        <v>32</v>
      </c>
      <c r="P214" s="5" t="s">
        <v>33</v>
      </c>
      <c r="Q214" s="2">
        <v>45968</v>
      </c>
      <c r="U214" s="1" t="s">
        <v>715</v>
      </c>
      <c r="V214" s="45">
        <f>IF(OR(ISNUMBER(SEARCH("unable to locate acct",G214)),ISNUMBER(SEARCH("unknown",G214)),ISNUMBER(SEARCH("inactive",G214)),H214=""),0,1)</f>
        <v>1</v>
      </c>
    </row>
    <row r="215" spans="1:22" hidden="1">
      <c r="A215" s="2">
        <v>45903</v>
      </c>
      <c r="B215" s="1" t="s">
        <v>716</v>
      </c>
      <c r="C215" s="1" t="s">
        <v>147</v>
      </c>
      <c r="D215" s="1" t="s">
        <v>57</v>
      </c>
      <c r="E215" s="1">
        <v>85051</v>
      </c>
      <c r="F215" s="1" t="s">
        <v>304</v>
      </c>
      <c r="G215" s="1" t="s">
        <v>497</v>
      </c>
      <c r="H215" s="4" t="s">
        <v>717</v>
      </c>
      <c r="I215" s="5" t="s">
        <v>67</v>
      </c>
      <c r="J215" s="5" t="s">
        <v>31</v>
      </c>
      <c r="K215" s="5" t="s">
        <v>31</v>
      </c>
      <c r="L215" s="5" t="s">
        <v>32</v>
      </c>
      <c r="M215" s="5" t="s">
        <v>31</v>
      </c>
      <c r="N215" s="5" t="s">
        <v>31</v>
      </c>
      <c r="O215" s="5" t="s">
        <v>32</v>
      </c>
      <c r="P215" s="5" t="s">
        <v>33</v>
      </c>
      <c r="Q215" s="2">
        <v>45968</v>
      </c>
      <c r="V215" s="45">
        <f>IF(OR(ISNUMBER(SEARCH("unable to locate acct",G215)),ISNUMBER(SEARCH("unknown",G215)),ISNUMBER(SEARCH("inactive",G215)),H215=""),0,1)</f>
        <v>1</v>
      </c>
    </row>
    <row r="216" spans="1:22" hidden="1">
      <c r="A216" s="2">
        <v>45903</v>
      </c>
      <c r="B216" s="1" t="s">
        <v>718</v>
      </c>
      <c r="C216" s="1" t="s">
        <v>719</v>
      </c>
      <c r="D216" s="1" t="s">
        <v>57</v>
      </c>
      <c r="E216" s="1">
        <v>85393</v>
      </c>
      <c r="F216" s="1" t="s">
        <v>304</v>
      </c>
      <c r="G216" s="1" t="s">
        <v>497</v>
      </c>
      <c r="H216" s="4" t="s">
        <v>21</v>
      </c>
      <c r="V216" s="45">
        <f>IF(OR(ISNUMBER(SEARCH("unable to locate acct",G216)),ISNUMBER(SEARCH("unknown",G216)),ISNUMBER(SEARCH("inactive",G216)),H216=""),0,1)</f>
        <v>1</v>
      </c>
    </row>
    <row r="217" spans="1:22" hidden="1">
      <c r="A217" s="2">
        <v>45903</v>
      </c>
      <c r="B217" s="1" t="s">
        <v>720</v>
      </c>
      <c r="C217" s="1" t="s">
        <v>681</v>
      </c>
      <c r="D217" s="1" t="s">
        <v>106</v>
      </c>
      <c r="E217" s="1">
        <v>85388</v>
      </c>
      <c r="F217" s="1" t="s">
        <v>721</v>
      </c>
      <c r="G217" s="1" t="s">
        <v>497</v>
      </c>
      <c r="H217" s="4" t="s">
        <v>722</v>
      </c>
      <c r="I217" s="5" t="s">
        <v>40</v>
      </c>
      <c r="J217" s="5" t="s">
        <v>31</v>
      </c>
      <c r="K217" s="5" t="s">
        <v>31</v>
      </c>
      <c r="L217" s="5" t="s">
        <v>32</v>
      </c>
      <c r="M217" s="5" t="s">
        <v>31</v>
      </c>
      <c r="N217" s="5" t="s">
        <v>31</v>
      </c>
      <c r="O217" s="5" t="s">
        <v>32</v>
      </c>
      <c r="P217" s="5" t="s">
        <v>33</v>
      </c>
      <c r="Q217" s="2">
        <v>45968</v>
      </c>
      <c r="V217" s="45">
        <f>IF(OR(ISNUMBER(SEARCH("unable to locate acct",G217)),ISNUMBER(SEARCH("unknown",G217)),ISNUMBER(SEARCH("inactive",G217)),H217=""),0,1)</f>
        <v>1</v>
      </c>
    </row>
    <row r="218" spans="1:22" hidden="1">
      <c r="A218" s="2">
        <v>45903</v>
      </c>
      <c r="B218" s="1" t="s">
        <v>723</v>
      </c>
      <c r="C218" s="1" t="s">
        <v>724</v>
      </c>
      <c r="D218" s="1" t="s">
        <v>163</v>
      </c>
      <c r="E218" s="1">
        <v>85338</v>
      </c>
      <c r="F218" s="1" t="s">
        <v>725</v>
      </c>
      <c r="G218" s="1" t="s">
        <v>497</v>
      </c>
      <c r="H218" s="4" t="s">
        <v>726</v>
      </c>
      <c r="I218" s="5" t="s">
        <v>67</v>
      </c>
      <c r="J218" s="5" t="s">
        <v>31</v>
      </c>
      <c r="K218" s="5" t="s">
        <v>31</v>
      </c>
      <c r="L218" s="5" t="s">
        <v>32</v>
      </c>
      <c r="M218" s="5" t="s">
        <v>31</v>
      </c>
      <c r="N218" s="5" t="s">
        <v>31</v>
      </c>
      <c r="O218" s="5" t="s">
        <v>32</v>
      </c>
      <c r="P218" s="5" t="s">
        <v>33</v>
      </c>
      <c r="Q218" s="2">
        <v>45968</v>
      </c>
      <c r="V218" s="45">
        <f>IF(OR(ISNUMBER(SEARCH("unable to locate acct",G218)),ISNUMBER(SEARCH("unknown",G218)),ISNUMBER(SEARCH("inactive",G218)),H218=""),0,1)</f>
        <v>1</v>
      </c>
    </row>
    <row r="219" spans="1:22" hidden="1">
      <c r="A219" s="2">
        <v>45903</v>
      </c>
      <c r="B219" s="1" t="s">
        <v>727</v>
      </c>
      <c r="C219" s="1" t="s">
        <v>403</v>
      </c>
      <c r="D219" s="1" t="s">
        <v>728</v>
      </c>
      <c r="E219" s="1">
        <v>86326</v>
      </c>
      <c r="F219" s="1" t="s">
        <v>729</v>
      </c>
      <c r="G219" s="1" t="s">
        <v>497</v>
      </c>
      <c r="H219" s="4" t="s">
        <v>730</v>
      </c>
      <c r="I219" s="5" t="s">
        <v>532</v>
      </c>
      <c r="J219" s="5" t="s">
        <v>31</v>
      </c>
      <c r="K219" s="5" t="s">
        <v>31</v>
      </c>
      <c r="L219" s="5" t="s">
        <v>381</v>
      </c>
      <c r="M219" s="5" t="s">
        <v>31</v>
      </c>
      <c r="N219" s="5" t="s">
        <v>31</v>
      </c>
      <c r="O219" s="5" t="s">
        <v>32</v>
      </c>
      <c r="P219" s="5" t="s">
        <v>33</v>
      </c>
      <c r="Q219" s="2">
        <v>45968</v>
      </c>
      <c r="V219" s="45">
        <f>IF(OR(ISNUMBER(SEARCH("unable to locate acct",G219)),ISNUMBER(SEARCH("unknown",G219)),ISNUMBER(SEARCH("inactive",G219)),H219=""),0,1)</f>
        <v>1</v>
      </c>
    </row>
    <row r="220" spans="1:22" hidden="1">
      <c r="A220" s="2">
        <v>45903</v>
      </c>
      <c r="B220" s="1" t="s">
        <v>731</v>
      </c>
      <c r="C220" s="1" t="s">
        <v>588</v>
      </c>
      <c r="D220" s="1" t="s">
        <v>163</v>
      </c>
      <c r="E220" s="1">
        <v>85338</v>
      </c>
      <c r="F220" s="1" t="s">
        <v>732</v>
      </c>
      <c r="G220" s="1" t="s">
        <v>497</v>
      </c>
      <c r="H220" s="4" t="s">
        <v>733</v>
      </c>
      <c r="I220" s="5" t="s">
        <v>532</v>
      </c>
      <c r="J220" s="5" t="s">
        <v>31</v>
      </c>
      <c r="K220" s="5" t="s">
        <v>31</v>
      </c>
      <c r="L220" s="5" t="s">
        <v>381</v>
      </c>
      <c r="M220" s="5" t="s">
        <v>31</v>
      </c>
      <c r="N220" s="5" t="s">
        <v>31</v>
      </c>
      <c r="O220" s="5" t="s">
        <v>32</v>
      </c>
      <c r="P220" s="5" t="s">
        <v>33</v>
      </c>
      <c r="Q220" s="2">
        <v>45968</v>
      </c>
      <c r="V220" s="45">
        <f>IF(OR(ISNUMBER(SEARCH("unable to locate acct",G220)),ISNUMBER(SEARCH("unknown",G220)),ISNUMBER(SEARCH("inactive",G220)),H220=""),0,1)</f>
        <v>1</v>
      </c>
    </row>
    <row r="221" spans="1:22" hidden="1">
      <c r="A221" s="2">
        <v>45903</v>
      </c>
      <c r="B221" s="1" t="s">
        <v>734</v>
      </c>
      <c r="C221" s="1" t="s">
        <v>735</v>
      </c>
      <c r="D221" s="1" t="s">
        <v>57</v>
      </c>
      <c r="E221" s="1">
        <v>85023</v>
      </c>
      <c r="F221" s="1" t="s">
        <v>304</v>
      </c>
      <c r="G221" s="1" t="s">
        <v>497</v>
      </c>
      <c r="H221" s="4" t="s">
        <v>736</v>
      </c>
      <c r="I221" s="5" t="s">
        <v>30</v>
      </c>
      <c r="J221" s="5" t="s">
        <v>31</v>
      </c>
      <c r="K221" s="5" t="s">
        <v>31</v>
      </c>
      <c r="L221" s="5" t="s">
        <v>32</v>
      </c>
      <c r="M221" s="5" t="s">
        <v>31</v>
      </c>
      <c r="N221" s="5" t="s">
        <v>31</v>
      </c>
      <c r="O221" s="5" t="s">
        <v>32</v>
      </c>
      <c r="P221" s="5" t="s">
        <v>33</v>
      </c>
      <c r="Q221" s="2">
        <v>45968</v>
      </c>
      <c r="V221" s="45">
        <f>IF(OR(ISNUMBER(SEARCH("unable to locate acct",G221)),ISNUMBER(SEARCH("unknown",G221)),ISNUMBER(SEARCH("inactive",G221)),H221=""),0,1)</f>
        <v>1</v>
      </c>
    </row>
    <row r="222" spans="1:22" hidden="1">
      <c r="A222" s="2">
        <v>45903</v>
      </c>
      <c r="B222" s="1" t="s">
        <v>737</v>
      </c>
      <c r="C222" s="1" t="s">
        <v>738</v>
      </c>
      <c r="D222" s="1" t="s">
        <v>196</v>
      </c>
      <c r="E222" s="1">
        <v>85383</v>
      </c>
      <c r="F222" s="1" t="s">
        <v>739</v>
      </c>
      <c r="G222" s="1" t="s">
        <v>497</v>
      </c>
      <c r="H222" s="4" t="s">
        <v>740</v>
      </c>
      <c r="I222" s="5" t="s">
        <v>120</v>
      </c>
      <c r="J222" s="5" t="s">
        <v>31</v>
      </c>
      <c r="K222" s="5" t="s">
        <v>31</v>
      </c>
      <c r="L222" s="5" t="s">
        <v>32</v>
      </c>
      <c r="M222" s="5" t="s">
        <v>31</v>
      </c>
      <c r="N222" s="5" t="s">
        <v>31</v>
      </c>
      <c r="O222" s="5" t="s">
        <v>32</v>
      </c>
      <c r="P222" s="5" t="s">
        <v>33</v>
      </c>
      <c r="Q222" s="2">
        <v>45968</v>
      </c>
      <c r="V222" s="45">
        <f>IF(OR(ISNUMBER(SEARCH("unable to locate acct",G222)),ISNUMBER(SEARCH("unknown",G222)),ISNUMBER(SEARCH("inactive",G222)),H222=""),0,1)</f>
        <v>1</v>
      </c>
    </row>
    <row r="223" spans="1:22" hidden="1">
      <c r="A223" s="2">
        <v>45903</v>
      </c>
      <c r="B223" s="1" t="s">
        <v>741</v>
      </c>
      <c r="C223" s="1" t="s">
        <v>224</v>
      </c>
      <c r="D223" s="1" t="s">
        <v>163</v>
      </c>
      <c r="E223" s="1">
        <v>85395</v>
      </c>
      <c r="F223" s="1" t="s">
        <v>742</v>
      </c>
      <c r="G223" s="1" t="s">
        <v>497</v>
      </c>
      <c r="H223" s="4" t="s">
        <v>21</v>
      </c>
      <c r="U223" s="1" t="s">
        <v>715</v>
      </c>
      <c r="V223" s="45">
        <f>IF(OR(ISNUMBER(SEARCH("unable to locate acct",G223)),ISNUMBER(SEARCH("unknown",G223)),ISNUMBER(SEARCH("inactive",G223)),H223=""),0,1)</f>
        <v>1</v>
      </c>
    </row>
    <row r="224" spans="1:22" hidden="1">
      <c r="A224" s="2">
        <v>45903</v>
      </c>
      <c r="B224" s="1" t="s">
        <v>743</v>
      </c>
      <c r="C224" s="1" t="s">
        <v>403</v>
      </c>
      <c r="D224" s="1" t="s">
        <v>57</v>
      </c>
      <c r="E224" s="1">
        <v>85085</v>
      </c>
      <c r="F224" s="1" t="s">
        <v>304</v>
      </c>
      <c r="G224" s="1" t="s">
        <v>497</v>
      </c>
      <c r="H224" s="4" t="s">
        <v>744</v>
      </c>
      <c r="I224" s="5" t="s">
        <v>67</v>
      </c>
      <c r="J224" s="5" t="s">
        <v>31</v>
      </c>
      <c r="K224" s="5" t="s">
        <v>31</v>
      </c>
      <c r="L224" s="5" t="s">
        <v>32</v>
      </c>
      <c r="M224" s="5" t="s">
        <v>31</v>
      </c>
      <c r="N224" s="5" t="s">
        <v>31</v>
      </c>
      <c r="O224" s="5" t="s">
        <v>32</v>
      </c>
      <c r="P224" s="5" t="s">
        <v>33</v>
      </c>
      <c r="Q224" s="2">
        <v>45968</v>
      </c>
      <c r="V224" s="45">
        <f>IF(OR(ISNUMBER(SEARCH("unable to locate acct",G224)),ISNUMBER(SEARCH("unknown",G224)),ISNUMBER(SEARCH("inactive",G224)),H224=""),0,1)</f>
        <v>1</v>
      </c>
    </row>
    <row r="225" spans="1:22" hidden="1">
      <c r="A225" s="2">
        <v>45903</v>
      </c>
      <c r="B225" s="1" t="s">
        <v>745</v>
      </c>
      <c r="C225" s="1" t="s">
        <v>746</v>
      </c>
      <c r="D225" s="1" t="s">
        <v>57</v>
      </c>
      <c r="E225" s="1">
        <v>85034</v>
      </c>
      <c r="F225" s="1" t="s">
        <v>25</v>
      </c>
      <c r="G225" s="1" t="s">
        <v>497</v>
      </c>
      <c r="H225" s="4" t="s">
        <v>84</v>
      </c>
      <c r="V225" s="45">
        <f>IF(OR(ISNUMBER(SEARCH("unable to locate acct",G225)),ISNUMBER(SEARCH("unknown",G225)),ISNUMBER(SEARCH("inactive",G225)),H225=""),0,1)</f>
        <v>1</v>
      </c>
    </row>
    <row r="226" spans="1:22" hidden="1">
      <c r="A226" s="2">
        <v>45903</v>
      </c>
      <c r="B226" s="1" t="s">
        <v>747</v>
      </c>
      <c r="C226" s="1" t="s">
        <v>748</v>
      </c>
      <c r="D226" s="1" t="s">
        <v>18</v>
      </c>
      <c r="E226" s="1">
        <v>85310</v>
      </c>
      <c r="F226" s="1" t="s">
        <v>749</v>
      </c>
      <c r="G226" s="1" t="s">
        <v>497</v>
      </c>
      <c r="H226" s="4" t="s">
        <v>750</v>
      </c>
      <c r="I226" s="5" t="s">
        <v>30</v>
      </c>
      <c r="J226" s="5" t="s">
        <v>31</v>
      </c>
      <c r="K226" s="5" t="s">
        <v>31</v>
      </c>
      <c r="L226" s="5" t="s">
        <v>32</v>
      </c>
      <c r="M226" s="5" t="s">
        <v>31</v>
      </c>
      <c r="N226" s="5" t="s">
        <v>31</v>
      </c>
      <c r="O226" s="5" t="s">
        <v>32</v>
      </c>
      <c r="P226" s="5" t="s">
        <v>33</v>
      </c>
      <c r="Q226" s="2">
        <v>45968</v>
      </c>
      <c r="V226" s="45">
        <f>IF(OR(ISNUMBER(SEARCH("unable to locate acct",G226)),ISNUMBER(SEARCH("unknown",G226)),ISNUMBER(SEARCH("inactive",G226)),H226=""),0,1)</f>
        <v>1</v>
      </c>
    </row>
    <row r="227" spans="1:22" hidden="1">
      <c r="A227" s="2">
        <v>45903</v>
      </c>
      <c r="B227" s="1" t="s">
        <v>221</v>
      </c>
      <c r="C227" s="1" t="s">
        <v>751</v>
      </c>
      <c r="D227" s="1" t="s">
        <v>106</v>
      </c>
      <c r="E227" s="1">
        <v>85388</v>
      </c>
      <c r="F227" s="1" t="s">
        <v>752</v>
      </c>
      <c r="G227" s="1" t="s">
        <v>497</v>
      </c>
      <c r="H227" s="4" t="s">
        <v>203</v>
      </c>
      <c r="V227" s="45">
        <f>IF(OR(ISNUMBER(SEARCH("unable to locate acct",G227)),ISNUMBER(SEARCH("unknown",G227)),ISNUMBER(SEARCH("inactive",G227)),H227=""),0,1)</f>
        <v>1</v>
      </c>
    </row>
    <row r="228" spans="1:22" hidden="1">
      <c r="A228" s="2">
        <v>45903</v>
      </c>
      <c r="B228" s="1" t="s">
        <v>753</v>
      </c>
      <c r="C228" s="1" t="s">
        <v>754</v>
      </c>
      <c r="D228" s="1" t="s">
        <v>57</v>
      </c>
      <c r="E228" s="1">
        <v>85006</v>
      </c>
      <c r="F228" s="1" t="s">
        <v>304</v>
      </c>
      <c r="G228" s="1" t="s">
        <v>497</v>
      </c>
      <c r="H228" s="4" t="s">
        <v>755</v>
      </c>
      <c r="I228" s="5" t="s">
        <v>190</v>
      </c>
      <c r="J228" s="5" t="s">
        <v>31</v>
      </c>
      <c r="K228" s="5" t="s">
        <v>31</v>
      </c>
      <c r="L228" s="7" t="s">
        <v>756</v>
      </c>
      <c r="M228" s="5" t="s">
        <v>31</v>
      </c>
      <c r="N228" s="5" t="s">
        <v>31</v>
      </c>
      <c r="O228" s="5" t="s">
        <v>32</v>
      </c>
      <c r="P228" s="2">
        <v>45933</v>
      </c>
      <c r="Q228" s="2">
        <v>45968</v>
      </c>
      <c r="R228" s="1" t="s">
        <v>757</v>
      </c>
      <c r="V228" s="45">
        <f>IF(OR(ISNUMBER(SEARCH("unable to locate acct",G228)),ISNUMBER(SEARCH("unknown",G228)),ISNUMBER(SEARCH("inactive",G228)),H228=""),0,1)</f>
        <v>1</v>
      </c>
    </row>
    <row r="229" spans="1:22" hidden="1">
      <c r="A229" s="2">
        <v>45903</v>
      </c>
      <c r="B229" s="1" t="s">
        <v>758</v>
      </c>
      <c r="C229" s="1" t="s">
        <v>759</v>
      </c>
      <c r="D229" s="1" t="s">
        <v>119</v>
      </c>
      <c r="E229" s="1">
        <v>85254</v>
      </c>
      <c r="F229" s="1" t="s">
        <v>304</v>
      </c>
      <c r="G229" s="1" t="s">
        <v>497</v>
      </c>
      <c r="H229" s="4" t="s">
        <v>760</v>
      </c>
      <c r="I229" s="5" t="s">
        <v>190</v>
      </c>
      <c r="J229" s="5" t="s">
        <v>31</v>
      </c>
      <c r="K229" s="5" t="s">
        <v>31</v>
      </c>
      <c r="L229" s="5" t="s">
        <v>32</v>
      </c>
      <c r="M229" s="5" t="s">
        <v>31</v>
      </c>
      <c r="N229" s="5" t="s">
        <v>31</v>
      </c>
      <c r="O229" s="5" t="s">
        <v>32</v>
      </c>
      <c r="P229" s="5" t="s">
        <v>33</v>
      </c>
      <c r="Q229" s="2">
        <v>45968</v>
      </c>
      <c r="V229" s="45">
        <f>IF(OR(ISNUMBER(SEARCH("unable to locate acct",G229)),ISNUMBER(SEARCH("unknown",G229)),ISNUMBER(SEARCH("inactive",G229)),H229=""),0,1)</f>
        <v>1</v>
      </c>
    </row>
    <row r="230" spans="1:22" hidden="1">
      <c r="A230" s="2">
        <v>45903</v>
      </c>
      <c r="B230" s="1" t="s">
        <v>761</v>
      </c>
      <c r="C230" s="1" t="s">
        <v>762</v>
      </c>
      <c r="D230" s="1" t="s">
        <v>196</v>
      </c>
      <c r="E230" s="1">
        <v>85383</v>
      </c>
      <c r="F230" s="1" t="s">
        <v>763</v>
      </c>
      <c r="G230" s="1" t="s">
        <v>497</v>
      </c>
      <c r="H230" s="4" t="s">
        <v>764</v>
      </c>
      <c r="I230" s="5" t="s">
        <v>190</v>
      </c>
      <c r="J230" s="5" t="s">
        <v>32</v>
      </c>
      <c r="K230" s="5" t="s">
        <v>31</v>
      </c>
      <c r="L230" s="5" t="s">
        <v>32</v>
      </c>
      <c r="M230" s="5" t="s">
        <v>31</v>
      </c>
      <c r="N230" s="5" t="s">
        <v>31</v>
      </c>
      <c r="O230" s="5" t="s">
        <v>32</v>
      </c>
      <c r="P230" s="5" t="s">
        <v>33</v>
      </c>
      <c r="Q230" s="2">
        <v>45968</v>
      </c>
      <c r="V230" s="45">
        <f>IF(OR(ISNUMBER(SEARCH("unable to locate acct",G230)),ISNUMBER(SEARCH("unknown",G230)),ISNUMBER(SEARCH("inactive",G230)),H230=""),0,1)</f>
        <v>1</v>
      </c>
    </row>
    <row r="231" spans="1:22" hidden="1">
      <c r="A231" s="2">
        <v>45903</v>
      </c>
      <c r="B231" s="1" t="s">
        <v>765</v>
      </c>
      <c r="C231" s="1" t="s">
        <v>314</v>
      </c>
      <c r="D231" s="1" t="s">
        <v>420</v>
      </c>
      <c r="E231" s="1">
        <v>85335</v>
      </c>
      <c r="F231" s="1" t="s">
        <v>304</v>
      </c>
      <c r="G231" s="1" t="s">
        <v>497</v>
      </c>
      <c r="H231" s="4" t="s">
        <v>766</v>
      </c>
      <c r="I231" s="5" t="s">
        <v>30</v>
      </c>
      <c r="J231" s="5" t="s">
        <v>31</v>
      </c>
      <c r="K231" s="5" t="s">
        <v>31</v>
      </c>
      <c r="L231" s="5" t="s">
        <v>32</v>
      </c>
      <c r="M231" s="5" t="s">
        <v>31</v>
      </c>
      <c r="N231" s="5" t="s">
        <v>31</v>
      </c>
      <c r="O231" s="5" t="s">
        <v>32</v>
      </c>
      <c r="P231" s="5" t="s">
        <v>33</v>
      </c>
      <c r="Q231" s="2">
        <v>45968</v>
      </c>
      <c r="V231" s="45">
        <f>IF(OR(ISNUMBER(SEARCH("unable to locate acct",G231)),ISNUMBER(SEARCH("unknown",G231)),ISNUMBER(SEARCH("inactive",G231)),H231=""),0,1)</f>
        <v>1</v>
      </c>
    </row>
    <row r="232" spans="1:22" hidden="1">
      <c r="A232" s="2">
        <v>45903</v>
      </c>
      <c r="B232" s="1" t="s">
        <v>767</v>
      </c>
      <c r="C232" s="1" t="s">
        <v>768</v>
      </c>
      <c r="D232" s="1" t="s">
        <v>168</v>
      </c>
      <c r="E232" s="1">
        <v>85326</v>
      </c>
      <c r="F232" s="1" t="s">
        <v>304</v>
      </c>
      <c r="G232" s="1" t="s">
        <v>497</v>
      </c>
      <c r="H232" s="72" t="s">
        <v>5487</v>
      </c>
      <c r="I232" s="5" t="s">
        <v>30</v>
      </c>
      <c r="J232" s="5" t="s">
        <v>31</v>
      </c>
      <c r="K232" s="5" t="s">
        <v>31</v>
      </c>
      <c r="L232" s="5" t="s">
        <v>32</v>
      </c>
      <c r="M232" s="5" t="s">
        <v>31</v>
      </c>
      <c r="N232" s="5" t="s">
        <v>31</v>
      </c>
      <c r="O232" s="5" t="s">
        <v>32</v>
      </c>
      <c r="P232" s="5" t="s">
        <v>33</v>
      </c>
      <c r="Q232" s="2">
        <v>45968</v>
      </c>
      <c r="V232" s="45">
        <f>IF(OR(ISNUMBER(SEARCH("unable to locate acct",G232)),ISNUMBER(SEARCH("unknown",G232)),ISNUMBER(SEARCH("inactive",G232)),H232=""),0,1)</f>
        <v>1</v>
      </c>
    </row>
    <row r="233" spans="1:22" hidden="1">
      <c r="A233" s="2">
        <v>45903</v>
      </c>
      <c r="B233" s="1" t="s">
        <v>769</v>
      </c>
      <c r="C233" s="1" t="s">
        <v>770</v>
      </c>
      <c r="D233" s="1" t="s">
        <v>57</v>
      </c>
      <c r="E233" s="1">
        <v>85023</v>
      </c>
      <c r="F233" s="1" t="s">
        <v>25</v>
      </c>
      <c r="G233" s="1" t="s">
        <v>497</v>
      </c>
      <c r="H233" s="4" t="s">
        <v>84</v>
      </c>
      <c r="V233" s="45">
        <f>IF(OR(ISNUMBER(SEARCH("unable to locate acct",G233)),ISNUMBER(SEARCH("unknown",G233)),ISNUMBER(SEARCH("inactive",G233)),H233=""),0,1)</f>
        <v>1</v>
      </c>
    </row>
    <row r="234" spans="1:22" hidden="1">
      <c r="A234" s="2">
        <v>45903</v>
      </c>
      <c r="B234" s="1" t="s">
        <v>771</v>
      </c>
      <c r="C234" s="1" t="s">
        <v>772</v>
      </c>
      <c r="D234" s="1" t="s">
        <v>196</v>
      </c>
      <c r="E234" s="1">
        <v>85383</v>
      </c>
      <c r="F234" s="1" t="s">
        <v>25</v>
      </c>
      <c r="G234" s="1" t="s">
        <v>497</v>
      </c>
      <c r="H234" s="4" t="s">
        <v>21</v>
      </c>
      <c r="V234" s="45">
        <f>IF(OR(ISNUMBER(SEARCH("unable to locate acct",G234)),ISNUMBER(SEARCH("unknown",G234)),ISNUMBER(SEARCH("inactive",G234)),H234=""),0,1)</f>
        <v>1</v>
      </c>
    </row>
    <row r="235" spans="1:22" hidden="1">
      <c r="A235" s="2">
        <v>45903</v>
      </c>
      <c r="B235" s="1" t="s">
        <v>773</v>
      </c>
      <c r="C235" s="1" t="s">
        <v>774</v>
      </c>
      <c r="D235" s="1" t="s">
        <v>57</v>
      </c>
      <c r="E235" s="1">
        <v>85015</v>
      </c>
      <c r="F235" s="1" t="s">
        <v>775</v>
      </c>
      <c r="G235" s="1" t="s">
        <v>497</v>
      </c>
      <c r="H235" s="4" t="s">
        <v>21</v>
      </c>
      <c r="U235" s="1" t="s">
        <v>715</v>
      </c>
      <c r="V235" s="45">
        <f>IF(OR(ISNUMBER(SEARCH("unable to locate acct",G235)),ISNUMBER(SEARCH("unknown",G235)),ISNUMBER(SEARCH("inactive",G235)),H235=""),0,1)</f>
        <v>1</v>
      </c>
    </row>
    <row r="236" spans="1:22" hidden="1">
      <c r="A236" s="2">
        <v>45903</v>
      </c>
      <c r="B236" s="1" t="s">
        <v>776</v>
      </c>
      <c r="C236" s="1" t="s">
        <v>777</v>
      </c>
      <c r="D236" s="1" t="s">
        <v>307</v>
      </c>
      <c r="E236" s="1">
        <v>85383</v>
      </c>
      <c r="F236" s="1" t="s">
        <v>304</v>
      </c>
      <c r="G236" s="1" t="s">
        <v>497</v>
      </c>
      <c r="H236" s="4" t="s">
        <v>778</v>
      </c>
      <c r="I236" s="5" t="s">
        <v>30</v>
      </c>
      <c r="J236" s="5" t="s">
        <v>31</v>
      </c>
      <c r="K236" s="5" t="s">
        <v>31</v>
      </c>
      <c r="L236" s="5" t="s">
        <v>32</v>
      </c>
      <c r="M236" s="5" t="s">
        <v>31</v>
      </c>
      <c r="N236" s="5" t="s">
        <v>31</v>
      </c>
      <c r="O236" s="5" t="s">
        <v>32</v>
      </c>
      <c r="P236" s="5" t="s">
        <v>33</v>
      </c>
      <c r="Q236" s="2">
        <v>45968</v>
      </c>
      <c r="V236" s="45">
        <f>IF(OR(ISNUMBER(SEARCH("unable to locate acct",G236)),ISNUMBER(SEARCH("unknown",G236)),ISNUMBER(SEARCH("inactive",G236)),H236=""),0,1)</f>
        <v>1</v>
      </c>
    </row>
    <row r="237" spans="1:22" hidden="1">
      <c r="A237" s="2">
        <v>45903</v>
      </c>
      <c r="B237" s="1" t="s">
        <v>779</v>
      </c>
      <c r="C237" s="1" t="s">
        <v>780</v>
      </c>
      <c r="D237" s="1" t="s">
        <v>514</v>
      </c>
      <c r="E237" s="1">
        <v>85392</v>
      </c>
      <c r="F237" s="1" t="s">
        <v>781</v>
      </c>
      <c r="G237" s="1" t="s">
        <v>497</v>
      </c>
      <c r="H237" s="4" t="s">
        <v>21</v>
      </c>
      <c r="V237" s="45">
        <f>IF(OR(ISNUMBER(SEARCH("unable to locate acct",G237)),ISNUMBER(SEARCH("unknown",G237)),ISNUMBER(SEARCH("inactive",G237)),H237=""),0,1)</f>
        <v>1</v>
      </c>
    </row>
    <row r="238" spans="1:22" hidden="1">
      <c r="A238" s="2">
        <v>45903</v>
      </c>
      <c r="B238" s="1" t="s">
        <v>782</v>
      </c>
      <c r="C238" s="1" t="s">
        <v>783</v>
      </c>
      <c r="D238" s="1" t="s">
        <v>57</v>
      </c>
      <c r="E238" s="1">
        <v>85028</v>
      </c>
      <c r="F238" s="1" t="s">
        <v>304</v>
      </c>
      <c r="G238" s="1" t="s">
        <v>497</v>
      </c>
      <c r="H238" s="21" t="s">
        <v>5488</v>
      </c>
      <c r="I238" s="5" t="s">
        <v>30</v>
      </c>
      <c r="J238" s="5" t="s">
        <v>31</v>
      </c>
      <c r="K238" s="5" t="s">
        <v>31</v>
      </c>
      <c r="L238" s="5" t="s">
        <v>32</v>
      </c>
      <c r="M238" s="5" t="s">
        <v>31</v>
      </c>
      <c r="N238" s="5" t="s">
        <v>31</v>
      </c>
      <c r="O238" s="5" t="s">
        <v>32</v>
      </c>
      <c r="P238" s="5" t="s">
        <v>33</v>
      </c>
      <c r="Q238" s="2">
        <v>45968</v>
      </c>
      <c r="V238" s="45">
        <f>IF(OR(ISNUMBER(SEARCH("unable to locate acct",G238)),ISNUMBER(SEARCH("unknown",G238)),ISNUMBER(SEARCH("inactive",G238)),H238=""),0,1)</f>
        <v>1</v>
      </c>
    </row>
    <row r="239" spans="1:22" hidden="1">
      <c r="A239" s="2">
        <v>45903</v>
      </c>
      <c r="B239" s="1" t="s">
        <v>784</v>
      </c>
      <c r="C239" s="1" t="s">
        <v>785</v>
      </c>
      <c r="D239" s="1" t="s">
        <v>196</v>
      </c>
      <c r="E239" s="1">
        <v>85383</v>
      </c>
      <c r="F239" s="1" t="s">
        <v>304</v>
      </c>
      <c r="G239" s="1" t="s">
        <v>497</v>
      </c>
      <c r="H239" s="4" t="s">
        <v>21</v>
      </c>
      <c r="V239" s="45">
        <f>IF(OR(ISNUMBER(SEARCH("unable to locate acct",G239)),ISNUMBER(SEARCH("unknown",G239)),ISNUMBER(SEARCH("inactive",G239)),H239=""),0,1)</f>
        <v>1</v>
      </c>
    </row>
    <row r="240" spans="1:22" hidden="1">
      <c r="A240" s="2">
        <v>45903</v>
      </c>
      <c r="B240" s="1" t="s">
        <v>786</v>
      </c>
      <c r="C240" s="1" t="s">
        <v>356</v>
      </c>
      <c r="D240" s="1" t="s">
        <v>119</v>
      </c>
      <c r="E240" s="1">
        <v>85258</v>
      </c>
      <c r="F240" s="1" t="s">
        <v>787</v>
      </c>
      <c r="G240" s="1" t="s">
        <v>497</v>
      </c>
      <c r="H240" s="4" t="s">
        <v>5123</v>
      </c>
      <c r="I240" s="5" t="s">
        <v>30</v>
      </c>
      <c r="J240" s="5" t="s">
        <v>31</v>
      </c>
      <c r="K240" s="5" t="s">
        <v>31</v>
      </c>
      <c r="L240" s="5" t="s">
        <v>32</v>
      </c>
      <c r="M240" s="5" t="s">
        <v>31</v>
      </c>
      <c r="N240" s="5" t="s">
        <v>31</v>
      </c>
      <c r="O240" s="5" t="s">
        <v>32</v>
      </c>
      <c r="P240" s="5" t="s">
        <v>33</v>
      </c>
      <c r="Q240" s="2">
        <v>45968</v>
      </c>
      <c r="V240" s="45">
        <f>IF(OR(ISNUMBER(SEARCH("unable to locate acct",G240)),ISNUMBER(SEARCH("unknown",G240)),ISNUMBER(SEARCH("inactive",G240)),H240=""),0,1)</f>
        <v>1</v>
      </c>
    </row>
    <row r="241" spans="1:22" hidden="1">
      <c r="A241" s="2">
        <v>45903</v>
      </c>
      <c r="B241" s="1" t="s">
        <v>788</v>
      </c>
      <c r="C241" s="1" t="s">
        <v>789</v>
      </c>
      <c r="D241" s="1" t="s">
        <v>57</v>
      </c>
      <c r="E241" s="1">
        <v>85028</v>
      </c>
      <c r="F241" s="1" t="s">
        <v>304</v>
      </c>
      <c r="G241" s="1" t="s">
        <v>497</v>
      </c>
      <c r="H241" s="21" t="s">
        <v>5338</v>
      </c>
      <c r="I241" s="5" t="s">
        <v>67</v>
      </c>
      <c r="J241" s="5" t="s">
        <v>31</v>
      </c>
      <c r="K241" s="5" t="s">
        <v>31</v>
      </c>
      <c r="L241" s="5" t="s">
        <v>32</v>
      </c>
      <c r="M241" s="5" t="s">
        <v>31</v>
      </c>
      <c r="N241" s="5" t="s">
        <v>31</v>
      </c>
      <c r="O241" s="5" t="s">
        <v>32</v>
      </c>
      <c r="P241" s="5" t="s">
        <v>33</v>
      </c>
      <c r="Q241" s="2">
        <v>45968</v>
      </c>
      <c r="V241" s="45">
        <f>IF(OR(ISNUMBER(SEARCH("unable to locate acct",G241)),ISNUMBER(SEARCH("unknown",G241)),ISNUMBER(SEARCH("inactive",G241)),H241=""),0,1)</f>
        <v>1</v>
      </c>
    </row>
    <row r="242" spans="1:22" hidden="1">
      <c r="A242" s="2">
        <v>45903</v>
      </c>
      <c r="B242" s="1" t="s">
        <v>790</v>
      </c>
      <c r="C242" s="1" t="s">
        <v>791</v>
      </c>
      <c r="D242" s="1" t="s">
        <v>57</v>
      </c>
      <c r="E242" s="1">
        <v>85085</v>
      </c>
      <c r="F242" s="1" t="s">
        <v>792</v>
      </c>
      <c r="G242" s="1" t="s">
        <v>497</v>
      </c>
      <c r="H242" s="21" t="s">
        <v>5489</v>
      </c>
      <c r="I242" s="5" t="s">
        <v>190</v>
      </c>
      <c r="J242" s="5" t="s">
        <v>31</v>
      </c>
      <c r="K242" s="5" t="s">
        <v>31</v>
      </c>
      <c r="L242" s="5" t="s">
        <v>32</v>
      </c>
      <c r="M242" s="5" t="s">
        <v>31</v>
      </c>
      <c r="N242" s="5" t="s">
        <v>31</v>
      </c>
      <c r="O242" s="5" t="s">
        <v>32</v>
      </c>
      <c r="P242" s="5" t="s">
        <v>33</v>
      </c>
      <c r="Q242" s="2">
        <v>45968</v>
      </c>
      <c r="V242" s="45">
        <f>IF(OR(ISNUMBER(SEARCH("unable to locate acct",G242)),ISNUMBER(SEARCH("unknown",G242)),ISNUMBER(SEARCH("inactive",G242)),H242=""),0,1)</f>
        <v>1</v>
      </c>
    </row>
    <row r="243" spans="1:22" hidden="1">
      <c r="A243" s="2">
        <v>45903</v>
      </c>
      <c r="B243" s="1" t="s">
        <v>793</v>
      </c>
      <c r="C243" s="1" t="s">
        <v>794</v>
      </c>
      <c r="D243" s="1" t="s">
        <v>163</v>
      </c>
      <c r="E243" s="1">
        <v>85338</v>
      </c>
      <c r="F243" s="1" t="s">
        <v>795</v>
      </c>
      <c r="G243" s="1" t="s">
        <v>497</v>
      </c>
      <c r="H243" s="4" t="s">
        <v>21</v>
      </c>
      <c r="V243" s="45">
        <f>IF(OR(ISNUMBER(SEARCH("unable to locate acct",G243)),ISNUMBER(SEARCH("unknown",G243)),ISNUMBER(SEARCH("inactive",G243)),H243=""),0,1)</f>
        <v>1</v>
      </c>
    </row>
    <row r="244" spans="1:22" hidden="1">
      <c r="A244" s="2">
        <v>45903</v>
      </c>
      <c r="B244" s="1" t="s">
        <v>796</v>
      </c>
      <c r="C244" s="1" t="s">
        <v>797</v>
      </c>
      <c r="D244" s="1" t="s">
        <v>163</v>
      </c>
      <c r="E244" s="1">
        <v>85338</v>
      </c>
      <c r="F244" s="1" t="s">
        <v>798</v>
      </c>
      <c r="G244" s="1" t="s">
        <v>497</v>
      </c>
      <c r="H244" s="21" t="s">
        <v>5490</v>
      </c>
      <c r="I244" s="5" t="s">
        <v>532</v>
      </c>
      <c r="J244" s="5" t="s">
        <v>31</v>
      </c>
      <c r="K244" s="5" t="s">
        <v>31</v>
      </c>
      <c r="L244" s="5" t="s">
        <v>381</v>
      </c>
      <c r="M244" s="5" t="s">
        <v>31</v>
      </c>
      <c r="N244" s="5" t="s">
        <v>31</v>
      </c>
      <c r="O244" s="5" t="s">
        <v>32</v>
      </c>
      <c r="P244" s="5" t="s">
        <v>33</v>
      </c>
      <c r="Q244" s="2">
        <v>45968</v>
      </c>
      <c r="V244" s="45">
        <f>IF(OR(ISNUMBER(SEARCH("unable to locate acct",G244)),ISNUMBER(SEARCH("unknown",G244)),ISNUMBER(SEARCH("inactive",G244)),H244=""),0,1)</f>
        <v>1</v>
      </c>
    </row>
    <row r="245" spans="1:22" hidden="1">
      <c r="A245" s="2">
        <v>45903</v>
      </c>
      <c r="B245" s="1" t="s">
        <v>799</v>
      </c>
      <c r="C245" s="1" t="s">
        <v>800</v>
      </c>
      <c r="D245" s="1" t="s">
        <v>801</v>
      </c>
      <c r="E245" s="1">
        <v>86303</v>
      </c>
      <c r="F245" s="1" t="s">
        <v>304</v>
      </c>
      <c r="G245" s="1" t="s">
        <v>497</v>
      </c>
      <c r="H245" s="21" t="s">
        <v>5491</v>
      </c>
      <c r="I245" s="5" t="s">
        <v>67</v>
      </c>
      <c r="J245" s="5" t="s">
        <v>31</v>
      </c>
      <c r="K245" s="5" t="s">
        <v>31</v>
      </c>
      <c r="L245" s="5" t="s">
        <v>32</v>
      </c>
      <c r="M245" s="5" t="s">
        <v>31</v>
      </c>
      <c r="N245" s="5" t="s">
        <v>31</v>
      </c>
      <c r="O245" s="5" t="s">
        <v>32</v>
      </c>
      <c r="P245" s="5" t="s">
        <v>33</v>
      </c>
      <c r="Q245" s="2">
        <v>45968</v>
      </c>
      <c r="V245" s="45">
        <f>IF(OR(ISNUMBER(SEARCH("unable to locate acct",G245)),ISNUMBER(SEARCH("unknown",G245)),ISNUMBER(SEARCH("inactive",G245)),H245=""),0,1)</f>
        <v>1</v>
      </c>
    </row>
    <row r="246" spans="1:22" hidden="1">
      <c r="A246" s="2">
        <v>45903</v>
      </c>
      <c r="B246" s="1" t="s">
        <v>802</v>
      </c>
      <c r="C246" s="1" t="s">
        <v>193</v>
      </c>
      <c r="D246" s="1" t="s">
        <v>57</v>
      </c>
      <c r="E246" s="1">
        <v>85028</v>
      </c>
      <c r="F246" s="1" t="s">
        <v>304</v>
      </c>
      <c r="G246" s="1" t="s">
        <v>497</v>
      </c>
      <c r="H246" s="4" t="s">
        <v>5492</v>
      </c>
      <c r="I246" s="5" t="s">
        <v>30</v>
      </c>
      <c r="J246" s="5" t="s">
        <v>31</v>
      </c>
      <c r="K246" s="5" t="s">
        <v>31</v>
      </c>
      <c r="L246" s="5" t="s">
        <v>32</v>
      </c>
      <c r="M246" s="5" t="s">
        <v>31</v>
      </c>
      <c r="N246" s="5" t="s">
        <v>31</v>
      </c>
      <c r="O246" s="5" t="s">
        <v>32</v>
      </c>
      <c r="P246" s="5" t="s">
        <v>33</v>
      </c>
      <c r="Q246" s="2">
        <v>45968</v>
      </c>
      <c r="V246" s="45">
        <f>IF(OR(ISNUMBER(SEARCH("unable to locate acct",G246)),ISNUMBER(SEARCH("unknown",G246)),ISNUMBER(SEARCH("inactive",G246)),H246=""),0,1)</f>
        <v>1</v>
      </c>
    </row>
    <row r="247" spans="1:22" hidden="1">
      <c r="A247" s="2">
        <v>45903</v>
      </c>
      <c r="B247" s="1" t="s">
        <v>803</v>
      </c>
      <c r="C247" s="1" t="s">
        <v>804</v>
      </c>
      <c r="D247" s="1" t="s">
        <v>163</v>
      </c>
      <c r="E247" s="1">
        <v>85338</v>
      </c>
      <c r="F247" s="1" t="s">
        <v>805</v>
      </c>
      <c r="G247" s="1" t="s">
        <v>497</v>
      </c>
      <c r="H247" s="4" t="s">
        <v>5124</v>
      </c>
      <c r="I247" s="5" t="s">
        <v>30</v>
      </c>
      <c r="J247" s="5" t="s">
        <v>31</v>
      </c>
      <c r="K247" s="5" t="s">
        <v>31</v>
      </c>
      <c r="L247" s="5" t="s">
        <v>32</v>
      </c>
      <c r="M247" s="5" t="s">
        <v>31</v>
      </c>
      <c r="N247" s="5" t="s">
        <v>31</v>
      </c>
      <c r="O247" s="5" t="s">
        <v>32</v>
      </c>
      <c r="P247" s="5" t="s">
        <v>33</v>
      </c>
      <c r="Q247" s="2">
        <v>45968</v>
      </c>
      <c r="V247" s="45">
        <f>IF(OR(ISNUMBER(SEARCH("unable to locate acct",G247)),ISNUMBER(SEARCH("unknown",G247)),ISNUMBER(SEARCH("inactive",G247)),H247=""),0,1)</f>
        <v>1</v>
      </c>
    </row>
    <row r="248" spans="1:22" hidden="1">
      <c r="A248" s="2">
        <v>45903</v>
      </c>
      <c r="B248" s="1" t="s">
        <v>806</v>
      </c>
      <c r="C248" s="1" t="s">
        <v>807</v>
      </c>
      <c r="D248" s="1" t="s">
        <v>57</v>
      </c>
      <c r="E248" s="1">
        <v>85013</v>
      </c>
      <c r="F248" s="1" t="s">
        <v>304</v>
      </c>
      <c r="G248" s="1" t="s">
        <v>497</v>
      </c>
      <c r="H248" s="4" t="s">
        <v>5125</v>
      </c>
      <c r="I248" s="5" t="s">
        <v>67</v>
      </c>
      <c r="J248" s="5" t="s">
        <v>31</v>
      </c>
      <c r="K248" s="5" t="s">
        <v>31</v>
      </c>
      <c r="L248" s="5" t="s">
        <v>32</v>
      </c>
      <c r="M248" s="5" t="s">
        <v>31</v>
      </c>
      <c r="N248" s="5" t="s">
        <v>31</v>
      </c>
      <c r="O248" s="5" t="s">
        <v>32</v>
      </c>
      <c r="P248" s="5" t="s">
        <v>33</v>
      </c>
      <c r="Q248" s="2">
        <v>45968</v>
      </c>
      <c r="V248" s="45">
        <f>IF(OR(ISNUMBER(SEARCH("unable to locate acct",G248)),ISNUMBER(SEARCH("unknown",G248)),ISNUMBER(SEARCH("inactive",G248)),H248=""),0,1)</f>
        <v>1</v>
      </c>
    </row>
    <row r="249" spans="1:22" hidden="1">
      <c r="A249" s="2">
        <v>45903</v>
      </c>
      <c r="B249" s="1" t="s">
        <v>808</v>
      </c>
      <c r="C249" s="1" t="s">
        <v>250</v>
      </c>
      <c r="D249" s="1" t="s">
        <v>57</v>
      </c>
      <c r="E249" s="1">
        <v>85083</v>
      </c>
      <c r="F249" s="1" t="s">
        <v>304</v>
      </c>
      <c r="G249" s="1" t="s">
        <v>497</v>
      </c>
      <c r="H249" s="21" t="s">
        <v>5493</v>
      </c>
      <c r="I249" s="5" t="s">
        <v>30</v>
      </c>
      <c r="J249" s="5" t="s">
        <v>31</v>
      </c>
      <c r="K249" s="5" t="s">
        <v>31</v>
      </c>
      <c r="L249" s="5" t="s">
        <v>809</v>
      </c>
      <c r="M249" s="5" t="s">
        <v>31</v>
      </c>
      <c r="N249" s="5" t="s">
        <v>31</v>
      </c>
      <c r="O249" s="5" t="s">
        <v>32</v>
      </c>
      <c r="P249" s="5" t="s">
        <v>33</v>
      </c>
      <c r="Q249" s="2">
        <v>45968</v>
      </c>
      <c r="V249" s="45">
        <f>IF(OR(ISNUMBER(SEARCH("unable to locate acct",G249)),ISNUMBER(SEARCH("unknown",G249)),ISNUMBER(SEARCH("inactive",G249)),H249=""),0,1)</f>
        <v>1</v>
      </c>
    </row>
    <row r="250" spans="1:22" hidden="1">
      <c r="A250" s="2">
        <v>45903</v>
      </c>
      <c r="B250" s="1" t="s">
        <v>810</v>
      </c>
      <c r="C250" s="1" t="s">
        <v>811</v>
      </c>
      <c r="D250" s="1" t="s">
        <v>57</v>
      </c>
      <c r="E250" s="1">
        <v>85016</v>
      </c>
      <c r="F250" s="1" t="s">
        <v>304</v>
      </c>
      <c r="G250" s="1" t="s">
        <v>497</v>
      </c>
      <c r="H250" s="4" t="s">
        <v>21</v>
      </c>
      <c r="V250" s="45">
        <f>IF(OR(ISNUMBER(SEARCH("unable to locate acct",G250)),ISNUMBER(SEARCH("unknown",G250)),ISNUMBER(SEARCH("inactive",G250)),H250=""),0,1)</f>
        <v>1</v>
      </c>
    </row>
    <row r="251" spans="1:22" hidden="1">
      <c r="A251" s="2">
        <v>45903</v>
      </c>
      <c r="B251" s="1" t="s">
        <v>812</v>
      </c>
      <c r="C251" s="1" t="s">
        <v>592</v>
      </c>
      <c r="D251" s="1" t="s">
        <v>57</v>
      </c>
      <c r="E251" s="1">
        <v>85013</v>
      </c>
      <c r="F251" s="1" t="s">
        <v>304</v>
      </c>
      <c r="G251" s="1" t="s">
        <v>497</v>
      </c>
      <c r="H251" s="21" t="s">
        <v>5494</v>
      </c>
      <c r="I251" s="5" t="s">
        <v>67</v>
      </c>
      <c r="J251" s="5" t="s">
        <v>31</v>
      </c>
      <c r="K251" s="5" t="s">
        <v>31</v>
      </c>
      <c r="L251" s="5" t="s">
        <v>32</v>
      </c>
      <c r="M251" s="5" t="s">
        <v>31</v>
      </c>
      <c r="N251" s="5" t="s">
        <v>31</v>
      </c>
      <c r="O251" s="5" t="s">
        <v>32</v>
      </c>
      <c r="P251" s="5" t="s">
        <v>33</v>
      </c>
      <c r="Q251" s="2">
        <v>45968</v>
      </c>
      <c r="V251" s="45">
        <f>IF(OR(ISNUMBER(SEARCH("unable to locate acct",G251)),ISNUMBER(SEARCH("unknown",G251)),ISNUMBER(SEARCH("inactive",G251)),H251=""),0,1)</f>
        <v>1</v>
      </c>
    </row>
    <row r="252" spans="1:22" hidden="1">
      <c r="A252" s="2">
        <v>45903</v>
      </c>
      <c r="B252" s="1" t="s">
        <v>813</v>
      </c>
      <c r="C252" s="1" t="s">
        <v>814</v>
      </c>
      <c r="D252" s="1" t="s">
        <v>57</v>
      </c>
      <c r="E252" s="1">
        <v>85024</v>
      </c>
      <c r="F252" s="1" t="s">
        <v>304</v>
      </c>
      <c r="G252" s="1" t="s">
        <v>497</v>
      </c>
      <c r="H252" s="21" t="s">
        <v>5495</v>
      </c>
      <c r="I252" s="5" t="s">
        <v>410</v>
      </c>
      <c r="J252" s="5" t="s">
        <v>31</v>
      </c>
      <c r="K252" s="5" t="s">
        <v>31</v>
      </c>
      <c r="L252" s="5" t="s">
        <v>381</v>
      </c>
      <c r="M252" s="5" t="s">
        <v>31</v>
      </c>
      <c r="N252" s="5" t="s">
        <v>31</v>
      </c>
      <c r="O252" s="5" t="s">
        <v>32</v>
      </c>
      <c r="P252" s="5" t="s">
        <v>33</v>
      </c>
      <c r="Q252" s="2">
        <v>45968</v>
      </c>
      <c r="V252" s="45">
        <f>IF(OR(ISNUMBER(SEARCH("unable to locate acct",G252)),ISNUMBER(SEARCH("unknown",G252)),ISNUMBER(SEARCH("inactive",G252)),H252=""),0,1)</f>
        <v>1</v>
      </c>
    </row>
    <row r="253" spans="1:22" hidden="1">
      <c r="A253" s="2">
        <v>45903</v>
      </c>
      <c r="B253" s="1" t="s">
        <v>815</v>
      </c>
      <c r="C253" s="1" t="s">
        <v>816</v>
      </c>
      <c r="D253" s="1" t="s">
        <v>18</v>
      </c>
      <c r="E253" s="1">
        <v>85308</v>
      </c>
      <c r="F253" s="1" t="s">
        <v>304</v>
      </c>
      <c r="G253" s="1" t="s">
        <v>497</v>
      </c>
      <c r="H253" s="21" t="s">
        <v>5496</v>
      </c>
      <c r="I253" s="5" t="s">
        <v>190</v>
      </c>
      <c r="J253" s="5" t="s">
        <v>31</v>
      </c>
      <c r="K253" s="5" t="s">
        <v>31</v>
      </c>
      <c r="L253" s="7" t="s">
        <v>817</v>
      </c>
      <c r="M253" s="5" t="s">
        <v>31</v>
      </c>
      <c r="N253" s="5" t="s">
        <v>31</v>
      </c>
      <c r="O253" s="5" t="s">
        <v>32</v>
      </c>
      <c r="P253" s="2">
        <v>45933</v>
      </c>
      <c r="Q253" s="2">
        <v>45968</v>
      </c>
      <c r="R253" s="1" t="s">
        <v>552</v>
      </c>
      <c r="V253" s="45">
        <f>IF(OR(ISNUMBER(SEARCH("unable to locate acct",G253)),ISNUMBER(SEARCH("unknown",G253)),ISNUMBER(SEARCH("inactive",G253)),H253=""),0,1)</f>
        <v>1</v>
      </c>
    </row>
    <row r="254" spans="1:22" hidden="1">
      <c r="A254" s="2">
        <v>45903</v>
      </c>
      <c r="B254" s="1" t="s">
        <v>818</v>
      </c>
      <c r="C254" s="1" t="s">
        <v>819</v>
      </c>
      <c r="D254" s="1" t="s">
        <v>57</v>
      </c>
      <c r="E254" s="1">
        <v>85050</v>
      </c>
      <c r="F254" s="1" t="s">
        <v>25</v>
      </c>
      <c r="G254" s="1" t="s">
        <v>497</v>
      </c>
      <c r="H254" s="21" t="s">
        <v>5497</v>
      </c>
      <c r="I254" s="5" t="s">
        <v>67</v>
      </c>
      <c r="J254" s="5" t="s">
        <v>31</v>
      </c>
      <c r="K254" s="5" t="s">
        <v>31</v>
      </c>
      <c r="L254" s="5" t="s">
        <v>32</v>
      </c>
      <c r="M254" s="5" t="s">
        <v>31</v>
      </c>
      <c r="N254" s="5" t="s">
        <v>31</v>
      </c>
      <c r="O254" s="5" t="s">
        <v>32</v>
      </c>
      <c r="P254" s="5" t="s">
        <v>33</v>
      </c>
      <c r="Q254" s="2">
        <v>45968</v>
      </c>
      <c r="V254" s="45">
        <f>IF(OR(ISNUMBER(SEARCH("unable to locate acct",G254)),ISNUMBER(SEARCH("unknown",G254)),ISNUMBER(SEARCH("inactive",G254)),H254=""),0,1)</f>
        <v>1</v>
      </c>
    </row>
    <row r="255" spans="1:22" hidden="1">
      <c r="A255" s="2">
        <v>45903</v>
      </c>
      <c r="B255" s="1" t="s">
        <v>641</v>
      </c>
      <c r="C255" s="1" t="s">
        <v>820</v>
      </c>
      <c r="D255" s="1" t="s">
        <v>57</v>
      </c>
      <c r="E255" s="1">
        <v>85029</v>
      </c>
      <c r="F255" s="1" t="s">
        <v>25</v>
      </c>
      <c r="G255" s="1" t="s">
        <v>497</v>
      </c>
      <c r="H255" s="21" t="s">
        <v>5498</v>
      </c>
      <c r="I255" s="5" t="s">
        <v>30</v>
      </c>
      <c r="J255" s="5" t="s">
        <v>31</v>
      </c>
      <c r="K255" s="5" t="s">
        <v>31</v>
      </c>
      <c r="L255" s="5" t="s">
        <v>32</v>
      </c>
      <c r="M255" s="5" t="s">
        <v>31</v>
      </c>
      <c r="N255" s="5" t="s">
        <v>31</v>
      </c>
      <c r="O255" s="5" t="s">
        <v>32</v>
      </c>
      <c r="P255" s="5" t="s">
        <v>33</v>
      </c>
      <c r="Q255" s="2">
        <v>45968</v>
      </c>
      <c r="V255" s="45">
        <f>IF(OR(ISNUMBER(SEARCH("unable to locate acct",G255)),ISNUMBER(SEARCH("unknown",G255)),ISNUMBER(SEARCH("inactive",G255)),H255=""),0,1)</f>
        <v>1</v>
      </c>
    </row>
    <row r="256" spans="1:22" hidden="1">
      <c r="A256" s="2">
        <v>45903</v>
      </c>
      <c r="B256" s="1" t="s">
        <v>821</v>
      </c>
      <c r="C256" s="1" t="s">
        <v>822</v>
      </c>
      <c r="D256" s="1" t="s">
        <v>57</v>
      </c>
      <c r="E256" s="1">
        <v>85028</v>
      </c>
      <c r="F256" s="1" t="s">
        <v>25</v>
      </c>
      <c r="G256" s="1" t="s">
        <v>497</v>
      </c>
      <c r="H256" s="21" t="s">
        <v>5499</v>
      </c>
      <c r="I256" s="5" t="s">
        <v>30</v>
      </c>
      <c r="J256" s="5" t="s">
        <v>32</v>
      </c>
      <c r="K256" s="5" t="s">
        <v>31</v>
      </c>
      <c r="L256" s="5" t="s">
        <v>32</v>
      </c>
      <c r="M256" s="5" t="s">
        <v>31</v>
      </c>
      <c r="N256" s="5" t="s">
        <v>31</v>
      </c>
      <c r="O256" s="5" t="s">
        <v>32</v>
      </c>
      <c r="P256" s="5" t="s">
        <v>33</v>
      </c>
      <c r="Q256" s="2">
        <v>45968</v>
      </c>
      <c r="V256" s="45">
        <f>IF(OR(ISNUMBER(SEARCH("unable to locate acct",G256)),ISNUMBER(SEARCH("unknown",G256)),ISNUMBER(SEARCH("inactive",G256)),H256=""),0,1)</f>
        <v>1</v>
      </c>
    </row>
    <row r="257" spans="1:22" hidden="1">
      <c r="A257" s="2">
        <v>45903</v>
      </c>
      <c r="B257" s="1" t="s">
        <v>823</v>
      </c>
      <c r="C257" s="1" t="s">
        <v>824</v>
      </c>
      <c r="D257" s="1" t="s">
        <v>119</v>
      </c>
      <c r="E257" s="1">
        <v>85251</v>
      </c>
      <c r="F257" s="1" t="s">
        <v>304</v>
      </c>
      <c r="G257" s="1" t="s">
        <v>497</v>
      </c>
      <c r="H257" s="4" t="s">
        <v>21</v>
      </c>
      <c r="V257" s="45">
        <f>IF(OR(ISNUMBER(SEARCH("unable to locate acct",G257)),ISNUMBER(SEARCH("unknown",G257)),ISNUMBER(SEARCH("inactive",G257)),H257=""),0,1)</f>
        <v>1</v>
      </c>
    </row>
    <row r="258" spans="1:22" hidden="1">
      <c r="A258" s="2">
        <v>45903</v>
      </c>
      <c r="B258" s="1" t="s">
        <v>825</v>
      </c>
      <c r="C258" s="1" t="s">
        <v>826</v>
      </c>
      <c r="D258" s="1" t="s">
        <v>626</v>
      </c>
      <c r="E258" s="1">
        <v>85281</v>
      </c>
      <c r="F258" s="1" t="s">
        <v>827</v>
      </c>
      <c r="G258" s="1" t="s">
        <v>497</v>
      </c>
      <c r="H258" s="21" t="s">
        <v>5500</v>
      </c>
      <c r="I258" s="5" t="s">
        <v>532</v>
      </c>
      <c r="J258" s="5" t="s">
        <v>31</v>
      </c>
      <c r="K258" s="5" t="s">
        <v>31</v>
      </c>
      <c r="L258" s="5" t="s">
        <v>381</v>
      </c>
      <c r="M258" s="5" t="s">
        <v>31</v>
      </c>
      <c r="N258" s="5" t="s">
        <v>31</v>
      </c>
      <c r="O258" s="5" t="s">
        <v>32</v>
      </c>
      <c r="P258" s="5" t="s">
        <v>33</v>
      </c>
      <c r="Q258" s="2">
        <v>45968</v>
      </c>
      <c r="V258" s="45">
        <f>IF(OR(ISNUMBER(SEARCH("unable to locate acct",G258)),ISNUMBER(SEARCH("unknown",G258)),ISNUMBER(SEARCH("inactive",G258)),H258=""),0,1)</f>
        <v>1</v>
      </c>
    </row>
    <row r="259" spans="1:22" hidden="1">
      <c r="A259" s="2">
        <v>45903</v>
      </c>
      <c r="B259" s="1" t="s">
        <v>828</v>
      </c>
      <c r="C259" s="1" t="s">
        <v>129</v>
      </c>
      <c r="D259" s="1" t="s">
        <v>163</v>
      </c>
      <c r="E259" s="1">
        <v>85338</v>
      </c>
      <c r="F259" s="1" t="s">
        <v>829</v>
      </c>
      <c r="G259" s="1" t="s">
        <v>497</v>
      </c>
      <c r="H259" s="4" t="s">
        <v>4955</v>
      </c>
      <c r="I259" s="5" t="s">
        <v>190</v>
      </c>
      <c r="J259" s="5" t="s">
        <v>31</v>
      </c>
      <c r="K259" s="5" t="s">
        <v>31</v>
      </c>
      <c r="L259" s="5" t="s">
        <v>830</v>
      </c>
      <c r="M259" s="5" t="s">
        <v>31</v>
      </c>
      <c r="N259" s="5" t="s">
        <v>31</v>
      </c>
      <c r="O259" s="5" t="s">
        <v>32</v>
      </c>
      <c r="P259" s="5" t="s">
        <v>33</v>
      </c>
      <c r="Q259" s="2">
        <v>45968</v>
      </c>
      <c r="R259" s="1" t="s">
        <v>831</v>
      </c>
      <c r="V259" s="45">
        <f>IF(OR(ISNUMBER(SEARCH("unable to locate acct",G259)),ISNUMBER(SEARCH("unknown",G259)),ISNUMBER(SEARCH("inactive",G259)),H259=""),0,1)</f>
        <v>1</v>
      </c>
    </row>
    <row r="260" spans="1:22" hidden="1">
      <c r="A260" s="2">
        <v>45903</v>
      </c>
      <c r="B260" s="1" t="s">
        <v>832</v>
      </c>
      <c r="C260" s="1" t="s">
        <v>833</v>
      </c>
      <c r="D260" s="1" t="s">
        <v>57</v>
      </c>
      <c r="E260" s="1">
        <v>85016</v>
      </c>
      <c r="F260" s="1" t="s">
        <v>25</v>
      </c>
      <c r="G260" s="1" t="s">
        <v>497</v>
      </c>
      <c r="H260" s="21" t="s">
        <v>5501</v>
      </c>
      <c r="I260" s="5" t="s">
        <v>51</v>
      </c>
      <c r="J260" s="5" t="s">
        <v>31</v>
      </c>
      <c r="K260" s="5" t="s">
        <v>31</v>
      </c>
      <c r="L260" s="5" t="s">
        <v>834</v>
      </c>
      <c r="M260" s="5" t="s">
        <v>31</v>
      </c>
      <c r="N260" s="5" t="s">
        <v>31</v>
      </c>
      <c r="O260" s="5" t="s">
        <v>32</v>
      </c>
      <c r="P260" s="5" t="s">
        <v>33</v>
      </c>
      <c r="Q260" s="2">
        <v>45968</v>
      </c>
      <c r="V260" s="45">
        <f>IF(OR(ISNUMBER(SEARCH("unable to locate acct",G260)),ISNUMBER(SEARCH("unknown",G260)),ISNUMBER(SEARCH("inactive",G260)),H260=""),0,1)</f>
        <v>1</v>
      </c>
    </row>
    <row r="261" spans="1:22" hidden="1">
      <c r="A261" s="2">
        <v>45903</v>
      </c>
      <c r="B261" s="1" t="s">
        <v>835</v>
      </c>
      <c r="C261" s="1" t="s">
        <v>836</v>
      </c>
      <c r="D261" s="1" t="s">
        <v>57</v>
      </c>
      <c r="E261" s="1">
        <v>85028</v>
      </c>
      <c r="F261" s="1" t="s">
        <v>304</v>
      </c>
      <c r="G261" s="1" t="s">
        <v>497</v>
      </c>
      <c r="H261" s="21" t="s">
        <v>5502</v>
      </c>
      <c r="I261" s="5" t="s">
        <v>30</v>
      </c>
      <c r="J261" s="5" t="s">
        <v>31</v>
      </c>
      <c r="K261" s="5" t="s">
        <v>31</v>
      </c>
      <c r="L261" s="5" t="s">
        <v>32</v>
      </c>
      <c r="M261" s="5" t="s">
        <v>31</v>
      </c>
      <c r="N261" s="5" t="s">
        <v>31</v>
      </c>
      <c r="O261" s="5" t="s">
        <v>32</v>
      </c>
      <c r="P261" s="5" t="s">
        <v>33</v>
      </c>
      <c r="Q261" s="2">
        <v>45968</v>
      </c>
      <c r="V261" s="45">
        <f>IF(OR(ISNUMBER(SEARCH("unable to locate acct",G261)),ISNUMBER(SEARCH("unknown",G261)),ISNUMBER(SEARCH("inactive",G261)),H261=""),0,1)</f>
        <v>1</v>
      </c>
    </row>
    <row r="262" spans="1:22" hidden="1">
      <c r="A262" s="2">
        <v>45903</v>
      </c>
      <c r="B262" s="1" t="s">
        <v>213</v>
      </c>
      <c r="C262" s="1" t="s">
        <v>837</v>
      </c>
      <c r="D262" s="1" t="s">
        <v>514</v>
      </c>
      <c r="E262" s="1">
        <v>85392</v>
      </c>
      <c r="F262" s="1" t="s">
        <v>838</v>
      </c>
      <c r="G262" s="1" t="s">
        <v>497</v>
      </c>
      <c r="H262" s="21" t="s">
        <v>5503</v>
      </c>
      <c r="I262" s="5" t="s">
        <v>190</v>
      </c>
      <c r="J262" s="5" t="s">
        <v>32</v>
      </c>
      <c r="K262" s="5" t="s">
        <v>31</v>
      </c>
      <c r="L262" s="5" t="s">
        <v>32</v>
      </c>
      <c r="M262" s="5" t="s">
        <v>31</v>
      </c>
      <c r="N262" s="5" t="s">
        <v>31</v>
      </c>
      <c r="O262" s="5" t="s">
        <v>32</v>
      </c>
      <c r="P262" s="5" t="s">
        <v>33</v>
      </c>
      <c r="Q262" s="2">
        <v>45968</v>
      </c>
      <c r="V262" s="45">
        <f>IF(OR(ISNUMBER(SEARCH("unable to locate acct",G262)),ISNUMBER(SEARCH("unknown",G262)),ISNUMBER(SEARCH("inactive",G262)),H262=""),0,1)</f>
        <v>1</v>
      </c>
    </row>
    <row r="263" spans="1:22" hidden="1">
      <c r="A263" s="2">
        <v>45903</v>
      </c>
      <c r="B263" s="1" t="s">
        <v>839</v>
      </c>
      <c r="C263" s="1" t="s">
        <v>432</v>
      </c>
      <c r="D263" s="1" t="s">
        <v>163</v>
      </c>
      <c r="E263" s="1">
        <v>85338</v>
      </c>
      <c r="F263" s="1" t="s">
        <v>840</v>
      </c>
      <c r="G263" s="1" t="s">
        <v>497</v>
      </c>
      <c r="H263" s="4" t="s">
        <v>4956</v>
      </c>
      <c r="I263" s="5" t="s">
        <v>190</v>
      </c>
      <c r="J263" s="5" t="s">
        <v>31</v>
      </c>
      <c r="K263" s="5" t="s">
        <v>31</v>
      </c>
      <c r="L263" s="5" t="s">
        <v>841</v>
      </c>
      <c r="M263" s="5" t="s">
        <v>31</v>
      </c>
      <c r="N263" s="5" t="s">
        <v>31</v>
      </c>
      <c r="O263" s="5" t="s">
        <v>32</v>
      </c>
      <c r="P263" s="5" t="s">
        <v>33</v>
      </c>
      <c r="Q263" s="2">
        <v>45968</v>
      </c>
      <c r="V263" s="45">
        <f>IF(OR(ISNUMBER(SEARCH("unable to locate acct",G263)),ISNUMBER(SEARCH("unknown",G263)),ISNUMBER(SEARCH("inactive",G263)),H263=""),0,1)</f>
        <v>1</v>
      </c>
    </row>
    <row r="264" spans="1:22" hidden="1">
      <c r="A264" s="2">
        <v>45903</v>
      </c>
      <c r="B264" s="1" t="s">
        <v>842</v>
      </c>
      <c r="C264" s="1" t="s">
        <v>843</v>
      </c>
      <c r="D264" s="1" t="s">
        <v>163</v>
      </c>
      <c r="E264" s="1">
        <v>85395</v>
      </c>
      <c r="F264" s="1" t="s">
        <v>844</v>
      </c>
      <c r="G264" s="1" t="s">
        <v>497</v>
      </c>
      <c r="H264" s="21" t="s">
        <v>5504</v>
      </c>
      <c r="I264" s="5" t="s">
        <v>30</v>
      </c>
      <c r="J264" s="5" t="s">
        <v>31</v>
      </c>
      <c r="K264" s="5" t="s">
        <v>31</v>
      </c>
      <c r="L264" s="5" t="s">
        <v>32</v>
      </c>
      <c r="M264" s="5" t="s">
        <v>31</v>
      </c>
      <c r="N264" s="5" t="s">
        <v>31</v>
      </c>
      <c r="O264" s="5" t="s">
        <v>32</v>
      </c>
      <c r="P264" s="5" t="s">
        <v>33</v>
      </c>
      <c r="Q264" s="2">
        <v>45968</v>
      </c>
      <c r="V264" s="45">
        <f>IF(OR(ISNUMBER(SEARCH("unable to locate acct",G264)),ISNUMBER(SEARCH("unknown",G264)),ISNUMBER(SEARCH("inactive",G264)),H264=""),0,1)</f>
        <v>1</v>
      </c>
    </row>
    <row r="265" spans="1:22" hidden="1">
      <c r="A265" s="2">
        <v>45903</v>
      </c>
      <c r="B265" s="1" t="s">
        <v>845</v>
      </c>
      <c r="C265" s="1" t="s">
        <v>846</v>
      </c>
      <c r="D265" s="1" t="s">
        <v>847</v>
      </c>
      <c r="E265" s="1">
        <v>85086</v>
      </c>
      <c r="F265" s="1" t="s">
        <v>787</v>
      </c>
      <c r="G265" s="1" t="s">
        <v>497</v>
      </c>
      <c r="H265" s="21" t="s">
        <v>5505</v>
      </c>
      <c r="I265" s="5" t="s">
        <v>30</v>
      </c>
      <c r="J265" s="5" t="s">
        <v>31</v>
      </c>
      <c r="K265" s="5" t="s">
        <v>31</v>
      </c>
      <c r="L265" s="5" t="s">
        <v>848</v>
      </c>
      <c r="M265" s="5" t="s">
        <v>31</v>
      </c>
      <c r="N265" s="5" t="s">
        <v>31</v>
      </c>
      <c r="O265" s="5" t="s">
        <v>32</v>
      </c>
      <c r="P265" s="5" t="s">
        <v>33</v>
      </c>
      <c r="Q265" s="2">
        <v>45968</v>
      </c>
      <c r="V265" s="45">
        <f>IF(OR(ISNUMBER(SEARCH("unable to locate acct",G265)),ISNUMBER(SEARCH("unknown",G265)),ISNUMBER(SEARCH("inactive",G265)),H265=""),0,1)</f>
        <v>1</v>
      </c>
    </row>
    <row r="266" spans="1:22" hidden="1">
      <c r="A266" s="2">
        <v>45903</v>
      </c>
      <c r="B266" s="1" t="s">
        <v>849</v>
      </c>
      <c r="C266" s="1" t="s">
        <v>451</v>
      </c>
      <c r="D266" s="1" t="s">
        <v>57</v>
      </c>
      <c r="E266" s="1">
        <v>85024</v>
      </c>
      <c r="F266" s="1" t="s">
        <v>304</v>
      </c>
      <c r="G266" s="1" t="s">
        <v>497</v>
      </c>
      <c r="H266" s="72" t="s">
        <v>5506</v>
      </c>
      <c r="I266" s="5" t="s">
        <v>190</v>
      </c>
      <c r="J266" s="5" t="s">
        <v>31</v>
      </c>
      <c r="K266" s="5" t="s">
        <v>31</v>
      </c>
      <c r="L266" s="7" t="s">
        <v>850</v>
      </c>
      <c r="M266" s="5" t="s">
        <v>31</v>
      </c>
      <c r="N266" s="5" t="s">
        <v>31</v>
      </c>
      <c r="O266" s="5" t="s">
        <v>32</v>
      </c>
      <c r="P266" s="2">
        <v>45933</v>
      </c>
      <c r="Q266" s="2">
        <v>45968</v>
      </c>
      <c r="R266" s="1" t="s">
        <v>552</v>
      </c>
      <c r="V266" s="45">
        <f>IF(OR(ISNUMBER(SEARCH("unable to locate acct",G266)),ISNUMBER(SEARCH("unknown",G266)),ISNUMBER(SEARCH("inactive",G266)),H266=""),0,1)</f>
        <v>1</v>
      </c>
    </row>
    <row r="267" spans="1:22" hidden="1">
      <c r="A267" s="2">
        <v>45903</v>
      </c>
      <c r="B267" s="1" t="s">
        <v>851</v>
      </c>
      <c r="C267" s="1" t="s">
        <v>852</v>
      </c>
      <c r="D267" s="1" t="s">
        <v>163</v>
      </c>
      <c r="E267" s="1">
        <v>85338</v>
      </c>
      <c r="F267" s="1" t="s">
        <v>853</v>
      </c>
      <c r="G267" s="1" t="s">
        <v>497</v>
      </c>
      <c r="H267" s="21" t="s">
        <v>5126</v>
      </c>
      <c r="I267" s="5" t="s">
        <v>67</v>
      </c>
      <c r="J267" s="5" t="s">
        <v>31</v>
      </c>
      <c r="K267" s="5" t="s">
        <v>31</v>
      </c>
      <c r="L267" s="5" t="s">
        <v>32</v>
      </c>
      <c r="M267" s="5" t="s">
        <v>31</v>
      </c>
      <c r="N267" s="5" t="s">
        <v>31</v>
      </c>
      <c r="O267" s="5" t="s">
        <v>32</v>
      </c>
      <c r="P267" s="5" t="s">
        <v>33</v>
      </c>
      <c r="Q267" s="2">
        <v>45968</v>
      </c>
      <c r="V267" s="45">
        <f>IF(OR(ISNUMBER(SEARCH("unable to locate acct",G267)),ISNUMBER(SEARCH("unknown",G267)),ISNUMBER(SEARCH("inactive",G267)),H267=""),0,1)</f>
        <v>1</v>
      </c>
    </row>
    <row r="268" spans="1:22" hidden="1">
      <c r="A268" s="2">
        <v>45903</v>
      </c>
      <c r="B268" s="1" t="s">
        <v>854</v>
      </c>
      <c r="C268" s="1" t="s">
        <v>855</v>
      </c>
      <c r="D268" s="1" t="s">
        <v>196</v>
      </c>
      <c r="E268" s="1">
        <v>85383</v>
      </c>
      <c r="F268" s="1" t="s">
        <v>25</v>
      </c>
      <c r="G268" s="1" t="s">
        <v>497</v>
      </c>
      <c r="H268" s="21" t="s">
        <v>5507</v>
      </c>
      <c r="I268" s="5" t="s">
        <v>190</v>
      </c>
      <c r="J268" s="5" t="s">
        <v>31</v>
      </c>
      <c r="K268" s="5" t="s">
        <v>31</v>
      </c>
      <c r="L268" s="5" t="s">
        <v>856</v>
      </c>
      <c r="M268" s="5" t="s">
        <v>31</v>
      </c>
      <c r="N268" s="5" t="s">
        <v>31</v>
      </c>
      <c r="O268" s="5" t="s">
        <v>32</v>
      </c>
      <c r="P268" s="5" t="s">
        <v>33</v>
      </c>
      <c r="Q268" s="2">
        <v>45968</v>
      </c>
      <c r="V268" s="45">
        <f>IF(OR(ISNUMBER(SEARCH("unable to locate acct",G268)),ISNUMBER(SEARCH("unknown",G268)),ISNUMBER(SEARCH("inactive",G268)),H268=""),0,1)</f>
        <v>1</v>
      </c>
    </row>
    <row r="269" spans="1:22" hidden="1">
      <c r="A269" s="2">
        <v>45903</v>
      </c>
      <c r="B269" s="1" t="s">
        <v>857</v>
      </c>
      <c r="C269" s="1" t="s">
        <v>768</v>
      </c>
      <c r="D269" s="1" t="s">
        <v>18</v>
      </c>
      <c r="E269" s="1">
        <v>85308</v>
      </c>
      <c r="F269" s="1" t="s">
        <v>858</v>
      </c>
      <c r="G269" s="1" t="s">
        <v>497</v>
      </c>
      <c r="H269" s="21" t="s">
        <v>5508</v>
      </c>
      <c r="I269" s="5" t="s">
        <v>67</v>
      </c>
      <c r="J269" s="5" t="s">
        <v>31</v>
      </c>
      <c r="K269" s="5" t="s">
        <v>31</v>
      </c>
      <c r="L269" s="5" t="s">
        <v>32</v>
      </c>
      <c r="M269" s="5" t="s">
        <v>31</v>
      </c>
      <c r="N269" s="5" t="s">
        <v>31</v>
      </c>
      <c r="O269" s="5" t="s">
        <v>32</v>
      </c>
      <c r="P269" s="5" t="s">
        <v>33</v>
      </c>
      <c r="Q269" s="2">
        <v>45968</v>
      </c>
      <c r="V269" s="45">
        <f>IF(OR(ISNUMBER(SEARCH("unable to locate acct",G269)),ISNUMBER(SEARCH("unknown",G269)),ISNUMBER(SEARCH("inactive",G269)),H269=""),0,1)</f>
        <v>1</v>
      </c>
    </row>
    <row r="270" spans="1:22" hidden="1">
      <c r="A270" s="2">
        <v>45903</v>
      </c>
      <c r="B270" s="1" t="s">
        <v>859</v>
      </c>
      <c r="C270" s="1" t="s">
        <v>860</v>
      </c>
      <c r="D270" s="1" t="s">
        <v>234</v>
      </c>
      <c r="E270" s="1">
        <v>85340</v>
      </c>
      <c r="F270" s="1" t="s">
        <v>25</v>
      </c>
      <c r="G270" s="1" t="s">
        <v>497</v>
      </c>
      <c r="H270" s="4" t="s">
        <v>5127</v>
      </c>
      <c r="I270" s="5" t="s">
        <v>67</v>
      </c>
      <c r="J270" s="5" t="s">
        <v>31</v>
      </c>
      <c r="K270" s="5" t="s">
        <v>31</v>
      </c>
      <c r="L270" s="5" t="s">
        <v>32</v>
      </c>
      <c r="M270" s="5" t="s">
        <v>31</v>
      </c>
      <c r="N270" s="5" t="s">
        <v>31</v>
      </c>
      <c r="O270" s="5" t="s">
        <v>32</v>
      </c>
      <c r="P270" s="5" t="s">
        <v>33</v>
      </c>
      <c r="Q270" s="2">
        <v>45968</v>
      </c>
      <c r="V270" s="45">
        <f>IF(OR(ISNUMBER(SEARCH("unable to locate acct",G270)),ISNUMBER(SEARCH("unknown",G270)),ISNUMBER(SEARCH("inactive",G270)),H270=""),0,1)</f>
        <v>1</v>
      </c>
    </row>
    <row r="271" spans="1:22" hidden="1">
      <c r="A271" s="2">
        <v>45903</v>
      </c>
      <c r="B271" s="1" t="s">
        <v>459</v>
      </c>
      <c r="C271" s="1" t="s">
        <v>861</v>
      </c>
      <c r="D271" s="1" t="s">
        <v>196</v>
      </c>
      <c r="E271" s="1">
        <v>85382</v>
      </c>
      <c r="F271" s="1" t="s">
        <v>304</v>
      </c>
      <c r="G271" s="1" t="s">
        <v>497</v>
      </c>
      <c r="H271" s="4" t="s">
        <v>21</v>
      </c>
      <c r="V271" s="45">
        <f>IF(OR(ISNUMBER(SEARCH("unable to locate acct",G271)),ISNUMBER(SEARCH("unknown",G271)),ISNUMBER(SEARCH("inactive",G271)),H271=""),0,1)</f>
        <v>1</v>
      </c>
    </row>
    <row r="272" spans="1:22" hidden="1">
      <c r="A272" s="2">
        <v>45903</v>
      </c>
      <c r="B272" s="1" t="s">
        <v>862</v>
      </c>
      <c r="C272" s="1" t="s">
        <v>863</v>
      </c>
      <c r="D272" s="1" t="s">
        <v>119</v>
      </c>
      <c r="E272" s="1">
        <v>85255</v>
      </c>
      <c r="F272" s="1" t="s">
        <v>304</v>
      </c>
      <c r="G272" s="1" t="s">
        <v>497</v>
      </c>
      <c r="H272" s="21" t="s">
        <v>5509</v>
      </c>
      <c r="I272" s="5" t="s">
        <v>30</v>
      </c>
      <c r="J272" s="5" t="s">
        <v>31</v>
      </c>
      <c r="K272" s="5" t="s">
        <v>31</v>
      </c>
      <c r="L272" s="5" t="s">
        <v>32</v>
      </c>
      <c r="M272" s="5" t="s">
        <v>31</v>
      </c>
      <c r="N272" s="5" t="s">
        <v>31</v>
      </c>
      <c r="O272" s="5" t="s">
        <v>32</v>
      </c>
      <c r="P272" s="5" t="s">
        <v>33</v>
      </c>
      <c r="Q272" s="2">
        <v>45968</v>
      </c>
      <c r="V272" s="45">
        <f>IF(OR(ISNUMBER(SEARCH("unable to locate acct",G272)),ISNUMBER(SEARCH("unknown",G272)),ISNUMBER(SEARCH("inactive",G272)),H272=""),0,1)</f>
        <v>1</v>
      </c>
    </row>
    <row r="273" spans="1:22" hidden="1">
      <c r="A273" s="2">
        <v>45903</v>
      </c>
      <c r="B273" s="1" t="s">
        <v>864</v>
      </c>
      <c r="C273" s="1" t="s">
        <v>865</v>
      </c>
      <c r="D273" s="1" t="s">
        <v>234</v>
      </c>
      <c r="E273" s="1">
        <v>85340</v>
      </c>
      <c r="F273" s="1" t="s">
        <v>866</v>
      </c>
      <c r="G273" s="1" t="s">
        <v>497</v>
      </c>
      <c r="H273" s="21" t="s">
        <v>5510</v>
      </c>
      <c r="I273" s="5" t="s">
        <v>30</v>
      </c>
      <c r="J273" s="5" t="s">
        <v>31</v>
      </c>
      <c r="K273" s="5" t="s">
        <v>31</v>
      </c>
      <c r="L273" s="5" t="s">
        <v>32</v>
      </c>
      <c r="M273" s="5" t="s">
        <v>31</v>
      </c>
      <c r="N273" s="5" t="s">
        <v>31</v>
      </c>
      <c r="O273" s="5" t="s">
        <v>32</v>
      </c>
      <c r="P273" s="5" t="s">
        <v>33</v>
      </c>
      <c r="Q273" s="2">
        <v>45968</v>
      </c>
      <c r="V273" s="45">
        <f>IF(OR(ISNUMBER(SEARCH("unable to locate acct",G273)),ISNUMBER(SEARCH("unknown",G273)),ISNUMBER(SEARCH("inactive",G273)),H273=""),0,1)</f>
        <v>1</v>
      </c>
    </row>
    <row r="274" spans="1:22" hidden="1">
      <c r="A274" s="2">
        <v>45903</v>
      </c>
      <c r="B274" s="1" t="s">
        <v>867</v>
      </c>
      <c r="C274" s="1" t="s">
        <v>868</v>
      </c>
      <c r="D274" s="1" t="s">
        <v>163</v>
      </c>
      <c r="E274" s="1">
        <v>85338</v>
      </c>
      <c r="F274" s="1" t="s">
        <v>869</v>
      </c>
      <c r="G274" s="1" t="s">
        <v>497</v>
      </c>
      <c r="H274" s="4" t="s">
        <v>21</v>
      </c>
      <c r="V274" s="45">
        <f>IF(OR(ISNUMBER(SEARCH("unable to locate acct",G274)),ISNUMBER(SEARCH("unknown",G274)),ISNUMBER(SEARCH("inactive",G274)),H274=""),0,1)</f>
        <v>1</v>
      </c>
    </row>
    <row r="275" spans="1:22" hidden="1">
      <c r="A275" s="2">
        <v>45903</v>
      </c>
      <c r="B275" s="1" t="s">
        <v>870</v>
      </c>
      <c r="C275" s="1" t="s">
        <v>871</v>
      </c>
      <c r="D275" s="1" t="s">
        <v>18</v>
      </c>
      <c r="E275" s="1">
        <v>85301</v>
      </c>
      <c r="F275" s="1" t="s">
        <v>304</v>
      </c>
      <c r="G275" s="1" t="s">
        <v>497</v>
      </c>
      <c r="H275" s="21" t="s">
        <v>5511</v>
      </c>
      <c r="I275" s="5" t="s">
        <v>190</v>
      </c>
      <c r="J275" s="5" t="s">
        <v>31</v>
      </c>
      <c r="K275" s="5" t="s">
        <v>31</v>
      </c>
      <c r="L275" s="5" t="s">
        <v>32</v>
      </c>
      <c r="M275" s="5" t="s">
        <v>31</v>
      </c>
      <c r="N275" s="5" t="s">
        <v>31</v>
      </c>
      <c r="O275" s="5" t="s">
        <v>32</v>
      </c>
      <c r="P275" s="5" t="s">
        <v>33</v>
      </c>
      <c r="Q275" s="2">
        <v>45968</v>
      </c>
      <c r="V275" s="45">
        <f>IF(OR(ISNUMBER(SEARCH("unable to locate acct",G275)),ISNUMBER(SEARCH("unknown",G275)),ISNUMBER(SEARCH("inactive",G275)),H275=""),0,1)</f>
        <v>1</v>
      </c>
    </row>
    <row r="276" spans="1:22" hidden="1">
      <c r="A276" s="2">
        <v>45903</v>
      </c>
      <c r="B276" s="1" t="s">
        <v>872</v>
      </c>
      <c r="C276" s="1" t="s">
        <v>873</v>
      </c>
      <c r="D276" s="1" t="s">
        <v>106</v>
      </c>
      <c r="E276" s="1">
        <v>85388</v>
      </c>
      <c r="F276" s="1" t="s">
        <v>304</v>
      </c>
      <c r="G276" s="1" t="s">
        <v>497</v>
      </c>
      <c r="H276" s="21" t="s">
        <v>5512</v>
      </c>
      <c r="I276" s="5" t="s">
        <v>30</v>
      </c>
      <c r="J276" s="5" t="s">
        <v>31</v>
      </c>
      <c r="K276" s="5" t="s">
        <v>31</v>
      </c>
      <c r="L276" s="5" t="s">
        <v>32</v>
      </c>
      <c r="M276" s="5" t="s">
        <v>31</v>
      </c>
      <c r="N276" s="5" t="s">
        <v>31</v>
      </c>
      <c r="O276" s="5" t="s">
        <v>32</v>
      </c>
      <c r="P276" s="5" t="s">
        <v>33</v>
      </c>
      <c r="Q276" s="2">
        <v>45968</v>
      </c>
      <c r="V276" s="45">
        <f>IF(OR(ISNUMBER(SEARCH("unable to locate acct",G276)),ISNUMBER(SEARCH("unknown",G276)),ISNUMBER(SEARCH("inactive",G276)),H276=""),0,1)</f>
        <v>1</v>
      </c>
    </row>
    <row r="277" spans="1:22" hidden="1">
      <c r="A277" s="2">
        <v>45903</v>
      </c>
      <c r="B277" s="1" t="s">
        <v>874</v>
      </c>
      <c r="C277" s="1" t="s">
        <v>875</v>
      </c>
      <c r="D277" s="1" t="s">
        <v>18</v>
      </c>
      <c r="E277" s="1">
        <v>85301</v>
      </c>
      <c r="F277" s="1" t="s">
        <v>25</v>
      </c>
      <c r="G277" s="1" t="s">
        <v>497</v>
      </c>
      <c r="H277" s="4" t="s">
        <v>5128</v>
      </c>
      <c r="I277" s="5" t="s">
        <v>67</v>
      </c>
      <c r="J277" s="5" t="s">
        <v>31</v>
      </c>
      <c r="K277" s="5" t="s">
        <v>31</v>
      </c>
      <c r="L277" s="5" t="s">
        <v>32</v>
      </c>
      <c r="M277" s="5" t="s">
        <v>31</v>
      </c>
      <c r="N277" s="5" t="s">
        <v>31</v>
      </c>
      <c r="O277" s="5" t="s">
        <v>32</v>
      </c>
      <c r="P277" s="5" t="s">
        <v>33</v>
      </c>
      <c r="Q277" s="2">
        <v>45968</v>
      </c>
      <c r="V277" s="45">
        <f>IF(OR(ISNUMBER(SEARCH("unable to locate acct",G277)),ISNUMBER(SEARCH("unknown",G277)),ISNUMBER(SEARCH("inactive",G277)),H277=""),0,1)</f>
        <v>1</v>
      </c>
    </row>
    <row r="278" spans="1:22" hidden="1">
      <c r="A278" s="2">
        <v>45903</v>
      </c>
      <c r="B278" s="1" t="s">
        <v>876</v>
      </c>
      <c r="C278" s="1" t="s">
        <v>877</v>
      </c>
      <c r="D278" s="1" t="s">
        <v>57</v>
      </c>
      <c r="E278" s="1">
        <v>85054</v>
      </c>
      <c r="F278" s="1" t="s">
        <v>304</v>
      </c>
      <c r="G278" s="1" t="s">
        <v>497</v>
      </c>
      <c r="H278" s="4" t="s">
        <v>203</v>
      </c>
      <c r="V278" s="45">
        <f>IF(OR(ISNUMBER(SEARCH("unable to locate acct",G278)),ISNUMBER(SEARCH("unknown",G278)),ISNUMBER(SEARCH("inactive",G278)),H278=""),0,1)</f>
        <v>1</v>
      </c>
    </row>
    <row r="279" spans="1:22" hidden="1">
      <c r="A279" s="2">
        <v>45903</v>
      </c>
      <c r="B279" s="1" t="s">
        <v>878</v>
      </c>
      <c r="C279" s="1" t="s">
        <v>879</v>
      </c>
      <c r="D279" s="1" t="s">
        <v>880</v>
      </c>
      <c r="E279" s="1">
        <v>85501</v>
      </c>
      <c r="F279" s="1" t="s">
        <v>25</v>
      </c>
      <c r="G279" s="1" t="s">
        <v>497</v>
      </c>
      <c r="H279" s="21" t="s">
        <v>5513</v>
      </c>
      <c r="I279" s="5" t="s">
        <v>190</v>
      </c>
      <c r="J279" s="5" t="s">
        <v>31</v>
      </c>
      <c r="K279" s="5" t="s">
        <v>31</v>
      </c>
      <c r="L279" s="5" t="s">
        <v>881</v>
      </c>
      <c r="M279" s="5" t="s">
        <v>31</v>
      </c>
      <c r="N279" s="5" t="s">
        <v>31</v>
      </c>
      <c r="O279" s="5" t="s">
        <v>32</v>
      </c>
      <c r="P279" s="5" t="s">
        <v>33</v>
      </c>
      <c r="Q279" s="2">
        <v>45968</v>
      </c>
      <c r="V279" s="45">
        <f>IF(OR(ISNUMBER(SEARCH("unable to locate acct",G279)),ISNUMBER(SEARCH("unknown",G279)),ISNUMBER(SEARCH("inactive",G279)),H279=""),0,1)</f>
        <v>1</v>
      </c>
    </row>
    <row r="280" spans="1:22" hidden="1">
      <c r="A280" s="2">
        <v>45903</v>
      </c>
      <c r="B280" s="1" t="s">
        <v>882</v>
      </c>
      <c r="C280" s="1" t="s">
        <v>883</v>
      </c>
      <c r="D280" s="1" t="s">
        <v>57</v>
      </c>
      <c r="E280" s="1">
        <v>85013</v>
      </c>
      <c r="F280" s="1" t="s">
        <v>304</v>
      </c>
      <c r="G280" s="1" t="s">
        <v>497</v>
      </c>
      <c r="H280" s="21" t="s">
        <v>5514</v>
      </c>
      <c r="I280" s="5" t="s">
        <v>120</v>
      </c>
      <c r="J280" s="5" t="s">
        <v>31</v>
      </c>
      <c r="K280" s="5" t="s">
        <v>31</v>
      </c>
      <c r="L280" s="5" t="s">
        <v>884</v>
      </c>
      <c r="M280" s="5" t="s">
        <v>31</v>
      </c>
      <c r="N280" s="5" t="s">
        <v>31</v>
      </c>
      <c r="O280" s="5" t="s">
        <v>32</v>
      </c>
      <c r="P280" s="5" t="s">
        <v>33</v>
      </c>
      <c r="Q280" s="2">
        <v>45968</v>
      </c>
      <c r="V280" s="45">
        <f>IF(OR(ISNUMBER(SEARCH("unable to locate acct",G280)),ISNUMBER(SEARCH("unknown",G280)),ISNUMBER(SEARCH("inactive",G280)),H280=""),0,1)</f>
        <v>1</v>
      </c>
    </row>
    <row r="281" spans="1:22" hidden="1">
      <c r="A281" s="2">
        <v>45903</v>
      </c>
      <c r="B281" s="1" t="s">
        <v>885</v>
      </c>
      <c r="C281" s="1" t="s">
        <v>886</v>
      </c>
      <c r="D281" s="1" t="s">
        <v>163</v>
      </c>
      <c r="E281" s="1">
        <v>85395</v>
      </c>
      <c r="F281" s="1" t="s">
        <v>25</v>
      </c>
      <c r="G281" s="1" t="s">
        <v>497</v>
      </c>
      <c r="H281" s="21" t="s">
        <v>5515</v>
      </c>
      <c r="I281" s="5" t="s">
        <v>30</v>
      </c>
      <c r="J281" s="5" t="s">
        <v>31</v>
      </c>
      <c r="K281" s="5" t="s">
        <v>31</v>
      </c>
      <c r="L281" s="5" t="s">
        <v>887</v>
      </c>
      <c r="M281" s="5" t="s">
        <v>31</v>
      </c>
      <c r="N281" s="5" t="s">
        <v>31</v>
      </c>
      <c r="O281" s="5" t="s">
        <v>32</v>
      </c>
      <c r="P281" s="5" t="s">
        <v>33</v>
      </c>
      <c r="Q281" s="2">
        <v>45968</v>
      </c>
      <c r="V281" s="45">
        <f>IF(OR(ISNUMBER(SEARCH("unable to locate acct",G281)),ISNUMBER(SEARCH("unknown",G281)),ISNUMBER(SEARCH("inactive",G281)),H281=""),0,1)</f>
        <v>1</v>
      </c>
    </row>
    <row r="282" spans="1:22" hidden="1">
      <c r="A282" s="2">
        <v>45903</v>
      </c>
      <c r="B282" s="1" t="s">
        <v>888</v>
      </c>
      <c r="C282" s="1" t="s">
        <v>889</v>
      </c>
      <c r="D282" s="1" t="s">
        <v>196</v>
      </c>
      <c r="E282" s="1">
        <v>85383</v>
      </c>
      <c r="F282" s="1" t="s">
        <v>304</v>
      </c>
      <c r="G282" s="1" t="s">
        <v>497</v>
      </c>
      <c r="H282" s="21" t="s">
        <v>5516</v>
      </c>
      <c r="I282" s="5" t="s">
        <v>532</v>
      </c>
      <c r="J282" s="5" t="s">
        <v>31</v>
      </c>
      <c r="K282" s="5" t="s">
        <v>31</v>
      </c>
      <c r="L282" s="5" t="s">
        <v>381</v>
      </c>
      <c r="M282" s="5" t="s">
        <v>31</v>
      </c>
      <c r="N282" s="5" t="s">
        <v>31</v>
      </c>
      <c r="O282" s="5" t="s">
        <v>32</v>
      </c>
      <c r="P282" s="5" t="s">
        <v>33</v>
      </c>
      <c r="Q282" s="2">
        <v>45968</v>
      </c>
      <c r="V282" s="45">
        <f>IF(OR(ISNUMBER(SEARCH("unable to locate acct",G282)),ISNUMBER(SEARCH("unknown",G282)),ISNUMBER(SEARCH("inactive",G282)),H282=""),0,1)</f>
        <v>1</v>
      </c>
    </row>
    <row r="283" spans="1:22" hidden="1">
      <c r="A283" s="2">
        <v>45903</v>
      </c>
      <c r="B283" s="1" t="s">
        <v>890</v>
      </c>
      <c r="C283" s="1" t="s">
        <v>891</v>
      </c>
      <c r="D283" s="1" t="s">
        <v>57</v>
      </c>
      <c r="E283" s="1">
        <v>85083</v>
      </c>
      <c r="F283" s="1" t="s">
        <v>25</v>
      </c>
      <c r="G283" s="1" t="s">
        <v>497</v>
      </c>
      <c r="H283" s="21" t="s">
        <v>5517</v>
      </c>
      <c r="I283" s="5" t="s">
        <v>67</v>
      </c>
      <c r="J283" s="5" t="s">
        <v>31</v>
      </c>
      <c r="K283" s="5" t="s">
        <v>31</v>
      </c>
      <c r="L283" s="5" t="s">
        <v>393</v>
      </c>
      <c r="M283" s="5" t="s">
        <v>31</v>
      </c>
      <c r="N283" s="5" t="s">
        <v>31</v>
      </c>
      <c r="O283" s="5" t="s">
        <v>32</v>
      </c>
      <c r="P283" s="5" t="s">
        <v>33</v>
      </c>
      <c r="Q283" s="2">
        <v>45968</v>
      </c>
      <c r="V283" s="45">
        <f>IF(OR(ISNUMBER(SEARCH("unable to locate acct",G283)),ISNUMBER(SEARCH("unknown",G283)),ISNUMBER(SEARCH("inactive",G283)),H283=""),0,1)</f>
        <v>1</v>
      </c>
    </row>
    <row r="284" spans="1:22" hidden="1">
      <c r="A284" s="2">
        <v>45903</v>
      </c>
      <c r="B284" s="1" t="s">
        <v>892</v>
      </c>
      <c r="C284" s="1" t="s">
        <v>893</v>
      </c>
      <c r="D284" s="1" t="s">
        <v>57</v>
      </c>
      <c r="E284" s="1">
        <v>85014</v>
      </c>
      <c r="F284" s="1" t="s">
        <v>304</v>
      </c>
      <c r="G284" s="1" t="s">
        <v>497</v>
      </c>
      <c r="H284" s="21" t="s">
        <v>5518</v>
      </c>
      <c r="I284" s="5" t="s">
        <v>67</v>
      </c>
      <c r="J284" s="5" t="s">
        <v>31</v>
      </c>
      <c r="K284" s="5" t="s">
        <v>31</v>
      </c>
      <c r="L284" s="5" t="s">
        <v>32</v>
      </c>
      <c r="M284" s="5" t="s">
        <v>31</v>
      </c>
      <c r="N284" s="5" t="s">
        <v>31</v>
      </c>
      <c r="O284" s="5" t="s">
        <v>32</v>
      </c>
      <c r="P284" s="5" t="s">
        <v>33</v>
      </c>
      <c r="Q284" s="2">
        <v>45968</v>
      </c>
      <c r="V284" s="45">
        <f>IF(OR(ISNUMBER(SEARCH("unable to locate acct",G284)),ISNUMBER(SEARCH("unknown",G284)),ISNUMBER(SEARCH("inactive",G284)),H284=""),0,1)</f>
        <v>1</v>
      </c>
    </row>
    <row r="285" spans="1:22" hidden="1">
      <c r="A285" s="2">
        <v>45903</v>
      </c>
      <c r="B285" s="1" t="s">
        <v>894</v>
      </c>
      <c r="C285" s="1" t="s">
        <v>895</v>
      </c>
      <c r="D285" s="1" t="s">
        <v>196</v>
      </c>
      <c r="E285" s="1">
        <v>85382</v>
      </c>
      <c r="F285" s="1" t="s">
        <v>304</v>
      </c>
      <c r="G285" s="1" t="s">
        <v>497</v>
      </c>
      <c r="H285" s="4" t="s">
        <v>4957</v>
      </c>
      <c r="I285" s="5" t="s">
        <v>30</v>
      </c>
      <c r="J285" s="5" t="s">
        <v>31</v>
      </c>
      <c r="K285" s="5" t="s">
        <v>31</v>
      </c>
      <c r="L285" s="5" t="s">
        <v>896</v>
      </c>
      <c r="M285" s="5" t="s">
        <v>31</v>
      </c>
      <c r="N285" s="5" t="s">
        <v>31</v>
      </c>
      <c r="O285" s="5" t="s">
        <v>32</v>
      </c>
      <c r="P285" s="5" t="s">
        <v>33</v>
      </c>
      <c r="Q285" s="2">
        <v>45968</v>
      </c>
      <c r="V285" s="45">
        <f>IF(OR(ISNUMBER(SEARCH("unable to locate acct",G285)),ISNUMBER(SEARCH("unknown",G285)),ISNUMBER(SEARCH("inactive",G285)),H285=""),0,1)</f>
        <v>1</v>
      </c>
    </row>
    <row r="286" spans="1:22" hidden="1">
      <c r="A286" s="2">
        <v>45903</v>
      </c>
      <c r="B286" s="1" t="s">
        <v>897</v>
      </c>
      <c r="C286" s="1" t="s">
        <v>898</v>
      </c>
      <c r="D286" s="1" t="s">
        <v>119</v>
      </c>
      <c r="E286" s="1">
        <v>85251</v>
      </c>
      <c r="F286" s="1" t="s">
        <v>304</v>
      </c>
      <c r="G286" s="1" t="s">
        <v>497</v>
      </c>
      <c r="H286" s="21" t="s">
        <v>5519</v>
      </c>
      <c r="I286" s="5" t="s">
        <v>67</v>
      </c>
      <c r="J286" s="5" t="s">
        <v>31</v>
      </c>
      <c r="K286" s="5" t="s">
        <v>31</v>
      </c>
      <c r="L286" s="5" t="s">
        <v>32</v>
      </c>
      <c r="M286" s="5" t="s">
        <v>31</v>
      </c>
      <c r="N286" s="5" t="s">
        <v>31</v>
      </c>
      <c r="O286" s="5" t="s">
        <v>32</v>
      </c>
      <c r="P286" s="5" t="s">
        <v>33</v>
      </c>
      <c r="Q286" s="2">
        <v>45968</v>
      </c>
      <c r="V286" s="45">
        <f>IF(OR(ISNUMBER(SEARCH("unable to locate acct",G286)),ISNUMBER(SEARCH("unknown",G286)),ISNUMBER(SEARCH("inactive",G286)),H286=""),0,1)</f>
        <v>1</v>
      </c>
    </row>
    <row r="287" spans="1:22" hidden="1">
      <c r="A287" s="2">
        <v>45903</v>
      </c>
      <c r="B287" s="1" t="s">
        <v>899</v>
      </c>
      <c r="C287" s="1" t="s">
        <v>814</v>
      </c>
      <c r="D287" s="1" t="s">
        <v>57</v>
      </c>
      <c r="E287" s="1">
        <v>85016</v>
      </c>
      <c r="F287" s="1" t="s">
        <v>304</v>
      </c>
      <c r="G287" s="1" t="s">
        <v>497</v>
      </c>
      <c r="H287" s="21" t="s">
        <v>5520</v>
      </c>
      <c r="I287" s="5" t="s">
        <v>120</v>
      </c>
      <c r="J287" s="5" t="s">
        <v>31</v>
      </c>
      <c r="K287" s="5" t="s">
        <v>31</v>
      </c>
      <c r="L287" s="5" t="s">
        <v>900</v>
      </c>
      <c r="M287" s="5" t="s">
        <v>31</v>
      </c>
      <c r="N287" s="5" t="s">
        <v>31</v>
      </c>
      <c r="O287" s="5" t="s">
        <v>32</v>
      </c>
      <c r="P287" s="5" t="s">
        <v>33</v>
      </c>
      <c r="Q287" s="2">
        <v>45968</v>
      </c>
      <c r="V287" s="45">
        <f>IF(OR(ISNUMBER(SEARCH("unable to locate acct",G287)),ISNUMBER(SEARCH("unknown",G287)),ISNUMBER(SEARCH("inactive",G287)),H287=""),0,1)</f>
        <v>1</v>
      </c>
    </row>
    <row r="288" spans="1:22" hidden="1">
      <c r="A288" s="2">
        <v>45903</v>
      </c>
      <c r="B288" s="1" t="s">
        <v>517</v>
      </c>
      <c r="C288" s="1" t="s">
        <v>123</v>
      </c>
      <c r="D288" s="1" t="s">
        <v>163</v>
      </c>
      <c r="E288" s="1">
        <v>85338</v>
      </c>
      <c r="F288" s="1" t="s">
        <v>25</v>
      </c>
      <c r="G288" s="1" t="s">
        <v>497</v>
      </c>
      <c r="H288" s="4" t="s">
        <v>203</v>
      </c>
      <c r="V288" s="45">
        <f>IF(OR(ISNUMBER(SEARCH("unable to locate acct",G288)),ISNUMBER(SEARCH("unknown",G288)),ISNUMBER(SEARCH("inactive",G288)),H288=""),0,1)</f>
        <v>1</v>
      </c>
    </row>
    <row r="289" spans="1:22" hidden="1">
      <c r="A289" s="2">
        <v>45903</v>
      </c>
      <c r="B289" s="1" t="s">
        <v>284</v>
      </c>
      <c r="C289" s="1" t="s">
        <v>901</v>
      </c>
      <c r="D289" s="1" t="s">
        <v>57</v>
      </c>
      <c r="E289" s="1">
        <v>85013</v>
      </c>
      <c r="F289" s="1" t="s">
        <v>304</v>
      </c>
      <c r="G289" s="1" t="s">
        <v>497</v>
      </c>
      <c r="H289" s="21" t="s">
        <v>5521</v>
      </c>
      <c r="I289" s="5" t="s">
        <v>67</v>
      </c>
      <c r="J289" s="5" t="s">
        <v>31</v>
      </c>
      <c r="K289" s="5" t="s">
        <v>31</v>
      </c>
      <c r="L289" s="5" t="s">
        <v>32</v>
      </c>
      <c r="M289" s="5" t="s">
        <v>31</v>
      </c>
      <c r="N289" s="5" t="s">
        <v>31</v>
      </c>
      <c r="O289" s="5" t="s">
        <v>32</v>
      </c>
      <c r="P289" s="5" t="s">
        <v>33</v>
      </c>
      <c r="Q289" s="2">
        <v>45968</v>
      </c>
      <c r="V289" s="45">
        <f>IF(OR(ISNUMBER(SEARCH("unable to locate acct",G289)),ISNUMBER(SEARCH("unknown",G289)),ISNUMBER(SEARCH("inactive",G289)),H289=""),0,1)</f>
        <v>1</v>
      </c>
    </row>
    <row r="290" spans="1:22" hidden="1">
      <c r="A290" s="2">
        <v>45903</v>
      </c>
      <c r="B290" s="1" t="s">
        <v>902</v>
      </c>
      <c r="C290" s="1" t="s">
        <v>903</v>
      </c>
      <c r="D290" s="1" t="s">
        <v>57</v>
      </c>
      <c r="E290" s="1">
        <v>85028</v>
      </c>
      <c r="F290" s="1" t="s">
        <v>304</v>
      </c>
      <c r="G290" s="1" t="s">
        <v>497</v>
      </c>
      <c r="H290" s="21" t="s">
        <v>5522</v>
      </c>
      <c r="I290" s="5" t="s">
        <v>190</v>
      </c>
      <c r="J290" s="5" t="s">
        <v>31</v>
      </c>
      <c r="K290" s="5" t="s">
        <v>31</v>
      </c>
      <c r="L290" s="5" t="s">
        <v>904</v>
      </c>
      <c r="M290" s="5" t="s">
        <v>31</v>
      </c>
      <c r="N290" s="5" t="s">
        <v>31</v>
      </c>
      <c r="O290" s="5" t="s">
        <v>32</v>
      </c>
      <c r="P290" s="5" t="s">
        <v>33</v>
      </c>
      <c r="Q290" s="2">
        <v>45968</v>
      </c>
      <c r="V290" s="45">
        <f>IF(OR(ISNUMBER(SEARCH("unable to locate acct",G290)),ISNUMBER(SEARCH("unknown",G290)),ISNUMBER(SEARCH("inactive",G290)),H290=""),0,1)</f>
        <v>1</v>
      </c>
    </row>
    <row r="291" spans="1:22" hidden="1">
      <c r="A291" s="2">
        <v>45903</v>
      </c>
      <c r="B291" s="1" t="s">
        <v>170</v>
      </c>
      <c r="C291" s="1" t="s">
        <v>871</v>
      </c>
      <c r="D291" s="1" t="s">
        <v>163</v>
      </c>
      <c r="E291" s="1">
        <v>85338</v>
      </c>
      <c r="F291" s="1" t="s">
        <v>508</v>
      </c>
      <c r="G291" s="1" t="s">
        <v>497</v>
      </c>
      <c r="H291" s="4" t="s">
        <v>203</v>
      </c>
      <c r="V291" s="45">
        <f>IF(OR(ISNUMBER(SEARCH("unable to locate acct",G291)),ISNUMBER(SEARCH("unknown",G291)),ISNUMBER(SEARCH("inactive",G291)),H291=""),0,1)</f>
        <v>1</v>
      </c>
    </row>
    <row r="292" spans="1:22" hidden="1">
      <c r="A292" s="2">
        <v>45903</v>
      </c>
      <c r="B292" s="1" t="s">
        <v>905</v>
      </c>
      <c r="C292" s="1" t="s">
        <v>222</v>
      </c>
      <c r="D292" s="1" t="s">
        <v>196</v>
      </c>
      <c r="E292" s="1">
        <v>85381</v>
      </c>
      <c r="F292" s="1" t="s">
        <v>25</v>
      </c>
      <c r="G292" s="1" t="s">
        <v>497</v>
      </c>
      <c r="H292" s="21" t="s">
        <v>5523</v>
      </c>
      <c r="I292" s="5" t="s">
        <v>30</v>
      </c>
      <c r="J292" s="5" t="s">
        <v>31</v>
      </c>
      <c r="K292" s="5" t="s">
        <v>31</v>
      </c>
      <c r="L292" s="5" t="s">
        <v>32</v>
      </c>
      <c r="M292" s="5" t="s">
        <v>31</v>
      </c>
      <c r="N292" s="5" t="s">
        <v>31</v>
      </c>
      <c r="O292" s="5" t="s">
        <v>32</v>
      </c>
      <c r="P292" s="5" t="s">
        <v>33</v>
      </c>
      <c r="Q292" s="2">
        <v>45968</v>
      </c>
      <c r="V292" s="45">
        <f>IF(OR(ISNUMBER(SEARCH("unable to locate acct",G292)),ISNUMBER(SEARCH("unknown",G292)),ISNUMBER(SEARCH("inactive",G292)),H292=""),0,1)</f>
        <v>1</v>
      </c>
    </row>
    <row r="293" spans="1:22" hidden="1">
      <c r="A293" s="2">
        <v>45903</v>
      </c>
      <c r="B293" s="1" t="s">
        <v>906</v>
      </c>
      <c r="C293" s="1" t="s">
        <v>907</v>
      </c>
      <c r="D293" s="1" t="s">
        <v>106</v>
      </c>
      <c r="E293" s="1">
        <v>85388</v>
      </c>
      <c r="F293" s="1" t="s">
        <v>304</v>
      </c>
      <c r="G293" s="1" t="s">
        <v>497</v>
      </c>
      <c r="H293" s="21" t="s">
        <v>5524</v>
      </c>
      <c r="I293" s="5" t="s">
        <v>410</v>
      </c>
      <c r="J293" s="5" t="s">
        <v>31</v>
      </c>
      <c r="K293" s="5" t="s">
        <v>31</v>
      </c>
      <c r="L293" s="5" t="s">
        <v>381</v>
      </c>
      <c r="M293" s="5" t="s">
        <v>31</v>
      </c>
      <c r="N293" s="5" t="s">
        <v>31</v>
      </c>
      <c r="O293" s="5" t="s">
        <v>32</v>
      </c>
      <c r="P293" s="5" t="s">
        <v>33</v>
      </c>
      <c r="Q293" s="2">
        <v>45968</v>
      </c>
      <c r="V293" s="45">
        <f>IF(OR(ISNUMBER(SEARCH("unable to locate acct",G293)),ISNUMBER(SEARCH("unknown",G293)),ISNUMBER(SEARCH("inactive",G293)),H293=""),0,1)</f>
        <v>1</v>
      </c>
    </row>
    <row r="294" spans="1:22" hidden="1">
      <c r="A294" s="2">
        <v>45903</v>
      </c>
      <c r="B294" s="1" t="s">
        <v>908</v>
      </c>
      <c r="C294" s="1" t="s">
        <v>909</v>
      </c>
      <c r="D294" s="1" t="s">
        <v>119</v>
      </c>
      <c r="E294" s="1">
        <v>85254</v>
      </c>
      <c r="F294" s="1" t="s">
        <v>25</v>
      </c>
      <c r="G294" s="1" t="s">
        <v>497</v>
      </c>
      <c r="H294" s="21" t="s">
        <v>5525</v>
      </c>
      <c r="I294" s="5" t="s">
        <v>190</v>
      </c>
      <c r="J294" s="5" t="s">
        <v>31</v>
      </c>
      <c r="K294" s="5" t="s">
        <v>31</v>
      </c>
      <c r="L294" s="5" t="s">
        <v>32</v>
      </c>
      <c r="M294" s="5" t="s">
        <v>31</v>
      </c>
      <c r="N294" s="5" t="s">
        <v>31</v>
      </c>
      <c r="O294" s="5" t="s">
        <v>32</v>
      </c>
      <c r="P294" s="5" t="s">
        <v>33</v>
      </c>
      <c r="Q294" s="2">
        <v>45968</v>
      </c>
      <c r="V294" s="45">
        <f>IF(OR(ISNUMBER(SEARCH("unable to locate acct",G294)),ISNUMBER(SEARCH("unknown",G294)),ISNUMBER(SEARCH("inactive",G294)),H294=""),0,1)</f>
        <v>1</v>
      </c>
    </row>
    <row r="295" spans="1:22" hidden="1">
      <c r="A295" s="2">
        <v>45903</v>
      </c>
      <c r="B295" s="1" t="s">
        <v>910</v>
      </c>
      <c r="C295" s="1" t="s">
        <v>855</v>
      </c>
      <c r="D295" s="1" t="s">
        <v>196</v>
      </c>
      <c r="E295" s="1">
        <v>85383</v>
      </c>
      <c r="F295" s="1" t="s">
        <v>304</v>
      </c>
      <c r="G295" s="1" t="s">
        <v>497</v>
      </c>
      <c r="H295" s="4" t="s">
        <v>21</v>
      </c>
      <c r="V295" s="45">
        <f>IF(OR(ISNUMBER(SEARCH("unable to locate acct",G295)),ISNUMBER(SEARCH("unknown",G295)),ISNUMBER(SEARCH("inactive",G295)),H295=""),0,1)</f>
        <v>1</v>
      </c>
    </row>
    <row r="296" spans="1:22" hidden="1">
      <c r="A296" s="2">
        <v>45903</v>
      </c>
      <c r="B296" s="1" t="s">
        <v>154</v>
      </c>
      <c r="C296" s="1" t="s">
        <v>911</v>
      </c>
      <c r="D296" s="1" t="s">
        <v>234</v>
      </c>
      <c r="E296" s="1">
        <v>85340</v>
      </c>
      <c r="F296" s="1" t="s">
        <v>912</v>
      </c>
      <c r="G296" s="1" t="s">
        <v>497</v>
      </c>
      <c r="H296" s="4" t="s">
        <v>21</v>
      </c>
      <c r="V296" s="45">
        <f>IF(OR(ISNUMBER(SEARCH("unable to locate acct",G296)),ISNUMBER(SEARCH("unknown",G296)),ISNUMBER(SEARCH("inactive",G296)),H296=""),0,1)</f>
        <v>1</v>
      </c>
    </row>
    <row r="297" spans="1:22" hidden="1">
      <c r="A297" s="2">
        <v>45903</v>
      </c>
      <c r="B297" s="1" t="s">
        <v>913</v>
      </c>
      <c r="C297" s="1" t="s">
        <v>348</v>
      </c>
      <c r="D297" s="1" t="s">
        <v>196</v>
      </c>
      <c r="E297" s="1">
        <v>85382</v>
      </c>
      <c r="F297" s="1" t="s">
        <v>914</v>
      </c>
      <c r="G297" s="1" t="s">
        <v>497</v>
      </c>
      <c r="H297" s="21" t="s">
        <v>5526</v>
      </c>
      <c r="I297" s="5" t="s">
        <v>532</v>
      </c>
      <c r="J297" s="5" t="s">
        <v>31</v>
      </c>
      <c r="K297" s="5" t="s">
        <v>31</v>
      </c>
      <c r="L297" s="5" t="s">
        <v>381</v>
      </c>
      <c r="M297" s="5" t="s">
        <v>31</v>
      </c>
      <c r="N297" s="5" t="s">
        <v>31</v>
      </c>
      <c r="O297" s="5" t="s">
        <v>32</v>
      </c>
      <c r="P297" s="5" t="s">
        <v>33</v>
      </c>
      <c r="Q297" s="2">
        <v>45968</v>
      </c>
      <c r="V297" s="45">
        <f>IF(OR(ISNUMBER(SEARCH("unable to locate acct",G297)),ISNUMBER(SEARCH("unknown",G297)),ISNUMBER(SEARCH("inactive",G297)),H297=""),0,1)</f>
        <v>1</v>
      </c>
    </row>
    <row r="298" spans="1:22" hidden="1">
      <c r="A298" s="2">
        <v>45903</v>
      </c>
      <c r="B298" s="1" t="s">
        <v>128</v>
      </c>
      <c r="C298" s="1" t="s">
        <v>779</v>
      </c>
      <c r="D298" s="1" t="s">
        <v>234</v>
      </c>
      <c r="E298" s="1">
        <v>85340</v>
      </c>
      <c r="F298" s="1" t="s">
        <v>25</v>
      </c>
      <c r="G298" s="1" t="s">
        <v>497</v>
      </c>
      <c r="H298" s="21" t="s">
        <v>5527</v>
      </c>
      <c r="I298" s="5" t="s">
        <v>410</v>
      </c>
      <c r="J298" s="5" t="s">
        <v>31</v>
      </c>
      <c r="K298" s="5" t="s">
        <v>31</v>
      </c>
      <c r="L298" s="5" t="s">
        <v>381</v>
      </c>
      <c r="M298" s="5" t="s">
        <v>31</v>
      </c>
      <c r="N298" s="5" t="s">
        <v>31</v>
      </c>
      <c r="O298" s="5" t="s">
        <v>32</v>
      </c>
      <c r="P298" s="5" t="s">
        <v>33</v>
      </c>
      <c r="Q298" s="2">
        <v>45968</v>
      </c>
      <c r="V298" s="45">
        <f>IF(OR(ISNUMBER(SEARCH("unable to locate acct",G298)),ISNUMBER(SEARCH("unknown",G298)),ISNUMBER(SEARCH("inactive",G298)),H298=""),0,1)</f>
        <v>1</v>
      </c>
    </row>
    <row r="299" spans="1:22" hidden="1">
      <c r="A299" s="2">
        <v>45903</v>
      </c>
      <c r="B299" s="1" t="s">
        <v>915</v>
      </c>
      <c r="C299" s="1" t="s">
        <v>916</v>
      </c>
      <c r="D299" s="1" t="s">
        <v>119</v>
      </c>
      <c r="E299" s="1">
        <v>85251</v>
      </c>
      <c r="F299" s="1" t="s">
        <v>304</v>
      </c>
      <c r="G299" s="1" t="s">
        <v>497</v>
      </c>
      <c r="H299" s="21" t="s">
        <v>5528</v>
      </c>
      <c r="I299" s="5" t="s">
        <v>120</v>
      </c>
      <c r="J299" s="5" t="s">
        <v>31</v>
      </c>
      <c r="K299" s="5" t="s">
        <v>31</v>
      </c>
      <c r="L299" s="7" t="s">
        <v>917</v>
      </c>
      <c r="M299" s="5" t="s">
        <v>31</v>
      </c>
      <c r="N299" s="5" t="s">
        <v>31</v>
      </c>
      <c r="O299" s="5" t="s">
        <v>32</v>
      </c>
      <c r="P299" s="2">
        <v>45933</v>
      </c>
      <c r="Q299" s="2">
        <v>45967</v>
      </c>
      <c r="R299" s="1" t="s">
        <v>918</v>
      </c>
      <c r="V299" s="45">
        <f>IF(OR(ISNUMBER(SEARCH("unable to locate acct",G299)),ISNUMBER(SEARCH("unknown",G299)),ISNUMBER(SEARCH("inactive",G299)),H299=""),0,1)</f>
        <v>1</v>
      </c>
    </row>
    <row r="300" spans="1:22" hidden="1">
      <c r="A300" s="2">
        <v>45903</v>
      </c>
      <c r="B300" s="1" t="s">
        <v>919</v>
      </c>
      <c r="C300" s="1" t="s">
        <v>664</v>
      </c>
      <c r="D300" s="1" t="s">
        <v>196</v>
      </c>
      <c r="E300" s="1">
        <v>85383</v>
      </c>
      <c r="F300" s="1" t="s">
        <v>304</v>
      </c>
      <c r="G300" s="1" t="s">
        <v>497</v>
      </c>
      <c r="H300" s="21" t="s">
        <v>5529</v>
      </c>
      <c r="I300" s="5" t="s">
        <v>30</v>
      </c>
      <c r="J300" s="5" t="s">
        <v>31</v>
      </c>
      <c r="K300" s="5" t="s">
        <v>31</v>
      </c>
      <c r="L300" s="5" t="s">
        <v>32</v>
      </c>
      <c r="M300" s="5" t="s">
        <v>31</v>
      </c>
      <c r="N300" s="5" t="s">
        <v>31</v>
      </c>
      <c r="O300" s="5" t="s">
        <v>32</v>
      </c>
      <c r="P300" s="5" t="s">
        <v>33</v>
      </c>
      <c r="Q300" s="2">
        <v>45967</v>
      </c>
      <c r="V300" s="45">
        <f>IF(OR(ISNUMBER(SEARCH("unable to locate acct",G300)),ISNUMBER(SEARCH("unknown",G300)),ISNUMBER(SEARCH("inactive",G300)),H300=""),0,1)</f>
        <v>1</v>
      </c>
    </row>
    <row r="301" spans="1:22" hidden="1">
      <c r="A301" s="2">
        <v>45903</v>
      </c>
      <c r="B301" s="1" t="s">
        <v>920</v>
      </c>
      <c r="C301" s="1" t="s">
        <v>202</v>
      </c>
      <c r="D301" s="1" t="s">
        <v>255</v>
      </c>
      <c r="E301" s="1">
        <v>86314</v>
      </c>
      <c r="F301" s="1" t="s">
        <v>25</v>
      </c>
      <c r="G301" s="1" t="s">
        <v>497</v>
      </c>
      <c r="H301" s="21" t="s">
        <v>5530</v>
      </c>
      <c r="I301" s="5" t="s">
        <v>120</v>
      </c>
      <c r="J301" s="5" t="s">
        <v>31</v>
      </c>
      <c r="K301" s="5" t="s">
        <v>31</v>
      </c>
      <c r="L301" s="5" t="s">
        <v>921</v>
      </c>
      <c r="M301" s="5" t="s">
        <v>31</v>
      </c>
      <c r="N301" s="5" t="s">
        <v>31</v>
      </c>
      <c r="O301" s="5" t="s">
        <v>32</v>
      </c>
      <c r="P301" s="5" t="s">
        <v>33</v>
      </c>
      <c r="Q301" s="2">
        <v>45967</v>
      </c>
      <c r="R301" s="1" t="s">
        <v>922</v>
      </c>
      <c r="V301" s="45">
        <f>IF(OR(ISNUMBER(SEARCH("unable to locate acct",G301)),ISNUMBER(SEARCH("unknown",G301)),ISNUMBER(SEARCH("inactive",G301)),H301=""),0,1)</f>
        <v>1</v>
      </c>
    </row>
    <row r="302" spans="1:22" hidden="1">
      <c r="A302" s="2">
        <v>45903</v>
      </c>
      <c r="B302" s="1" t="s">
        <v>923</v>
      </c>
      <c r="C302" s="1" t="s">
        <v>257</v>
      </c>
      <c r="D302" s="1" t="s">
        <v>163</v>
      </c>
      <c r="E302" s="1">
        <v>85395</v>
      </c>
      <c r="F302" s="1" t="s">
        <v>924</v>
      </c>
      <c r="G302" s="1" t="s">
        <v>497</v>
      </c>
      <c r="H302" s="21" t="s">
        <v>1188</v>
      </c>
      <c r="I302" s="5" t="s">
        <v>190</v>
      </c>
      <c r="J302" s="5" t="s">
        <v>31</v>
      </c>
      <c r="K302" s="5" t="s">
        <v>31</v>
      </c>
      <c r="L302" s="5" t="s">
        <v>32</v>
      </c>
      <c r="M302" s="5" t="s">
        <v>31</v>
      </c>
      <c r="N302" s="5" t="s">
        <v>31</v>
      </c>
      <c r="O302" s="5" t="s">
        <v>32</v>
      </c>
      <c r="P302" s="5" t="s">
        <v>33</v>
      </c>
      <c r="Q302" s="2">
        <v>45967</v>
      </c>
      <c r="V302" s="45">
        <f>IF(OR(ISNUMBER(SEARCH("unable to locate acct",G302)),ISNUMBER(SEARCH("unknown",G302)),ISNUMBER(SEARCH("inactive",G302)),H302=""),0,1)</f>
        <v>1</v>
      </c>
    </row>
    <row r="303" spans="1:22" hidden="1">
      <c r="A303" s="2">
        <v>45903</v>
      </c>
      <c r="B303" s="1" t="s">
        <v>128</v>
      </c>
      <c r="C303" s="1" t="s">
        <v>768</v>
      </c>
      <c r="D303" s="1" t="s">
        <v>234</v>
      </c>
      <c r="E303" s="1">
        <v>85340</v>
      </c>
      <c r="F303" s="1" t="s">
        <v>25</v>
      </c>
      <c r="G303" s="1" t="s">
        <v>497</v>
      </c>
      <c r="H303" s="21" t="s">
        <v>5531</v>
      </c>
      <c r="I303" s="5" t="s">
        <v>237</v>
      </c>
      <c r="J303" s="5" t="s">
        <v>31</v>
      </c>
      <c r="K303" s="5" t="s">
        <v>31</v>
      </c>
      <c r="L303" s="5" t="s">
        <v>381</v>
      </c>
      <c r="M303" s="5" t="s">
        <v>31</v>
      </c>
      <c r="N303" s="5" t="s">
        <v>31</v>
      </c>
      <c r="O303" s="5" t="s">
        <v>32</v>
      </c>
      <c r="P303" s="5" t="s">
        <v>33</v>
      </c>
      <c r="Q303" s="2">
        <v>45967</v>
      </c>
      <c r="V303" s="45">
        <f>IF(OR(ISNUMBER(SEARCH("unable to locate acct",G303)),ISNUMBER(SEARCH("unknown",G303)),ISNUMBER(SEARCH("inactive",G303)),H303=""),0,1)</f>
        <v>1</v>
      </c>
    </row>
    <row r="304" spans="1:22" hidden="1">
      <c r="A304" s="2">
        <v>45903</v>
      </c>
      <c r="B304" s="1" t="s">
        <v>925</v>
      </c>
      <c r="C304" s="1" t="s">
        <v>429</v>
      </c>
      <c r="D304" s="1" t="s">
        <v>57</v>
      </c>
      <c r="E304" s="1">
        <v>85028</v>
      </c>
      <c r="F304" s="1" t="s">
        <v>304</v>
      </c>
      <c r="G304" s="1" t="s">
        <v>497</v>
      </c>
      <c r="H304" s="4" t="s">
        <v>21</v>
      </c>
      <c r="V304" s="45">
        <f>IF(OR(ISNUMBER(SEARCH("unable to locate acct",G304)),ISNUMBER(SEARCH("unknown",G304)),ISNUMBER(SEARCH("inactive",G304)),H304=""),0,1)</f>
        <v>1</v>
      </c>
    </row>
    <row r="305" spans="1:22" hidden="1">
      <c r="A305" s="2">
        <v>45903</v>
      </c>
      <c r="B305" s="1" t="s">
        <v>926</v>
      </c>
      <c r="C305" s="1" t="s">
        <v>927</v>
      </c>
      <c r="D305" s="1" t="s">
        <v>163</v>
      </c>
      <c r="E305" s="1">
        <v>85338</v>
      </c>
      <c r="F305" s="1" t="s">
        <v>928</v>
      </c>
      <c r="G305" s="1" t="s">
        <v>497</v>
      </c>
      <c r="H305" s="21" t="s">
        <v>5532</v>
      </c>
      <c r="I305" s="5" t="s">
        <v>410</v>
      </c>
      <c r="J305" s="5" t="s">
        <v>31</v>
      </c>
      <c r="K305" s="5" t="s">
        <v>31</v>
      </c>
      <c r="L305" s="5" t="s">
        <v>381</v>
      </c>
      <c r="M305" s="5" t="s">
        <v>31</v>
      </c>
      <c r="N305" s="5" t="s">
        <v>31</v>
      </c>
      <c r="O305" s="5" t="s">
        <v>32</v>
      </c>
      <c r="P305" s="5" t="s">
        <v>33</v>
      </c>
      <c r="Q305" s="2">
        <v>45967</v>
      </c>
      <c r="V305" s="45">
        <f>IF(OR(ISNUMBER(SEARCH("unable to locate acct",G305)),ISNUMBER(SEARCH("unknown",G305)),ISNUMBER(SEARCH("inactive",G305)),H305=""),0,1)</f>
        <v>1</v>
      </c>
    </row>
    <row r="306" spans="1:22" hidden="1">
      <c r="A306" s="2">
        <v>45903</v>
      </c>
      <c r="B306" s="1" t="s">
        <v>815</v>
      </c>
      <c r="C306" s="1" t="s">
        <v>929</v>
      </c>
      <c r="D306" s="1" t="s">
        <v>196</v>
      </c>
      <c r="E306" s="1">
        <v>85383</v>
      </c>
      <c r="F306" s="1" t="s">
        <v>25</v>
      </c>
      <c r="G306" s="1" t="s">
        <v>497</v>
      </c>
      <c r="H306" s="4" t="s">
        <v>21</v>
      </c>
      <c r="V306" s="45">
        <f>IF(OR(ISNUMBER(SEARCH("unable to locate acct",G306)),ISNUMBER(SEARCH("unknown",G306)),ISNUMBER(SEARCH("inactive",G306)),H306=""),0,1)</f>
        <v>1</v>
      </c>
    </row>
    <row r="307" spans="1:22" hidden="1">
      <c r="A307" s="2">
        <v>45903</v>
      </c>
      <c r="B307" s="1" t="s">
        <v>648</v>
      </c>
      <c r="C307" s="1" t="s">
        <v>36</v>
      </c>
      <c r="D307" s="1" t="s">
        <v>163</v>
      </c>
      <c r="E307" s="1">
        <v>85395</v>
      </c>
      <c r="F307" s="1" t="s">
        <v>25</v>
      </c>
      <c r="G307" s="1" t="s">
        <v>497</v>
      </c>
      <c r="H307" s="21" t="s">
        <v>5533</v>
      </c>
      <c r="I307" s="5" t="s">
        <v>532</v>
      </c>
      <c r="J307" s="5" t="s">
        <v>31</v>
      </c>
      <c r="K307" s="5" t="s">
        <v>31</v>
      </c>
      <c r="L307" s="5" t="s">
        <v>381</v>
      </c>
      <c r="M307" s="5" t="s">
        <v>31</v>
      </c>
      <c r="N307" s="5" t="s">
        <v>31</v>
      </c>
      <c r="O307" s="5" t="s">
        <v>32</v>
      </c>
      <c r="P307" s="5" t="s">
        <v>33</v>
      </c>
      <c r="Q307" s="2">
        <v>45967</v>
      </c>
      <c r="V307" s="45">
        <f>IF(OR(ISNUMBER(SEARCH("unable to locate acct",G307)),ISNUMBER(SEARCH("unknown",G307)),ISNUMBER(SEARCH("inactive",G307)),H307=""),0,1)</f>
        <v>1</v>
      </c>
    </row>
    <row r="308" spans="1:22" hidden="1">
      <c r="A308" s="2">
        <v>45903</v>
      </c>
      <c r="B308" s="1" t="s">
        <v>930</v>
      </c>
      <c r="C308" s="1" t="s">
        <v>931</v>
      </c>
      <c r="D308" s="1" t="s">
        <v>123</v>
      </c>
      <c r="E308" s="1">
        <v>85298</v>
      </c>
      <c r="F308" s="1" t="s">
        <v>304</v>
      </c>
      <c r="G308" s="1" t="s">
        <v>497</v>
      </c>
      <c r="H308" s="4" t="s">
        <v>21</v>
      </c>
      <c r="V308" s="45">
        <f>IF(OR(ISNUMBER(SEARCH("unable to locate acct",G308)),ISNUMBER(SEARCH("unknown",G308)),ISNUMBER(SEARCH("inactive",G308)),H308=""),0,1)</f>
        <v>1</v>
      </c>
    </row>
    <row r="309" spans="1:22" hidden="1">
      <c r="A309" s="2">
        <v>45903</v>
      </c>
      <c r="B309" s="1" t="s">
        <v>932</v>
      </c>
      <c r="C309" s="1" t="s">
        <v>877</v>
      </c>
      <c r="D309" s="1" t="s">
        <v>57</v>
      </c>
      <c r="E309" s="1">
        <v>85004</v>
      </c>
      <c r="F309" s="1" t="s">
        <v>304</v>
      </c>
      <c r="G309" s="1" t="s">
        <v>497</v>
      </c>
      <c r="H309" s="21" t="s">
        <v>5534</v>
      </c>
      <c r="I309" s="5" t="s">
        <v>120</v>
      </c>
      <c r="J309" s="5" t="s">
        <v>32</v>
      </c>
      <c r="K309" s="5" t="s">
        <v>31</v>
      </c>
      <c r="L309" s="5" t="s">
        <v>32</v>
      </c>
      <c r="M309" s="5" t="s">
        <v>31</v>
      </c>
      <c r="N309" s="5" t="s">
        <v>31</v>
      </c>
      <c r="O309" s="5" t="s">
        <v>32</v>
      </c>
      <c r="P309" s="5" t="s">
        <v>33</v>
      </c>
      <c r="Q309" s="2">
        <v>45967</v>
      </c>
      <c r="V309" s="45">
        <f>IF(OR(ISNUMBER(SEARCH("unable to locate acct",G309)),ISNUMBER(SEARCH("unknown",G309)),ISNUMBER(SEARCH("inactive",G309)),H309=""),0,1)</f>
        <v>1</v>
      </c>
    </row>
    <row r="310" spans="1:22" hidden="1">
      <c r="A310" s="2">
        <v>45903</v>
      </c>
      <c r="B310" s="1" t="s">
        <v>933</v>
      </c>
      <c r="C310" s="1" t="s">
        <v>934</v>
      </c>
      <c r="D310" s="1" t="s">
        <v>57</v>
      </c>
      <c r="E310" s="1">
        <v>85012</v>
      </c>
      <c r="F310" s="1" t="s">
        <v>935</v>
      </c>
      <c r="G310" s="1" t="s">
        <v>497</v>
      </c>
      <c r="H310" s="21" t="s">
        <v>5535</v>
      </c>
      <c r="I310" s="5" t="s">
        <v>30</v>
      </c>
      <c r="J310" s="5" t="s">
        <v>31</v>
      </c>
      <c r="K310" s="5" t="s">
        <v>31</v>
      </c>
      <c r="L310" s="5" t="s">
        <v>936</v>
      </c>
      <c r="M310" s="5" t="s">
        <v>31</v>
      </c>
      <c r="N310" s="5" t="s">
        <v>31</v>
      </c>
      <c r="O310" s="5" t="s">
        <v>32</v>
      </c>
      <c r="P310" s="5" t="s">
        <v>33</v>
      </c>
      <c r="Q310" s="2">
        <v>45967</v>
      </c>
      <c r="V310" s="45">
        <f>IF(OR(ISNUMBER(SEARCH("unable to locate acct",G310)),ISNUMBER(SEARCH("unknown",G310)),ISNUMBER(SEARCH("inactive",G310)),H310=""),0,1)</f>
        <v>1</v>
      </c>
    </row>
    <row r="311" spans="1:22" hidden="1">
      <c r="A311" s="2">
        <v>45903</v>
      </c>
      <c r="B311" s="1" t="s">
        <v>937</v>
      </c>
      <c r="C311" s="1" t="s">
        <v>435</v>
      </c>
      <c r="D311" s="1" t="s">
        <v>57</v>
      </c>
      <c r="E311" s="1">
        <v>85027</v>
      </c>
      <c r="F311" s="1" t="s">
        <v>304</v>
      </c>
      <c r="G311" s="1" t="s">
        <v>497</v>
      </c>
      <c r="H311" s="4" t="s">
        <v>21</v>
      </c>
      <c r="V311" s="45">
        <f>IF(OR(ISNUMBER(SEARCH("unable to locate acct",G311)),ISNUMBER(SEARCH("unknown",G311)),ISNUMBER(SEARCH("inactive",G311)),H311=""),0,1)</f>
        <v>1</v>
      </c>
    </row>
    <row r="312" spans="1:22" hidden="1">
      <c r="A312" s="2">
        <v>45903</v>
      </c>
      <c r="B312" s="1" t="s">
        <v>938</v>
      </c>
      <c r="C312" s="1" t="s">
        <v>939</v>
      </c>
      <c r="D312" s="1" t="s">
        <v>57</v>
      </c>
      <c r="E312" s="1">
        <v>85085</v>
      </c>
      <c r="F312" s="1" t="s">
        <v>25</v>
      </c>
      <c r="G312" s="1" t="s">
        <v>497</v>
      </c>
      <c r="H312" s="21" t="s">
        <v>5536</v>
      </c>
      <c r="I312" s="5" t="s">
        <v>30</v>
      </c>
      <c r="J312" s="5" t="s">
        <v>31</v>
      </c>
      <c r="K312" s="5" t="s">
        <v>31</v>
      </c>
      <c r="L312" s="5" t="s">
        <v>32</v>
      </c>
      <c r="M312" s="5" t="s">
        <v>31</v>
      </c>
      <c r="N312" s="5" t="s">
        <v>31</v>
      </c>
      <c r="O312" s="5" t="s">
        <v>32</v>
      </c>
      <c r="P312" s="5" t="s">
        <v>33</v>
      </c>
      <c r="Q312" s="2">
        <v>45967</v>
      </c>
      <c r="U312" s="1" t="s">
        <v>940</v>
      </c>
      <c r="V312" s="45">
        <f>IF(OR(ISNUMBER(SEARCH("unable to locate acct",G312)),ISNUMBER(SEARCH("unknown",G312)),ISNUMBER(SEARCH("inactive",G312)),H312=""),0,1)</f>
        <v>1</v>
      </c>
    </row>
    <row r="313" spans="1:22" hidden="1">
      <c r="A313" s="2">
        <v>45903</v>
      </c>
      <c r="B313" s="1" t="s">
        <v>941</v>
      </c>
      <c r="C313" s="1" t="s">
        <v>942</v>
      </c>
      <c r="D313" s="1" t="s">
        <v>57</v>
      </c>
      <c r="E313" s="1">
        <v>85024</v>
      </c>
      <c r="F313" s="1" t="s">
        <v>304</v>
      </c>
      <c r="G313" s="1" t="s">
        <v>497</v>
      </c>
      <c r="H313" s="21" t="s">
        <v>5537</v>
      </c>
      <c r="I313" s="5" t="s">
        <v>190</v>
      </c>
      <c r="J313" s="5" t="s">
        <v>31</v>
      </c>
      <c r="K313" s="5" t="s">
        <v>31</v>
      </c>
      <c r="L313" s="5" t="s">
        <v>32</v>
      </c>
      <c r="M313" s="5" t="s">
        <v>31</v>
      </c>
      <c r="N313" s="5" t="s">
        <v>31</v>
      </c>
      <c r="O313" s="5" t="s">
        <v>32</v>
      </c>
      <c r="P313" s="5" t="s">
        <v>33</v>
      </c>
      <c r="Q313" s="2">
        <v>45967</v>
      </c>
      <c r="V313" s="45">
        <f>IF(OR(ISNUMBER(SEARCH("unable to locate acct",G313)),ISNUMBER(SEARCH("unknown",G313)),ISNUMBER(SEARCH("inactive",G313)),H313=""),0,1)</f>
        <v>1</v>
      </c>
    </row>
    <row r="314" spans="1:22" hidden="1">
      <c r="A314" s="2">
        <v>45903</v>
      </c>
      <c r="B314" s="1" t="s">
        <v>943</v>
      </c>
      <c r="C314" s="1" t="s">
        <v>944</v>
      </c>
      <c r="D314" s="1" t="s">
        <v>119</v>
      </c>
      <c r="E314" s="1">
        <v>85259</v>
      </c>
      <c r="F314" s="1" t="s">
        <v>304</v>
      </c>
      <c r="G314" s="1" t="s">
        <v>497</v>
      </c>
      <c r="H314" s="4" t="s">
        <v>203</v>
      </c>
      <c r="V314" s="45">
        <f>IF(OR(ISNUMBER(SEARCH("unable to locate acct",G314)),ISNUMBER(SEARCH("unknown",G314)),ISNUMBER(SEARCH("inactive",G314)),H314=""),0,1)</f>
        <v>1</v>
      </c>
    </row>
    <row r="315" spans="1:22" hidden="1">
      <c r="A315" s="2">
        <v>45903</v>
      </c>
      <c r="B315" s="1" t="s">
        <v>769</v>
      </c>
      <c r="C315" s="1" t="s">
        <v>470</v>
      </c>
      <c r="D315" s="1" t="s">
        <v>57</v>
      </c>
      <c r="E315" s="1">
        <v>85023</v>
      </c>
      <c r="F315" s="1" t="s">
        <v>25</v>
      </c>
      <c r="G315" s="1" t="s">
        <v>497</v>
      </c>
      <c r="H315" s="4" t="s">
        <v>5129</v>
      </c>
      <c r="I315" s="5" t="s">
        <v>532</v>
      </c>
      <c r="J315" s="5" t="s">
        <v>32</v>
      </c>
      <c r="K315" s="5" t="s">
        <v>31</v>
      </c>
      <c r="L315" s="5" t="s">
        <v>381</v>
      </c>
      <c r="M315" s="5" t="s">
        <v>31</v>
      </c>
      <c r="N315" s="5" t="s">
        <v>31</v>
      </c>
      <c r="O315" s="5" t="s">
        <v>32</v>
      </c>
      <c r="P315" s="5" t="s">
        <v>33</v>
      </c>
      <c r="Q315" s="2">
        <v>45967</v>
      </c>
      <c r="V315" s="45">
        <f>IF(OR(ISNUMBER(SEARCH("unable to locate acct",G315)),ISNUMBER(SEARCH("unknown",G315)),ISNUMBER(SEARCH("inactive",G315)),H315=""),0,1)</f>
        <v>1</v>
      </c>
    </row>
    <row r="316" spans="1:22" hidden="1">
      <c r="A316" s="2">
        <v>45903</v>
      </c>
      <c r="B316" s="1" t="s">
        <v>945</v>
      </c>
      <c r="C316" s="1" t="s">
        <v>946</v>
      </c>
      <c r="D316" s="1" t="s">
        <v>106</v>
      </c>
      <c r="E316" s="1">
        <v>85387</v>
      </c>
      <c r="F316" s="1" t="s">
        <v>304</v>
      </c>
      <c r="G316" s="1" t="s">
        <v>497</v>
      </c>
      <c r="H316" s="21" t="s">
        <v>5538</v>
      </c>
      <c r="I316" s="5" t="s">
        <v>120</v>
      </c>
      <c r="J316" s="5" t="s">
        <v>31</v>
      </c>
      <c r="K316" s="5" t="s">
        <v>31</v>
      </c>
      <c r="L316" s="5" t="s">
        <v>32</v>
      </c>
      <c r="M316" s="5" t="s">
        <v>31</v>
      </c>
      <c r="N316" s="5" t="s">
        <v>31</v>
      </c>
      <c r="O316" s="5" t="s">
        <v>32</v>
      </c>
      <c r="P316" s="5" t="s">
        <v>33</v>
      </c>
      <c r="Q316" s="2">
        <v>45967</v>
      </c>
      <c r="V316" s="45">
        <f>IF(OR(ISNUMBER(SEARCH("unable to locate acct",G316)),ISNUMBER(SEARCH("unknown",G316)),ISNUMBER(SEARCH("inactive",G316)),H316=""),0,1)</f>
        <v>1</v>
      </c>
    </row>
    <row r="317" spans="1:22" hidden="1">
      <c r="A317" s="2">
        <v>45903</v>
      </c>
      <c r="B317" s="1" t="s">
        <v>947</v>
      </c>
      <c r="C317" s="1" t="s">
        <v>948</v>
      </c>
      <c r="D317" s="1" t="s">
        <v>610</v>
      </c>
      <c r="E317" s="1">
        <v>85366</v>
      </c>
      <c r="F317" s="1" t="s">
        <v>25</v>
      </c>
      <c r="G317" s="1" t="s">
        <v>497</v>
      </c>
      <c r="H317" s="4" t="s">
        <v>21</v>
      </c>
      <c r="V317" s="45">
        <f>IF(OR(ISNUMBER(SEARCH("unable to locate acct",G317)),ISNUMBER(SEARCH("unknown",G317)),ISNUMBER(SEARCH("inactive",G317)),H317=""),0,1)</f>
        <v>1</v>
      </c>
    </row>
    <row r="318" spans="1:22" hidden="1">
      <c r="A318" s="2">
        <v>45903</v>
      </c>
      <c r="B318" s="1" t="s">
        <v>949</v>
      </c>
      <c r="C318" s="1" t="s">
        <v>762</v>
      </c>
      <c r="D318" s="1" t="s">
        <v>119</v>
      </c>
      <c r="E318" s="1">
        <v>85258</v>
      </c>
      <c r="F318" s="1" t="s">
        <v>304</v>
      </c>
      <c r="G318" s="1" t="s">
        <v>497</v>
      </c>
      <c r="H318" s="21" t="s">
        <v>5539</v>
      </c>
      <c r="I318" s="5" t="s">
        <v>30</v>
      </c>
      <c r="J318" s="5" t="s">
        <v>31</v>
      </c>
      <c r="K318" s="5" t="s">
        <v>31</v>
      </c>
      <c r="L318" s="7" t="s">
        <v>950</v>
      </c>
      <c r="M318" s="5" t="s">
        <v>31</v>
      </c>
      <c r="N318" s="5" t="s">
        <v>31</v>
      </c>
      <c r="O318" s="5" t="s">
        <v>32</v>
      </c>
      <c r="P318" s="5" t="s">
        <v>33</v>
      </c>
      <c r="Q318" s="2">
        <v>45967</v>
      </c>
      <c r="R318" s="1" t="s">
        <v>951</v>
      </c>
      <c r="V318" s="45">
        <f>IF(OR(ISNUMBER(SEARCH("unable to locate acct",G318)),ISNUMBER(SEARCH("unknown",G318)),ISNUMBER(SEARCH("inactive",G318)),H318=""),0,1)</f>
        <v>1</v>
      </c>
    </row>
    <row r="319" spans="1:22" ht="11.25" hidden="1" customHeight="1">
      <c r="A319" s="2">
        <v>45903</v>
      </c>
      <c r="B319" s="1" t="s">
        <v>952</v>
      </c>
      <c r="C319" s="1" t="s">
        <v>953</v>
      </c>
      <c r="D319" s="1" t="s">
        <v>196</v>
      </c>
      <c r="E319" s="1">
        <v>85383</v>
      </c>
      <c r="F319" s="1" t="s">
        <v>25</v>
      </c>
      <c r="G319" s="1" t="s">
        <v>497</v>
      </c>
      <c r="H319" s="21" t="s">
        <v>5540</v>
      </c>
      <c r="I319" s="5" t="s">
        <v>120</v>
      </c>
      <c r="J319" s="5" t="s">
        <v>31</v>
      </c>
      <c r="K319" s="5" t="s">
        <v>31</v>
      </c>
      <c r="L319" s="5" t="s">
        <v>954</v>
      </c>
      <c r="M319" s="5" t="s">
        <v>31</v>
      </c>
      <c r="N319" s="5" t="s">
        <v>31</v>
      </c>
      <c r="O319" s="5" t="s">
        <v>32</v>
      </c>
      <c r="P319" s="5" t="s">
        <v>33</v>
      </c>
      <c r="Q319" s="2">
        <v>45967</v>
      </c>
      <c r="R319" s="1" t="s">
        <v>955</v>
      </c>
      <c r="V319" s="45">
        <f>IF(OR(ISNUMBER(SEARCH("unable to locate acct",G319)),ISNUMBER(SEARCH("unknown",G319)),ISNUMBER(SEARCH("inactive",G319)),H319=""),0,1)</f>
        <v>1</v>
      </c>
    </row>
    <row r="320" spans="1:22" hidden="1">
      <c r="A320" s="2">
        <v>45903</v>
      </c>
      <c r="B320" s="1" t="s">
        <v>802</v>
      </c>
      <c r="C320" s="1" t="s">
        <v>129</v>
      </c>
      <c r="D320" s="1" t="s">
        <v>57</v>
      </c>
      <c r="E320" s="1">
        <v>85028</v>
      </c>
      <c r="F320" s="1" t="s">
        <v>25</v>
      </c>
      <c r="G320" s="1" t="s">
        <v>497</v>
      </c>
      <c r="H320" s="21" t="s">
        <v>5492</v>
      </c>
      <c r="I320" s="5" t="s">
        <v>30</v>
      </c>
      <c r="J320" s="5" t="s">
        <v>31</v>
      </c>
      <c r="K320" s="5" t="s">
        <v>31</v>
      </c>
      <c r="L320" s="5" t="s">
        <v>32</v>
      </c>
      <c r="M320" s="5" t="s">
        <v>31</v>
      </c>
      <c r="N320" s="5" t="s">
        <v>31</v>
      </c>
      <c r="O320" s="5" t="s">
        <v>32</v>
      </c>
      <c r="P320" s="5" t="s">
        <v>33</v>
      </c>
      <c r="Q320" s="2">
        <v>45967</v>
      </c>
      <c r="U320" s="1" t="s">
        <v>715</v>
      </c>
      <c r="V320" s="45">
        <f>IF(OR(ISNUMBER(SEARCH("unable to locate acct",G320)),ISNUMBER(SEARCH("unknown",G320)),ISNUMBER(SEARCH("inactive",G320)),H320=""),0,1)</f>
        <v>1</v>
      </c>
    </row>
    <row r="321" spans="1:22" hidden="1">
      <c r="A321" s="2">
        <v>45903</v>
      </c>
      <c r="B321" s="1" t="s">
        <v>956</v>
      </c>
      <c r="C321" s="1" t="s">
        <v>643</v>
      </c>
      <c r="D321" s="1" t="s">
        <v>57</v>
      </c>
      <c r="E321" s="1">
        <v>85016</v>
      </c>
      <c r="F321" s="1" t="s">
        <v>304</v>
      </c>
      <c r="G321" s="1" t="s">
        <v>497</v>
      </c>
      <c r="H321" s="21" t="s">
        <v>5541</v>
      </c>
      <c r="I321" s="5" t="s">
        <v>30</v>
      </c>
      <c r="J321" s="5" t="s">
        <v>31</v>
      </c>
      <c r="K321" s="5" t="s">
        <v>31</v>
      </c>
      <c r="L321" s="5" t="s">
        <v>32</v>
      </c>
      <c r="M321" s="5" t="s">
        <v>31</v>
      </c>
      <c r="N321" s="5" t="s">
        <v>31</v>
      </c>
      <c r="O321" s="5" t="s">
        <v>32</v>
      </c>
      <c r="P321" s="5" t="s">
        <v>33</v>
      </c>
      <c r="Q321" s="2">
        <v>45967</v>
      </c>
      <c r="V321" s="45">
        <f>IF(OR(ISNUMBER(SEARCH("unable to locate acct",G321)),ISNUMBER(SEARCH("unknown",G321)),ISNUMBER(SEARCH("inactive",G321)),H321=""),0,1)</f>
        <v>1</v>
      </c>
    </row>
    <row r="322" spans="1:22" hidden="1">
      <c r="A322" s="2">
        <v>45903</v>
      </c>
      <c r="B322" s="1" t="s">
        <v>957</v>
      </c>
      <c r="C322" s="1" t="s">
        <v>774</v>
      </c>
      <c r="D322" s="1" t="s">
        <v>163</v>
      </c>
      <c r="E322" s="1">
        <v>85395</v>
      </c>
      <c r="F322" s="1" t="s">
        <v>958</v>
      </c>
      <c r="G322" s="1" t="s">
        <v>497</v>
      </c>
      <c r="H322" s="21" t="s">
        <v>5542</v>
      </c>
      <c r="I322" s="5" t="s">
        <v>30</v>
      </c>
      <c r="J322" s="5" t="s">
        <v>31</v>
      </c>
      <c r="K322" s="5" t="s">
        <v>31</v>
      </c>
      <c r="L322" s="5" t="s">
        <v>32</v>
      </c>
      <c r="M322" s="5" t="s">
        <v>31</v>
      </c>
      <c r="N322" s="5" t="s">
        <v>31</v>
      </c>
      <c r="O322" s="5" t="s">
        <v>32</v>
      </c>
      <c r="P322" s="5" t="s">
        <v>33</v>
      </c>
      <c r="Q322" s="2">
        <v>45967</v>
      </c>
      <c r="V322" s="45">
        <f>IF(OR(ISNUMBER(SEARCH("unable to locate acct",G322)),ISNUMBER(SEARCH("unknown",G322)),ISNUMBER(SEARCH("inactive",G322)),H322=""),0,1)</f>
        <v>1</v>
      </c>
    </row>
    <row r="323" spans="1:22" hidden="1">
      <c r="A323" s="2">
        <v>45903</v>
      </c>
      <c r="B323" s="1" t="s">
        <v>959</v>
      </c>
      <c r="C323" s="1" t="s">
        <v>649</v>
      </c>
      <c r="D323" s="1" t="s">
        <v>18</v>
      </c>
      <c r="E323" s="1">
        <v>85310</v>
      </c>
      <c r="F323" s="1" t="s">
        <v>304</v>
      </c>
      <c r="G323" s="1" t="s">
        <v>497</v>
      </c>
      <c r="H323" s="4" t="s">
        <v>84</v>
      </c>
      <c r="V323" s="45">
        <f>IF(OR(ISNUMBER(SEARCH("unable to locate acct",G323)),ISNUMBER(SEARCH("unknown",G323)),ISNUMBER(SEARCH("inactive",G323)),H323=""),0,1)</f>
        <v>1</v>
      </c>
    </row>
    <row r="324" spans="1:22" hidden="1">
      <c r="A324" s="2">
        <v>45903</v>
      </c>
      <c r="B324" s="1" t="s">
        <v>960</v>
      </c>
      <c r="C324" s="1" t="s">
        <v>961</v>
      </c>
      <c r="D324" s="1" t="s">
        <v>196</v>
      </c>
      <c r="E324" s="1">
        <v>85383</v>
      </c>
      <c r="F324" s="1" t="s">
        <v>25</v>
      </c>
      <c r="G324" s="1" t="s">
        <v>497</v>
      </c>
      <c r="H324" s="21" t="s">
        <v>5543</v>
      </c>
      <c r="I324" s="5" t="s">
        <v>962</v>
      </c>
      <c r="J324" s="5" t="s">
        <v>31</v>
      </c>
      <c r="K324" s="5" t="s">
        <v>31</v>
      </c>
      <c r="L324" s="5" t="s">
        <v>393</v>
      </c>
      <c r="M324" s="5" t="s">
        <v>31</v>
      </c>
      <c r="N324" s="5" t="s">
        <v>31</v>
      </c>
      <c r="O324" s="5" t="s">
        <v>32</v>
      </c>
      <c r="P324" s="5" t="s">
        <v>33</v>
      </c>
      <c r="Q324" s="2">
        <v>45967</v>
      </c>
      <c r="V324" s="45">
        <f>IF(OR(ISNUMBER(SEARCH("unable to locate acct",G324)),ISNUMBER(SEARCH("unknown",G324)),ISNUMBER(SEARCH("inactive",G324)),H324=""),0,1)</f>
        <v>1</v>
      </c>
    </row>
    <row r="325" spans="1:22" hidden="1">
      <c r="A325" s="2">
        <v>45903</v>
      </c>
      <c r="B325" s="1" t="s">
        <v>963</v>
      </c>
      <c r="C325" s="1" t="s">
        <v>964</v>
      </c>
      <c r="D325" s="1" t="s">
        <v>196</v>
      </c>
      <c r="E325" s="1">
        <v>85483</v>
      </c>
      <c r="F325" s="1" t="s">
        <v>304</v>
      </c>
      <c r="G325" s="1" t="s">
        <v>497</v>
      </c>
      <c r="H325" s="21" t="s">
        <v>5544</v>
      </c>
      <c r="I325" s="5" t="s">
        <v>30</v>
      </c>
      <c r="J325" s="5" t="s">
        <v>31</v>
      </c>
      <c r="K325" s="5" t="s">
        <v>31</v>
      </c>
      <c r="L325" s="5" t="s">
        <v>32</v>
      </c>
      <c r="M325" s="5" t="s">
        <v>31</v>
      </c>
      <c r="N325" s="5" t="s">
        <v>31</v>
      </c>
      <c r="O325" s="5" t="s">
        <v>32</v>
      </c>
      <c r="P325" s="5" t="s">
        <v>33</v>
      </c>
      <c r="Q325" s="2">
        <v>45967</v>
      </c>
      <c r="V325" s="45">
        <f>IF(OR(ISNUMBER(SEARCH("unable to locate acct",G325)),ISNUMBER(SEARCH("unknown",G325)),ISNUMBER(SEARCH("inactive",G325)),H325=""),0,1)</f>
        <v>1</v>
      </c>
    </row>
    <row r="326" spans="1:22" hidden="1">
      <c r="A326" s="2">
        <v>45903</v>
      </c>
      <c r="B326" s="1" t="s">
        <v>965</v>
      </c>
      <c r="C326" s="1" t="s">
        <v>588</v>
      </c>
      <c r="D326" s="1" t="s">
        <v>57</v>
      </c>
      <c r="E326" s="1">
        <v>85015</v>
      </c>
      <c r="F326" s="1" t="s">
        <v>304</v>
      </c>
      <c r="G326" s="1" t="s">
        <v>497</v>
      </c>
      <c r="H326" s="21" t="s">
        <v>5545</v>
      </c>
      <c r="I326" s="5" t="s">
        <v>190</v>
      </c>
      <c r="J326" s="5" t="s">
        <v>31</v>
      </c>
      <c r="K326" s="5" t="s">
        <v>31</v>
      </c>
      <c r="L326" s="5" t="s">
        <v>32</v>
      </c>
      <c r="M326" s="5" t="s">
        <v>31</v>
      </c>
      <c r="N326" s="5" t="s">
        <v>31</v>
      </c>
      <c r="O326" s="5" t="s">
        <v>32</v>
      </c>
      <c r="P326" s="5" t="s">
        <v>33</v>
      </c>
      <c r="Q326" s="2">
        <v>45967</v>
      </c>
      <c r="V326" s="45">
        <f>IF(OR(ISNUMBER(SEARCH("unable to locate acct",G326)),ISNUMBER(SEARCH("unknown",G326)),ISNUMBER(SEARCH("inactive",G326)),H326=""),0,1)</f>
        <v>1</v>
      </c>
    </row>
    <row r="327" spans="1:22" hidden="1">
      <c r="A327" s="2">
        <v>45903</v>
      </c>
      <c r="B327" s="1" t="s">
        <v>966</v>
      </c>
      <c r="C327" s="1" t="s">
        <v>967</v>
      </c>
      <c r="D327" s="1" t="s">
        <v>119</v>
      </c>
      <c r="E327" s="1">
        <v>85260</v>
      </c>
      <c r="F327" s="1" t="s">
        <v>304</v>
      </c>
      <c r="G327" s="1" t="s">
        <v>497</v>
      </c>
      <c r="H327" s="21" t="s">
        <v>5546</v>
      </c>
      <c r="I327" s="5" t="s">
        <v>30</v>
      </c>
      <c r="J327" s="5" t="s">
        <v>31</v>
      </c>
      <c r="K327" s="5" t="s">
        <v>31</v>
      </c>
      <c r="L327" s="5" t="s">
        <v>32</v>
      </c>
      <c r="M327" s="5" t="s">
        <v>31</v>
      </c>
      <c r="N327" s="5" t="s">
        <v>31</v>
      </c>
      <c r="O327" s="5" t="s">
        <v>32</v>
      </c>
      <c r="P327" s="5" t="s">
        <v>33</v>
      </c>
      <c r="Q327" s="2">
        <v>45967</v>
      </c>
      <c r="V327" s="45">
        <f>IF(OR(ISNUMBER(SEARCH("unable to locate acct",G327)),ISNUMBER(SEARCH("unknown",G327)),ISNUMBER(SEARCH("inactive",G327)),H327=""),0,1)</f>
        <v>1</v>
      </c>
    </row>
    <row r="328" spans="1:22" hidden="1">
      <c r="A328" s="2">
        <v>45903</v>
      </c>
      <c r="B328" s="1" t="s">
        <v>968</v>
      </c>
      <c r="C328" s="1" t="s">
        <v>969</v>
      </c>
      <c r="D328" s="1" t="s">
        <v>57</v>
      </c>
      <c r="E328" s="1">
        <v>85085</v>
      </c>
      <c r="F328" s="1" t="s">
        <v>304</v>
      </c>
      <c r="G328" s="1" t="s">
        <v>497</v>
      </c>
      <c r="H328" s="21" t="s">
        <v>5547</v>
      </c>
      <c r="I328" s="5" t="s">
        <v>30</v>
      </c>
      <c r="J328" s="5" t="s">
        <v>31</v>
      </c>
      <c r="K328" s="5" t="s">
        <v>31</v>
      </c>
      <c r="L328" s="5" t="s">
        <v>32</v>
      </c>
      <c r="M328" s="5" t="s">
        <v>31</v>
      </c>
      <c r="N328" s="5" t="s">
        <v>31</v>
      </c>
      <c r="O328" s="5" t="s">
        <v>32</v>
      </c>
      <c r="P328" s="5" t="s">
        <v>33</v>
      </c>
      <c r="Q328" s="2">
        <v>45967</v>
      </c>
      <c r="V328" s="45">
        <f>IF(OR(ISNUMBER(SEARCH("unable to locate acct",G328)),ISNUMBER(SEARCH("unknown",G328)),ISNUMBER(SEARCH("inactive",G328)),H328=""),0,1)</f>
        <v>1</v>
      </c>
    </row>
    <row r="329" spans="1:22" hidden="1">
      <c r="A329" s="2">
        <v>45903</v>
      </c>
      <c r="B329" s="1" t="s">
        <v>970</v>
      </c>
      <c r="C329" s="1" t="s">
        <v>971</v>
      </c>
      <c r="D329" s="1" t="s">
        <v>972</v>
      </c>
      <c r="E329" s="1">
        <v>85268</v>
      </c>
      <c r="F329" s="1" t="s">
        <v>973</v>
      </c>
      <c r="G329" s="1" t="s">
        <v>497</v>
      </c>
      <c r="H329" s="4" t="s">
        <v>21</v>
      </c>
      <c r="V329" s="45">
        <f>IF(OR(ISNUMBER(SEARCH("unable to locate acct",G329)),ISNUMBER(SEARCH("unknown",G329)),ISNUMBER(SEARCH("inactive",G329)),H329=""),0,1)</f>
        <v>1</v>
      </c>
    </row>
    <row r="330" spans="1:22" hidden="1">
      <c r="A330" s="2">
        <v>45903</v>
      </c>
      <c r="B330" s="1" t="s">
        <v>974</v>
      </c>
      <c r="C330" s="1" t="s">
        <v>748</v>
      </c>
      <c r="D330" s="1" t="s">
        <v>57</v>
      </c>
      <c r="E330" s="1">
        <v>85024</v>
      </c>
      <c r="F330" s="1" t="s">
        <v>25</v>
      </c>
      <c r="G330" s="1" t="s">
        <v>497</v>
      </c>
      <c r="H330" s="21" t="s">
        <v>5548</v>
      </c>
      <c r="I330" s="5" t="s">
        <v>190</v>
      </c>
      <c r="J330" s="5" t="s">
        <v>31</v>
      </c>
      <c r="K330" s="5" t="s">
        <v>31</v>
      </c>
      <c r="L330" s="7" t="s">
        <v>975</v>
      </c>
      <c r="M330" s="5" t="s">
        <v>31</v>
      </c>
      <c r="N330" s="5" t="s">
        <v>31</v>
      </c>
      <c r="O330" s="5" t="s">
        <v>32</v>
      </c>
      <c r="P330" s="2">
        <v>45936</v>
      </c>
      <c r="Q330" s="2">
        <v>45967</v>
      </c>
      <c r="R330" s="1" t="s">
        <v>976</v>
      </c>
      <c r="V330" s="45">
        <f>IF(OR(ISNUMBER(SEARCH("unable to locate acct",G330)),ISNUMBER(SEARCH("unknown",G330)),ISNUMBER(SEARCH("inactive",G330)),H330=""),0,1)</f>
        <v>1</v>
      </c>
    </row>
    <row r="331" spans="1:22" hidden="1">
      <c r="A331" s="2">
        <v>45903</v>
      </c>
      <c r="B331" s="1" t="s">
        <v>977</v>
      </c>
      <c r="C331" s="1" t="s">
        <v>129</v>
      </c>
      <c r="D331" s="1" t="s">
        <v>163</v>
      </c>
      <c r="E331" s="1">
        <v>85338</v>
      </c>
      <c r="F331" s="1" t="s">
        <v>978</v>
      </c>
      <c r="G331" s="1" t="s">
        <v>497</v>
      </c>
      <c r="H331" s="21" t="s">
        <v>5549</v>
      </c>
      <c r="I331" s="5" t="s">
        <v>30</v>
      </c>
      <c r="J331" s="5" t="s">
        <v>31</v>
      </c>
      <c r="K331" s="5" t="s">
        <v>31</v>
      </c>
      <c r="L331" s="5" t="s">
        <v>32</v>
      </c>
      <c r="M331" s="5" t="s">
        <v>31</v>
      </c>
      <c r="N331" s="5" t="s">
        <v>31</v>
      </c>
      <c r="O331" s="5" t="s">
        <v>32</v>
      </c>
      <c r="P331" s="5" t="s">
        <v>33</v>
      </c>
      <c r="Q331" s="2">
        <v>45967</v>
      </c>
      <c r="V331" s="45">
        <f>IF(OR(ISNUMBER(SEARCH("unable to locate acct",G331)),ISNUMBER(SEARCH("unknown",G331)),ISNUMBER(SEARCH("inactive",G331)),H331=""),0,1)</f>
        <v>1</v>
      </c>
    </row>
    <row r="332" spans="1:22" hidden="1">
      <c r="A332" s="2">
        <v>45903</v>
      </c>
      <c r="B332" s="1" t="s">
        <v>979</v>
      </c>
      <c r="C332" s="1" t="s">
        <v>980</v>
      </c>
      <c r="D332" s="1" t="s">
        <v>196</v>
      </c>
      <c r="E332" s="1">
        <v>85345</v>
      </c>
      <c r="F332" s="1" t="s">
        <v>304</v>
      </c>
      <c r="G332" s="1" t="s">
        <v>497</v>
      </c>
      <c r="H332" s="21" t="s">
        <v>5550</v>
      </c>
      <c r="I332" s="5" t="s">
        <v>30</v>
      </c>
      <c r="J332" s="5" t="s">
        <v>31</v>
      </c>
      <c r="K332" s="5" t="s">
        <v>31</v>
      </c>
      <c r="L332" s="5" t="s">
        <v>32</v>
      </c>
      <c r="M332" s="5" t="s">
        <v>31</v>
      </c>
      <c r="N332" s="5" t="s">
        <v>31</v>
      </c>
      <c r="O332" s="5" t="s">
        <v>32</v>
      </c>
      <c r="P332" s="5" t="s">
        <v>33</v>
      </c>
      <c r="Q332" s="2">
        <v>45967</v>
      </c>
      <c r="V332" s="45">
        <f>IF(OR(ISNUMBER(SEARCH("unable to locate acct",G332)),ISNUMBER(SEARCH("unknown",G332)),ISNUMBER(SEARCH("inactive",G332)),H332=""),0,1)</f>
        <v>1</v>
      </c>
    </row>
    <row r="333" spans="1:22" hidden="1">
      <c r="A333" s="2">
        <v>45903</v>
      </c>
      <c r="B333" s="1" t="s">
        <v>981</v>
      </c>
      <c r="C333" s="1" t="s">
        <v>982</v>
      </c>
      <c r="D333" s="1" t="s">
        <v>196</v>
      </c>
      <c r="E333" s="1">
        <v>85383</v>
      </c>
      <c r="F333" s="1" t="s">
        <v>304</v>
      </c>
      <c r="G333" s="1" t="s">
        <v>497</v>
      </c>
      <c r="H333" s="21" t="s">
        <v>5551</v>
      </c>
      <c r="I333" s="5" t="s">
        <v>190</v>
      </c>
      <c r="J333" s="5" t="s">
        <v>31</v>
      </c>
      <c r="K333" s="5" t="s">
        <v>31</v>
      </c>
      <c r="L333" s="5" t="s">
        <v>32</v>
      </c>
      <c r="M333" s="5" t="s">
        <v>31</v>
      </c>
      <c r="N333" s="5" t="s">
        <v>31</v>
      </c>
      <c r="O333" s="5" t="s">
        <v>32</v>
      </c>
      <c r="P333" s="5" t="s">
        <v>33</v>
      </c>
      <c r="Q333" s="2">
        <v>45967</v>
      </c>
      <c r="V333" s="45">
        <f>IF(OR(ISNUMBER(SEARCH("unable to locate acct",G333)),ISNUMBER(SEARCH("unknown",G333)),ISNUMBER(SEARCH("inactive",G333)),H333=""),0,1)</f>
        <v>1</v>
      </c>
    </row>
    <row r="334" spans="1:22" hidden="1">
      <c r="A334" s="2">
        <v>45903</v>
      </c>
      <c r="B334" s="1" t="s">
        <v>983</v>
      </c>
      <c r="C334" s="1" t="s">
        <v>984</v>
      </c>
      <c r="D334" s="1" t="s">
        <v>196</v>
      </c>
      <c r="E334" s="1">
        <v>85383</v>
      </c>
      <c r="F334" s="1" t="s">
        <v>304</v>
      </c>
      <c r="G334" s="1" t="s">
        <v>497</v>
      </c>
      <c r="H334" s="21" t="s">
        <v>5552</v>
      </c>
      <c r="I334" s="5" t="s">
        <v>190</v>
      </c>
      <c r="J334" s="5" t="s">
        <v>31</v>
      </c>
      <c r="K334" s="5" t="s">
        <v>31</v>
      </c>
      <c r="L334" s="7" t="s">
        <v>985</v>
      </c>
      <c r="M334" s="5" t="s">
        <v>31</v>
      </c>
      <c r="N334" s="5" t="s">
        <v>31</v>
      </c>
      <c r="O334" s="5" t="s">
        <v>32</v>
      </c>
      <c r="P334" s="2">
        <v>45936</v>
      </c>
      <c r="Q334" s="2">
        <v>45967</v>
      </c>
      <c r="R334" s="1" t="s">
        <v>986</v>
      </c>
      <c r="V334" s="45">
        <f>IF(OR(ISNUMBER(SEARCH("unable to locate acct",G334)),ISNUMBER(SEARCH("unknown",G334)),ISNUMBER(SEARCH("inactive",G334)),H334=""),0,1)</f>
        <v>1</v>
      </c>
    </row>
    <row r="335" spans="1:22" hidden="1">
      <c r="A335" s="2">
        <v>45903</v>
      </c>
      <c r="B335" s="1" t="s">
        <v>987</v>
      </c>
      <c r="C335" s="1" t="s">
        <v>988</v>
      </c>
      <c r="D335" s="1" t="s">
        <v>196</v>
      </c>
      <c r="E335" s="1">
        <v>85383</v>
      </c>
      <c r="F335" s="1" t="s">
        <v>304</v>
      </c>
      <c r="G335" s="1" t="s">
        <v>497</v>
      </c>
      <c r="H335" s="21" t="s">
        <v>5553</v>
      </c>
      <c r="I335" s="5" t="s">
        <v>30</v>
      </c>
      <c r="J335" s="5" t="s">
        <v>31</v>
      </c>
      <c r="K335" s="5" t="s">
        <v>31</v>
      </c>
      <c r="L335" s="5" t="s">
        <v>32</v>
      </c>
      <c r="M335" s="5" t="s">
        <v>31</v>
      </c>
      <c r="N335" s="5" t="s">
        <v>31</v>
      </c>
      <c r="O335" s="5" t="s">
        <v>32</v>
      </c>
      <c r="P335" s="5" t="s">
        <v>33</v>
      </c>
      <c r="Q335" s="2">
        <v>45967</v>
      </c>
      <c r="R335" s="1" t="s">
        <v>989</v>
      </c>
      <c r="V335" s="45">
        <f>IF(OR(ISNUMBER(SEARCH("unable to locate acct",G335)),ISNUMBER(SEARCH("unknown",G335)),ISNUMBER(SEARCH("inactive",G335)),H335=""),0,1)</f>
        <v>1</v>
      </c>
    </row>
    <row r="336" spans="1:22" hidden="1">
      <c r="A336" s="2">
        <v>45903</v>
      </c>
      <c r="B336" s="1" t="s">
        <v>990</v>
      </c>
      <c r="C336" s="1" t="s">
        <v>991</v>
      </c>
      <c r="D336" s="1" t="s">
        <v>163</v>
      </c>
      <c r="E336" s="1">
        <v>85338</v>
      </c>
      <c r="F336" s="1" t="s">
        <v>25</v>
      </c>
      <c r="G336" s="1" t="s">
        <v>497</v>
      </c>
      <c r="H336" s="21" t="s">
        <v>5554</v>
      </c>
      <c r="I336" s="5" t="s">
        <v>410</v>
      </c>
      <c r="J336" s="5" t="s">
        <v>31</v>
      </c>
      <c r="K336" s="5" t="s">
        <v>31</v>
      </c>
      <c r="L336" s="5" t="s">
        <v>381</v>
      </c>
      <c r="M336" s="5" t="s">
        <v>31</v>
      </c>
      <c r="N336" s="5" t="s">
        <v>31</v>
      </c>
      <c r="O336" s="5" t="s">
        <v>32</v>
      </c>
      <c r="P336" s="5" t="s">
        <v>33</v>
      </c>
      <c r="Q336" s="2">
        <v>45967</v>
      </c>
      <c r="V336" s="45">
        <f>IF(OR(ISNUMBER(SEARCH("unable to locate acct",G336)),ISNUMBER(SEARCH("unknown",G336)),ISNUMBER(SEARCH("inactive",G336)),H336=""),0,1)</f>
        <v>1</v>
      </c>
    </row>
    <row r="337" spans="1:22" hidden="1">
      <c r="A337" s="2">
        <v>45903</v>
      </c>
      <c r="B337" s="1" t="s">
        <v>992</v>
      </c>
      <c r="C337" s="1" t="s">
        <v>993</v>
      </c>
      <c r="D337" s="1" t="s">
        <v>514</v>
      </c>
      <c r="E337" s="1">
        <v>85392</v>
      </c>
      <c r="F337" s="1" t="s">
        <v>304</v>
      </c>
      <c r="G337" s="1" t="s">
        <v>497</v>
      </c>
      <c r="H337" s="21" t="s">
        <v>5555</v>
      </c>
      <c r="I337" s="5" t="s">
        <v>30</v>
      </c>
      <c r="J337" s="5" t="s">
        <v>31</v>
      </c>
      <c r="K337" s="5" t="s">
        <v>31</v>
      </c>
      <c r="L337" s="5" t="s">
        <v>32</v>
      </c>
      <c r="M337" s="5" t="s">
        <v>31</v>
      </c>
      <c r="N337" s="5" t="s">
        <v>31</v>
      </c>
      <c r="O337" s="5" t="s">
        <v>32</v>
      </c>
      <c r="P337" s="5" t="s">
        <v>33</v>
      </c>
      <c r="Q337" s="2">
        <v>45967</v>
      </c>
      <c r="V337" s="45">
        <f>IF(OR(ISNUMBER(SEARCH("unable to locate acct",G337)),ISNUMBER(SEARCH("unknown",G337)),ISNUMBER(SEARCH("inactive",G337)),H337=""),0,1)</f>
        <v>1</v>
      </c>
    </row>
    <row r="338" spans="1:22" hidden="1">
      <c r="A338" s="2">
        <v>45903</v>
      </c>
      <c r="B338" s="1" t="s">
        <v>994</v>
      </c>
      <c r="C338" s="1" t="s">
        <v>995</v>
      </c>
      <c r="D338" s="1" t="s">
        <v>163</v>
      </c>
      <c r="E338" s="1">
        <v>85395</v>
      </c>
      <c r="F338" s="1" t="s">
        <v>996</v>
      </c>
      <c r="G338" s="1" t="s">
        <v>497</v>
      </c>
      <c r="H338" s="21" t="s">
        <v>5556</v>
      </c>
      <c r="I338" s="5" t="s">
        <v>30</v>
      </c>
      <c r="J338" s="5" t="s">
        <v>31</v>
      </c>
      <c r="K338" s="5" t="s">
        <v>31</v>
      </c>
      <c r="L338" s="5" t="s">
        <v>32</v>
      </c>
      <c r="M338" s="5" t="s">
        <v>31</v>
      </c>
      <c r="N338" s="5" t="s">
        <v>31</v>
      </c>
      <c r="O338" s="5" t="s">
        <v>32</v>
      </c>
      <c r="P338" s="5" t="s">
        <v>33</v>
      </c>
      <c r="Q338" s="2">
        <v>45967</v>
      </c>
      <c r="V338" s="45">
        <f>IF(OR(ISNUMBER(SEARCH("unable to locate acct",G338)),ISNUMBER(SEARCH("unknown",G338)),ISNUMBER(SEARCH("inactive",G338)),H338=""),0,1)</f>
        <v>1</v>
      </c>
    </row>
    <row r="339" spans="1:22" hidden="1">
      <c r="A339" s="2">
        <v>45903</v>
      </c>
      <c r="B339" s="1" t="s">
        <v>997</v>
      </c>
      <c r="C339" s="1" t="s">
        <v>998</v>
      </c>
      <c r="D339" s="1" t="s">
        <v>163</v>
      </c>
      <c r="E339" s="1">
        <v>85338</v>
      </c>
      <c r="F339" s="1" t="s">
        <v>752</v>
      </c>
      <c r="G339" s="1" t="s">
        <v>497</v>
      </c>
      <c r="H339" s="21" t="s">
        <v>5557</v>
      </c>
      <c r="I339" s="5" t="s">
        <v>30</v>
      </c>
      <c r="J339" s="5" t="s">
        <v>31</v>
      </c>
      <c r="K339" s="5" t="s">
        <v>31</v>
      </c>
      <c r="L339" s="5" t="s">
        <v>32</v>
      </c>
      <c r="M339" s="5" t="s">
        <v>32</v>
      </c>
      <c r="N339" s="15">
        <v>2144.27</v>
      </c>
      <c r="O339" s="5" t="s">
        <v>32</v>
      </c>
      <c r="P339" s="7"/>
      <c r="Q339" s="2">
        <v>45967</v>
      </c>
      <c r="R339" s="1" t="s">
        <v>486</v>
      </c>
      <c r="V339" s="45">
        <f>IF(OR(ISNUMBER(SEARCH("unable to locate acct",G339)),ISNUMBER(SEARCH("unknown",G339)),ISNUMBER(SEARCH("inactive",G339)),H339=""),0,1)</f>
        <v>1</v>
      </c>
    </row>
    <row r="340" spans="1:22" hidden="1">
      <c r="A340" s="2">
        <v>45903</v>
      </c>
      <c r="B340" s="1" t="s">
        <v>999</v>
      </c>
      <c r="C340" s="1" t="s">
        <v>56</v>
      </c>
      <c r="D340" s="1" t="s">
        <v>514</v>
      </c>
      <c r="E340" s="1">
        <v>85392</v>
      </c>
      <c r="F340" s="1" t="s">
        <v>25</v>
      </c>
      <c r="G340" s="1" t="s">
        <v>497</v>
      </c>
      <c r="H340" s="4" t="s">
        <v>21</v>
      </c>
      <c r="V340" s="45">
        <f>IF(OR(ISNUMBER(SEARCH("unable to locate acct",G340)),ISNUMBER(SEARCH("unknown",G340)),ISNUMBER(SEARCH("inactive",G340)),H340=""),0,1)</f>
        <v>1</v>
      </c>
    </row>
    <row r="341" spans="1:22" hidden="1">
      <c r="A341" s="2">
        <v>45903</v>
      </c>
      <c r="B341" s="1" t="s">
        <v>1000</v>
      </c>
      <c r="C341" s="1" t="s">
        <v>1001</v>
      </c>
      <c r="D341" s="1" t="s">
        <v>196</v>
      </c>
      <c r="E341" s="1">
        <v>85383</v>
      </c>
      <c r="F341" s="1" t="s">
        <v>304</v>
      </c>
      <c r="G341" s="1" t="s">
        <v>497</v>
      </c>
      <c r="H341" s="21" t="s">
        <v>5558</v>
      </c>
      <c r="I341" s="5" t="s">
        <v>30</v>
      </c>
      <c r="J341" s="5" t="s">
        <v>31</v>
      </c>
      <c r="K341" s="5" t="s">
        <v>31</v>
      </c>
      <c r="L341" s="5" t="s">
        <v>32</v>
      </c>
      <c r="M341" s="5" t="s">
        <v>31</v>
      </c>
      <c r="N341" s="5" t="s">
        <v>31</v>
      </c>
      <c r="O341" s="5" t="s">
        <v>32</v>
      </c>
      <c r="P341" s="5" t="s">
        <v>33</v>
      </c>
      <c r="Q341" s="2">
        <v>45967</v>
      </c>
      <c r="V341" s="45">
        <f>IF(OR(ISNUMBER(SEARCH("unable to locate acct",G341)),ISNUMBER(SEARCH("unknown",G341)),ISNUMBER(SEARCH("inactive",G341)),H341=""),0,1)</f>
        <v>1</v>
      </c>
    </row>
    <row r="342" spans="1:22" hidden="1">
      <c r="A342" s="2">
        <v>45903</v>
      </c>
      <c r="B342" s="1" t="s">
        <v>1002</v>
      </c>
      <c r="C342" s="1" t="s">
        <v>150</v>
      </c>
      <c r="D342" s="1" t="s">
        <v>18</v>
      </c>
      <c r="E342" s="1">
        <v>85308</v>
      </c>
      <c r="F342" s="1" t="s">
        <v>304</v>
      </c>
      <c r="G342" s="1" t="s">
        <v>497</v>
      </c>
      <c r="H342" s="21" t="s">
        <v>5559</v>
      </c>
      <c r="I342" s="5" t="s">
        <v>190</v>
      </c>
      <c r="J342" s="5" t="s">
        <v>31</v>
      </c>
      <c r="K342" s="5" t="s">
        <v>31</v>
      </c>
      <c r="L342" s="5" t="s">
        <v>1003</v>
      </c>
      <c r="M342" s="5" t="s">
        <v>31</v>
      </c>
      <c r="N342" s="5" t="s">
        <v>31</v>
      </c>
      <c r="O342" s="5" t="s">
        <v>32</v>
      </c>
      <c r="P342" s="5" t="s">
        <v>33</v>
      </c>
      <c r="Q342" s="2">
        <v>45967</v>
      </c>
      <c r="V342" s="45">
        <f>IF(OR(ISNUMBER(SEARCH("unable to locate acct",G342)),ISNUMBER(SEARCH("unknown",G342)),ISNUMBER(SEARCH("inactive",G342)),H342=""),0,1)</f>
        <v>1</v>
      </c>
    </row>
    <row r="343" spans="1:22" hidden="1">
      <c r="A343" s="2">
        <v>45903</v>
      </c>
      <c r="B343" s="1" t="s">
        <v>1004</v>
      </c>
      <c r="C343" s="1" t="s">
        <v>1005</v>
      </c>
      <c r="D343" s="1" t="s">
        <v>119</v>
      </c>
      <c r="E343" s="1">
        <v>85251</v>
      </c>
      <c r="F343" s="1" t="s">
        <v>304</v>
      </c>
      <c r="G343" s="1" t="s">
        <v>497</v>
      </c>
      <c r="H343" s="21" t="s">
        <v>5560</v>
      </c>
      <c r="I343" s="5" t="s">
        <v>120</v>
      </c>
      <c r="J343" s="5" t="s">
        <v>31</v>
      </c>
      <c r="K343" s="5" t="s">
        <v>31</v>
      </c>
      <c r="L343" s="5" t="s">
        <v>1006</v>
      </c>
      <c r="M343" s="5" t="s">
        <v>31</v>
      </c>
      <c r="N343" s="5" t="s">
        <v>31</v>
      </c>
      <c r="O343" s="5" t="s">
        <v>32</v>
      </c>
      <c r="P343" s="5" t="s">
        <v>33</v>
      </c>
      <c r="Q343" s="2">
        <v>45967</v>
      </c>
      <c r="V343" s="45">
        <f>IF(OR(ISNUMBER(SEARCH("unable to locate acct",G343)),ISNUMBER(SEARCH("unknown",G343)),ISNUMBER(SEARCH("inactive",G343)),H343=""),0,1)</f>
        <v>1</v>
      </c>
    </row>
    <row r="344" spans="1:22" hidden="1">
      <c r="A344" s="2">
        <v>45903</v>
      </c>
      <c r="B344" s="1" t="s">
        <v>1007</v>
      </c>
      <c r="C344" s="1" t="s">
        <v>1008</v>
      </c>
      <c r="D344" s="1" t="s">
        <v>119</v>
      </c>
      <c r="E344" s="1">
        <v>85266</v>
      </c>
      <c r="F344" s="1" t="s">
        <v>25</v>
      </c>
      <c r="G344" s="1" t="s">
        <v>497</v>
      </c>
      <c r="H344" s="21" t="s">
        <v>5130</v>
      </c>
      <c r="I344" s="5" t="s">
        <v>30</v>
      </c>
      <c r="J344" s="5" t="s">
        <v>31</v>
      </c>
      <c r="K344" s="5" t="s">
        <v>31</v>
      </c>
      <c r="L344" s="5" t="s">
        <v>32</v>
      </c>
      <c r="M344" s="5" t="s">
        <v>31</v>
      </c>
      <c r="N344" s="5" t="s">
        <v>31</v>
      </c>
      <c r="O344" s="5" t="s">
        <v>32</v>
      </c>
      <c r="P344" s="5" t="s">
        <v>33</v>
      </c>
      <c r="Q344" s="2">
        <v>45967</v>
      </c>
      <c r="V344" s="45">
        <f>IF(OR(ISNUMBER(SEARCH("unable to locate acct",G344)),ISNUMBER(SEARCH("unknown",G344)),ISNUMBER(SEARCH("inactive",G344)),H344=""),0,1)</f>
        <v>1</v>
      </c>
    </row>
    <row r="345" spans="1:22" hidden="1">
      <c r="A345" s="2">
        <v>45903</v>
      </c>
      <c r="B345" s="1" t="s">
        <v>1009</v>
      </c>
      <c r="C345" s="1" t="s">
        <v>1010</v>
      </c>
      <c r="D345" s="1" t="s">
        <v>168</v>
      </c>
      <c r="E345" s="1">
        <v>85396</v>
      </c>
      <c r="F345" s="1" t="s">
        <v>1011</v>
      </c>
      <c r="G345" s="1" t="s">
        <v>497</v>
      </c>
      <c r="H345" s="4" t="s">
        <v>84</v>
      </c>
      <c r="V345" s="45">
        <f>IF(OR(ISNUMBER(SEARCH("unable to locate acct",G345)),ISNUMBER(SEARCH("unknown",G345)),ISNUMBER(SEARCH("inactive",G345)),H345=""),0,1)</f>
        <v>1</v>
      </c>
    </row>
    <row r="346" spans="1:22" hidden="1">
      <c r="A346" s="2">
        <v>45903</v>
      </c>
      <c r="B346" s="1" t="s">
        <v>1012</v>
      </c>
      <c r="C346" s="1" t="s">
        <v>1013</v>
      </c>
      <c r="D346" s="1" t="s">
        <v>57</v>
      </c>
      <c r="E346" s="1">
        <v>85085</v>
      </c>
      <c r="F346" s="1" t="s">
        <v>304</v>
      </c>
      <c r="G346" s="1" t="s">
        <v>497</v>
      </c>
      <c r="H346" s="21" t="s">
        <v>5561</v>
      </c>
      <c r="I346" s="5" t="s">
        <v>67</v>
      </c>
      <c r="J346" s="5" t="s">
        <v>31</v>
      </c>
      <c r="K346" s="5" t="s">
        <v>31</v>
      </c>
      <c r="L346" s="5" t="s">
        <v>32</v>
      </c>
      <c r="M346" s="5" t="s">
        <v>31</v>
      </c>
      <c r="N346" s="5" t="s">
        <v>31</v>
      </c>
      <c r="O346" s="5" t="s">
        <v>32</v>
      </c>
      <c r="P346" s="5" t="s">
        <v>33</v>
      </c>
      <c r="Q346" s="2">
        <v>45967</v>
      </c>
      <c r="V346" s="45">
        <f>IF(OR(ISNUMBER(SEARCH("unable to locate acct",G346)),ISNUMBER(SEARCH("unknown",G346)),ISNUMBER(SEARCH("inactive",G346)),H346=""),0,1)</f>
        <v>1</v>
      </c>
    </row>
    <row r="347" spans="1:22" hidden="1">
      <c r="A347" s="2">
        <v>45903</v>
      </c>
      <c r="B347" s="1" t="s">
        <v>1014</v>
      </c>
      <c r="C347" s="1" t="s">
        <v>125</v>
      </c>
      <c r="D347" s="1" t="s">
        <v>163</v>
      </c>
      <c r="E347" s="1">
        <v>85395</v>
      </c>
      <c r="F347" s="1" t="s">
        <v>1015</v>
      </c>
      <c r="G347" s="1" t="s">
        <v>497</v>
      </c>
      <c r="H347" s="4" t="s">
        <v>21</v>
      </c>
      <c r="V347" s="45">
        <f>IF(OR(ISNUMBER(SEARCH("unable to locate acct",G347)),ISNUMBER(SEARCH("unknown",G347)),ISNUMBER(SEARCH("inactive",G347)),H347=""),0,1)</f>
        <v>1</v>
      </c>
    </row>
    <row r="348" spans="1:22" hidden="1">
      <c r="A348" s="2">
        <v>45903</v>
      </c>
      <c r="B348" s="1" t="s">
        <v>1016</v>
      </c>
      <c r="C348" s="1" t="s">
        <v>1017</v>
      </c>
      <c r="D348" s="1" t="s">
        <v>514</v>
      </c>
      <c r="E348" s="1">
        <v>85392</v>
      </c>
      <c r="F348" s="1" t="s">
        <v>25</v>
      </c>
      <c r="G348" s="1" t="s">
        <v>497</v>
      </c>
      <c r="H348" s="21" t="s">
        <v>5131</v>
      </c>
      <c r="I348" s="5" t="s">
        <v>190</v>
      </c>
      <c r="J348" s="5" t="s">
        <v>31</v>
      </c>
      <c r="K348" s="5" t="s">
        <v>31</v>
      </c>
      <c r="L348" s="5" t="s">
        <v>32</v>
      </c>
      <c r="M348" s="5" t="s">
        <v>31</v>
      </c>
      <c r="N348" s="5" t="s">
        <v>31</v>
      </c>
      <c r="O348" s="5" t="s">
        <v>32</v>
      </c>
      <c r="P348" s="5" t="s">
        <v>33</v>
      </c>
      <c r="Q348" s="2">
        <v>45967</v>
      </c>
      <c r="V348" s="45">
        <f>IF(OR(ISNUMBER(SEARCH("unable to locate acct",G348)),ISNUMBER(SEARCH("unknown",G348)),ISNUMBER(SEARCH("inactive",G348)),H348=""),0,1)</f>
        <v>1</v>
      </c>
    </row>
    <row r="349" spans="1:22" hidden="1">
      <c r="A349" s="2">
        <v>45903</v>
      </c>
      <c r="B349" s="1" t="s">
        <v>1018</v>
      </c>
      <c r="C349" s="1" t="s">
        <v>1019</v>
      </c>
      <c r="D349" s="1" t="s">
        <v>57</v>
      </c>
      <c r="E349" s="1">
        <v>85024</v>
      </c>
      <c r="F349" s="1" t="s">
        <v>25</v>
      </c>
      <c r="G349" s="1" t="s">
        <v>497</v>
      </c>
      <c r="H349" s="4" t="s">
        <v>21</v>
      </c>
      <c r="V349" s="45">
        <f>IF(OR(ISNUMBER(SEARCH("unable to locate acct",G349)),ISNUMBER(SEARCH("unknown",G349)),ISNUMBER(SEARCH("inactive",G349)),H349=""),0,1)</f>
        <v>1</v>
      </c>
    </row>
    <row r="350" spans="1:22" hidden="1">
      <c r="A350" s="2">
        <v>45903</v>
      </c>
      <c r="B350" s="1" t="s">
        <v>1020</v>
      </c>
      <c r="C350" s="1" t="s">
        <v>1021</v>
      </c>
      <c r="D350" s="1" t="s">
        <v>57</v>
      </c>
      <c r="E350" s="1">
        <v>85020</v>
      </c>
      <c r="F350" s="1" t="s">
        <v>304</v>
      </c>
      <c r="G350" s="1" t="s">
        <v>497</v>
      </c>
      <c r="H350" s="21" t="s">
        <v>5562</v>
      </c>
      <c r="I350" s="5" t="s">
        <v>30</v>
      </c>
      <c r="J350" s="5" t="s">
        <v>31</v>
      </c>
      <c r="K350" s="5" t="s">
        <v>31</v>
      </c>
      <c r="L350" s="5" t="s">
        <v>32</v>
      </c>
      <c r="M350" s="5" t="s">
        <v>31</v>
      </c>
      <c r="N350" s="5" t="s">
        <v>31</v>
      </c>
      <c r="O350" s="5" t="s">
        <v>32</v>
      </c>
      <c r="P350" s="5" t="s">
        <v>33</v>
      </c>
      <c r="Q350" s="2">
        <v>45967</v>
      </c>
      <c r="V350" s="45">
        <f>IF(OR(ISNUMBER(SEARCH("unable to locate acct",G350)),ISNUMBER(SEARCH("unknown",G350)),ISNUMBER(SEARCH("inactive",G350)),H350=""),0,1)</f>
        <v>1</v>
      </c>
    </row>
    <row r="351" spans="1:22" hidden="1">
      <c r="A351" s="2">
        <v>45903</v>
      </c>
      <c r="B351" s="1" t="s">
        <v>1022</v>
      </c>
      <c r="C351" s="1" t="s">
        <v>1023</v>
      </c>
      <c r="D351" s="1" t="s">
        <v>57</v>
      </c>
      <c r="E351" s="1">
        <v>85050</v>
      </c>
      <c r="F351" s="1" t="s">
        <v>1024</v>
      </c>
      <c r="G351" s="1" t="s">
        <v>497</v>
      </c>
      <c r="H351" s="21" t="s">
        <v>5563</v>
      </c>
      <c r="I351" s="5" t="s">
        <v>30</v>
      </c>
      <c r="J351" s="5" t="s">
        <v>31</v>
      </c>
      <c r="K351" s="5" t="s">
        <v>31</v>
      </c>
      <c r="L351" s="5" t="s">
        <v>32</v>
      </c>
      <c r="M351" s="5" t="s">
        <v>31</v>
      </c>
      <c r="N351" s="5" t="s">
        <v>31</v>
      </c>
      <c r="O351" s="5" t="s">
        <v>32</v>
      </c>
      <c r="P351" s="5" t="s">
        <v>33</v>
      </c>
      <c r="Q351" s="2">
        <v>45967</v>
      </c>
      <c r="V351" s="45">
        <f>IF(OR(ISNUMBER(SEARCH("unable to locate acct",G351)),ISNUMBER(SEARCH("unknown",G351)),ISNUMBER(SEARCH("inactive",G351)),H351=""),0,1)</f>
        <v>1</v>
      </c>
    </row>
    <row r="352" spans="1:22" hidden="1">
      <c r="A352" s="2">
        <v>45903</v>
      </c>
      <c r="B352" s="1" t="s">
        <v>1025</v>
      </c>
      <c r="C352" s="1" t="s">
        <v>1026</v>
      </c>
      <c r="D352" s="1" t="s">
        <v>18</v>
      </c>
      <c r="E352" s="1">
        <v>85307</v>
      </c>
      <c r="F352" s="1" t="s">
        <v>25</v>
      </c>
      <c r="G352" s="1" t="s">
        <v>497</v>
      </c>
      <c r="H352" s="21" t="s">
        <v>5564</v>
      </c>
      <c r="I352" s="5" t="s">
        <v>30</v>
      </c>
      <c r="J352" s="5" t="s">
        <v>31</v>
      </c>
      <c r="K352" s="5" t="s">
        <v>31</v>
      </c>
      <c r="L352" s="5" t="s">
        <v>32</v>
      </c>
      <c r="M352" s="5" t="s">
        <v>31</v>
      </c>
      <c r="N352" s="5" t="s">
        <v>31</v>
      </c>
      <c r="O352" s="5" t="s">
        <v>32</v>
      </c>
      <c r="P352" s="5" t="s">
        <v>33</v>
      </c>
      <c r="Q352" s="2">
        <v>45967</v>
      </c>
      <c r="V352" s="45">
        <f>IF(OR(ISNUMBER(SEARCH("unable to locate acct",G352)),ISNUMBER(SEARCH("unknown",G352)),ISNUMBER(SEARCH("inactive",G352)),H352=""),0,1)</f>
        <v>1</v>
      </c>
    </row>
    <row r="353" spans="1:22" hidden="1">
      <c r="A353" s="2">
        <v>45903</v>
      </c>
      <c r="B353" s="1" t="s">
        <v>1027</v>
      </c>
      <c r="C353" s="1" t="s">
        <v>1028</v>
      </c>
      <c r="D353" s="1" t="s">
        <v>18</v>
      </c>
      <c r="E353" s="1">
        <v>85308</v>
      </c>
      <c r="F353" s="1" t="s">
        <v>304</v>
      </c>
      <c r="G353" s="1" t="s">
        <v>497</v>
      </c>
      <c r="H353" s="21" t="s">
        <v>5565</v>
      </c>
      <c r="I353" s="5" t="s">
        <v>30</v>
      </c>
      <c r="J353" s="5" t="s">
        <v>31</v>
      </c>
      <c r="K353" s="5" t="s">
        <v>31</v>
      </c>
      <c r="L353" s="5" t="s">
        <v>32</v>
      </c>
      <c r="M353" s="5" t="s">
        <v>31</v>
      </c>
      <c r="N353" s="5" t="s">
        <v>31</v>
      </c>
      <c r="O353" s="5" t="s">
        <v>32</v>
      </c>
      <c r="P353" s="5" t="s">
        <v>33</v>
      </c>
      <c r="Q353" s="2">
        <v>45967</v>
      </c>
      <c r="V353" s="45">
        <f>IF(OR(ISNUMBER(SEARCH("unable to locate acct",G353)),ISNUMBER(SEARCH("unknown",G353)),ISNUMBER(SEARCH("inactive",G353)),H353=""),0,1)</f>
        <v>1</v>
      </c>
    </row>
    <row r="354" spans="1:22" hidden="1">
      <c r="A354" s="2">
        <v>45903</v>
      </c>
      <c r="B354" s="1" t="s">
        <v>1029</v>
      </c>
      <c r="C354" s="1" t="s">
        <v>1030</v>
      </c>
      <c r="D354" s="1" t="s">
        <v>57</v>
      </c>
      <c r="E354" s="1">
        <v>85050</v>
      </c>
      <c r="F354" s="1" t="s">
        <v>25</v>
      </c>
      <c r="G354" s="1" t="s">
        <v>497</v>
      </c>
      <c r="H354" s="21" t="s">
        <v>5566</v>
      </c>
      <c r="I354" s="5" t="s">
        <v>190</v>
      </c>
      <c r="J354" s="5" t="s">
        <v>31</v>
      </c>
      <c r="K354" s="5" t="s">
        <v>31</v>
      </c>
      <c r="L354" s="5" t="s">
        <v>32</v>
      </c>
      <c r="M354" s="5" t="s">
        <v>31</v>
      </c>
      <c r="N354" s="5" t="s">
        <v>31</v>
      </c>
      <c r="O354" s="5" t="s">
        <v>32</v>
      </c>
      <c r="P354" s="5" t="s">
        <v>33</v>
      </c>
      <c r="Q354" s="2">
        <v>45967</v>
      </c>
      <c r="V354" s="45">
        <f>IF(OR(ISNUMBER(SEARCH("unable to locate acct",G354)),ISNUMBER(SEARCH("unknown",G354)),ISNUMBER(SEARCH("inactive",G354)),H354=""),0,1)</f>
        <v>1</v>
      </c>
    </row>
    <row r="355" spans="1:22" hidden="1">
      <c r="A355" s="2">
        <v>45903</v>
      </c>
      <c r="B355" s="1" t="s">
        <v>1031</v>
      </c>
      <c r="C355" s="1" t="s">
        <v>1032</v>
      </c>
      <c r="D355" s="1" t="s">
        <v>57</v>
      </c>
      <c r="E355" s="1">
        <v>85024</v>
      </c>
      <c r="F355" s="1" t="s">
        <v>304</v>
      </c>
      <c r="G355" s="1" t="s">
        <v>497</v>
      </c>
      <c r="H355" s="21" t="s">
        <v>5132</v>
      </c>
      <c r="I355" s="5" t="s">
        <v>190</v>
      </c>
      <c r="J355" s="5" t="s">
        <v>31</v>
      </c>
      <c r="K355" s="5" t="s">
        <v>31</v>
      </c>
      <c r="L355" s="5" t="s">
        <v>32</v>
      </c>
      <c r="M355" s="5" t="s">
        <v>31</v>
      </c>
      <c r="N355" s="5" t="s">
        <v>31</v>
      </c>
      <c r="O355" s="5" t="s">
        <v>32</v>
      </c>
      <c r="P355" s="5" t="s">
        <v>33</v>
      </c>
      <c r="Q355" s="2">
        <v>45967</v>
      </c>
      <c r="V355" s="45">
        <f>IF(OR(ISNUMBER(SEARCH("unable to locate acct",G355)),ISNUMBER(SEARCH("unknown",G355)),ISNUMBER(SEARCH("inactive",G355)),H355=""),0,1)</f>
        <v>1</v>
      </c>
    </row>
    <row r="356" spans="1:22" hidden="1">
      <c r="A356" s="2">
        <v>45903</v>
      </c>
      <c r="B356" s="1" t="s">
        <v>1033</v>
      </c>
      <c r="C356" s="1" t="s">
        <v>927</v>
      </c>
      <c r="D356" s="1" t="s">
        <v>234</v>
      </c>
      <c r="E356" s="1">
        <v>85395</v>
      </c>
      <c r="F356" s="1" t="s">
        <v>1034</v>
      </c>
      <c r="G356" s="1" t="s">
        <v>497</v>
      </c>
      <c r="H356" s="4" t="s">
        <v>203</v>
      </c>
      <c r="V356" s="45">
        <f>IF(OR(ISNUMBER(SEARCH("unable to locate acct",G356)),ISNUMBER(SEARCH("unknown",G356)),ISNUMBER(SEARCH("inactive",G356)),H356=""),0,1)</f>
        <v>1</v>
      </c>
    </row>
    <row r="357" spans="1:22" hidden="1">
      <c r="A357" s="2">
        <v>45903</v>
      </c>
      <c r="B357" s="1" t="s">
        <v>1035</v>
      </c>
      <c r="C357" s="1" t="s">
        <v>171</v>
      </c>
      <c r="D357" s="1" t="s">
        <v>163</v>
      </c>
      <c r="E357" s="1">
        <v>85338</v>
      </c>
      <c r="F357" s="1" t="s">
        <v>1036</v>
      </c>
      <c r="G357" s="1" t="s">
        <v>497</v>
      </c>
      <c r="H357" s="4" t="s">
        <v>1037</v>
      </c>
      <c r="I357" s="5" t="s">
        <v>30</v>
      </c>
      <c r="J357" s="5" t="s">
        <v>32</v>
      </c>
      <c r="K357" s="5" t="s">
        <v>31</v>
      </c>
      <c r="L357" s="5" t="s">
        <v>32</v>
      </c>
      <c r="M357" s="5" t="s">
        <v>31</v>
      </c>
      <c r="N357" s="5" t="s">
        <v>31</v>
      </c>
      <c r="O357" s="5" t="s">
        <v>32</v>
      </c>
      <c r="P357" s="5" t="s">
        <v>33</v>
      </c>
      <c r="Q357" s="2">
        <v>45967</v>
      </c>
      <c r="V357" s="45">
        <f>IF(OR(ISNUMBER(SEARCH("unable to locate acct",G357)),ISNUMBER(SEARCH("unknown",G357)),ISNUMBER(SEARCH("inactive",G357)),H357=""),0,1)</f>
        <v>1</v>
      </c>
    </row>
    <row r="358" spans="1:22" hidden="1">
      <c r="A358" s="2">
        <v>45903</v>
      </c>
      <c r="B358" s="1" t="s">
        <v>1038</v>
      </c>
      <c r="C358" s="1" t="s">
        <v>1039</v>
      </c>
      <c r="D358" s="1" t="s">
        <v>163</v>
      </c>
      <c r="E358" s="1">
        <v>85395</v>
      </c>
      <c r="F358" s="1" t="s">
        <v>1040</v>
      </c>
      <c r="G358" s="1" t="s">
        <v>497</v>
      </c>
      <c r="H358" s="21" t="s">
        <v>5133</v>
      </c>
      <c r="I358" s="5" t="s">
        <v>30</v>
      </c>
      <c r="J358" s="5" t="s">
        <v>31</v>
      </c>
      <c r="K358" s="5" t="s">
        <v>31</v>
      </c>
      <c r="L358" s="5" t="s">
        <v>32</v>
      </c>
      <c r="M358" s="5" t="s">
        <v>31</v>
      </c>
      <c r="N358" s="5" t="s">
        <v>31</v>
      </c>
      <c r="O358" s="5" t="s">
        <v>32</v>
      </c>
      <c r="P358" s="5" t="s">
        <v>33</v>
      </c>
      <c r="Q358" s="2">
        <v>45967</v>
      </c>
      <c r="V358" s="45">
        <f>IF(OR(ISNUMBER(SEARCH("unable to locate acct",G358)),ISNUMBER(SEARCH("unknown",G358)),ISNUMBER(SEARCH("inactive",G358)),H358=""),0,1)</f>
        <v>1</v>
      </c>
    </row>
    <row r="359" spans="1:22" hidden="1">
      <c r="A359" s="2">
        <v>45903</v>
      </c>
      <c r="B359" s="1" t="s">
        <v>1041</v>
      </c>
      <c r="C359" s="1" t="s">
        <v>1042</v>
      </c>
      <c r="D359" s="1" t="s">
        <v>119</v>
      </c>
      <c r="E359" s="1">
        <v>85266</v>
      </c>
      <c r="F359" s="1" t="s">
        <v>304</v>
      </c>
      <c r="G359" s="1" t="s">
        <v>497</v>
      </c>
      <c r="H359" s="21" t="s">
        <v>5567</v>
      </c>
      <c r="I359" s="5" t="s">
        <v>30</v>
      </c>
      <c r="J359" s="5" t="s">
        <v>31</v>
      </c>
      <c r="K359" s="5" t="s">
        <v>31</v>
      </c>
      <c r="L359" s="5" t="s">
        <v>32</v>
      </c>
      <c r="M359" s="5" t="s">
        <v>31</v>
      </c>
      <c r="N359" s="5" t="s">
        <v>31</v>
      </c>
      <c r="O359" s="5" t="s">
        <v>32</v>
      </c>
      <c r="P359" s="5" t="s">
        <v>33</v>
      </c>
      <c r="Q359" s="2">
        <v>45967</v>
      </c>
      <c r="V359" s="45">
        <f>IF(OR(ISNUMBER(SEARCH("unable to locate acct",G359)),ISNUMBER(SEARCH("unknown",G359)),ISNUMBER(SEARCH("inactive",G359)),H359=""),0,1)</f>
        <v>1</v>
      </c>
    </row>
    <row r="360" spans="1:22" hidden="1">
      <c r="A360" s="2">
        <v>45903</v>
      </c>
      <c r="B360" s="1" t="s">
        <v>1043</v>
      </c>
      <c r="C360" s="1" t="s">
        <v>1044</v>
      </c>
      <c r="D360" s="1" t="s">
        <v>119</v>
      </c>
      <c r="E360" s="1">
        <v>85259</v>
      </c>
      <c r="F360" s="1" t="s">
        <v>25</v>
      </c>
      <c r="G360" s="1" t="s">
        <v>497</v>
      </c>
      <c r="H360" s="4" t="s">
        <v>203</v>
      </c>
      <c r="V360" s="45">
        <f>IF(OR(ISNUMBER(SEARCH("unable to locate acct",G360)),ISNUMBER(SEARCH("unknown",G360)),ISNUMBER(SEARCH("inactive",G360)),H360=""),0,1)</f>
        <v>1</v>
      </c>
    </row>
    <row r="361" spans="1:22" hidden="1">
      <c r="A361" s="2">
        <v>45903</v>
      </c>
      <c r="B361" s="1" t="s">
        <v>1045</v>
      </c>
      <c r="C361" s="1" t="s">
        <v>1042</v>
      </c>
      <c r="D361" s="1" t="s">
        <v>57</v>
      </c>
      <c r="E361" s="1">
        <v>85050</v>
      </c>
      <c r="F361" s="1" t="s">
        <v>25</v>
      </c>
      <c r="G361" s="1" t="s">
        <v>497</v>
      </c>
      <c r="H361" s="4" t="s">
        <v>21</v>
      </c>
      <c r="V361" s="45">
        <f>IF(OR(ISNUMBER(SEARCH("unable to locate acct",G361)),ISNUMBER(SEARCH("unknown",G361)),ISNUMBER(SEARCH("inactive",G361)),H361=""),0,1)</f>
        <v>1</v>
      </c>
    </row>
    <row r="362" spans="1:22" hidden="1">
      <c r="A362" s="2">
        <v>45903</v>
      </c>
      <c r="B362" s="1" t="s">
        <v>1046</v>
      </c>
      <c r="C362" s="1" t="s">
        <v>1047</v>
      </c>
      <c r="D362" s="1" t="s">
        <v>163</v>
      </c>
      <c r="E362" s="1">
        <v>85338</v>
      </c>
      <c r="F362" s="1" t="s">
        <v>1048</v>
      </c>
      <c r="G362" s="1" t="s">
        <v>497</v>
      </c>
      <c r="H362" s="4" t="s">
        <v>84</v>
      </c>
      <c r="V362" s="45">
        <f>IF(OR(ISNUMBER(SEARCH("unable to locate acct",G362)),ISNUMBER(SEARCH("unknown",G362)),ISNUMBER(SEARCH("inactive",G362)),H362=""),0,1)</f>
        <v>1</v>
      </c>
    </row>
    <row r="363" spans="1:22" hidden="1">
      <c r="A363" s="2">
        <v>45903</v>
      </c>
      <c r="B363" s="1" t="s">
        <v>1049</v>
      </c>
      <c r="C363" s="1" t="s">
        <v>1050</v>
      </c>
      <c r="D363" s="1" t="s">
        <v>196</v>
      </c>
      <c r="E363" s="1">
        <v>85383</v>
      </c>
      <c r="F363" s="1" t="s">
        <v>304</v>
      </c>
      <c r="G363" s="1" t="s">
        <v>497</v>
      </c>
      <c r="H363" s="21" t="s">
        <v>5134</v>
      </c>
      <c r="I363" s="5" t="s">
        <v>532</v>
      </c>
      <c r="J363" s="5" t="s">
        <v>31</v>
      </c>
      <c r="K363" s="5" t="s">
        <v>31</v>
      </c>
      <c r="L363" s="5" t="s">
        <v>381</v>
      </c>
      <c r="M363" s="5" t="s">
        <v>31</v>
      </c>
      <c r="N363" s="5" t="s">
        <v>31</v>
      </c>
      <c r="O363" s="5" t="s">
        <v>32</v>
      </c>
      <c r="P363" s="5" t="s">
        <v>33</v>
      </c>
      <c r="Q363" s="2">
        <v>45967</v>
      </c>
      <c r="V363" s="45">
        <f>IF(OR(ISNUMBER(SEARCH("unable to locate acct",G363)),ISNUMBER(SEARCH("unknown",G363)),ISNUMBER(SEARCH("inactive",G363)),H363=""),0,1)</f>
        <v>1</v>
      </c>
    </row>
    <row r="364" spans="1:22" hidden="1">
      <c r="A364" s="2">
        <v>45903</v>
      </c>
      <c r="B364" s="1" t="s">
        <v>1051</v>
      </c>
      <c r="C364" s="1" t="s">
        <v>1052</v>
      </c>
      <c r="D364" s="1" t="s">
        <v>57</v>
      </c>
      <c r="E364" s="1">
        <v>85024</v>
      </c>
      <c r="F364" s="1" t="s">
        <v>1053</v>
      </c>
      <c r="G364" s="1" t="s">
        <v>497</v>
      </c>
      <c r="H364" s="21" t="s">
        <v>5568</v>
      </c>
      <c r="I364" s="5" t="s">
        <v>190</v>
      </c>
      <c r="J364" s="5" t="s">
        <v>31</v>
      </c>
      <c r="K364" s="5" t="s">
        <v>31</v>
      </c>
      <c r="L364" s="7" t="s">
        <v>1054</v>
      </c>
      <c r="M364" s="5" t="s">
        <v>31</v>
      </c>
      <c r="N364" s="5" t="s">
        <v>31</v>
      </c>
      <c r="O364" s="5" t="s">
        <v>32</v>
      </c>
      <c r="P364" s="2">
        <v>45936</v>
      </c>
      <c r="Q364" s="2">
        <v>45967</v>
      </c>
      <c r="R364" s="1" t="s">
        <v>1055</v>
      </c>
      <c r="V364" s="45">
        <f>IF(OR(ISNUMBER(SEARCH("unable to locate acct",G364)),ISNUMBER(SEARCH("unknown",G364)),ISNUMBER(SEARCH("inactive",G364)),H364=""),0,1)</f>
        <v>1</v>
      </c>
    </row>
    <row r="365" spans="1:22" hidden="1">
      <c r="A365" s="2">
        <v>45903</v>
      </c>
      <c r="B365" s="1" t="s">
        <v>1056</v>
      </c>
      <c r="C365" s="1" t="s">
        <v>1057</v>
      </c>
      <c r="D365" s="1" t="s">
        <v>196</v>
      </c>
      <c r="E365" s="1">
        <v>85383</v>
      </c>
      <c r="F365" s="1" t="s">
        <v>304</v>
      </c>
      <c r="G365" s="1" t="s">
        <v>497</v>
      </c>
      <c r="H365" s="21" t="s">
        <v>5569</v>
      </c>
      <c r="I365" s="5" t="s">
        <v>30</v>
      </c>
      <c r="J365" s="5" t="s">
        <v>31</v>
      </c>
      <c r="K365" s="5" t="s">
        <v>31</v>
      </c>
      <c r="L365" s="5" t="s">
        <v>32</v>
      </c>
      <c r="M365" s="5" t="s">
        <v>31</v>
      </c>
      <c r="N365" s="5" t="s">
        <v>31</v>
      </c>
      <c r="O365" s="5" t="s">
        <v>32</v>
      </c>
      <c r="P365" s="5" t="s">
        <v>33</v>
      </c>
      <c r="Q365" s="2">
        <v>45967</v>
      </c>
      <c r="V365" s="45">
        <f>IF(OR(ISNUMBER(SEARCH("unable to locate acct",G365)),ISNUMBER(SEARCH("unknown",G365)),ISNUMBER(SEARCH("inactive",G365)),H365=""),0,1)</f>
        <v>1</v>
      </c>
    </row>
    <row r="366" spans="1:22" hidden="1">
      <c r="A366" s="2">
        <v>45903</v>
      </c>
      <c r="B366" s="1" t="s">
        <v>1058</v>
      </c>
      <c r="C366" s="1" t="s">
        <v>1059</v>
      </c>
      <c r="D366" s="1" t="s">
        <v>57</v>
      </c>
      <c r="E366" s="1">
        <v>85085</v>
      </c>
      <c r="F366" s="1" t="s">
        <v>304</v>
      </c>
      <c r="G366" s="1" t="s">
        <v>497</v>
      </c>
      <c r="H366" s="21" t="s">
        <v>5570</v>
      </c>
      <c r="I366" s="5" t="s">
        <v>30</v>
      </c>
      <c r="J366" s="5" t="s">
        <v>31</v>
      </c>
      <c r="K366" s="5" t="s">
        <v>31</v>
      </c>
      <c r="L366" s="5" t="s">
        <v>32</v>
      </c>
      <c r="M366" s="5" t="s">
        <v>31</v>
      </c>
      <c r="N366" s="5" t="s">
        <v>31</v>
      </c>
      <c r="O366" s="5" t="s">
        <v>32</v>
      </c>
      <c r="P366" s="5" t="s">
        <v>33</v>
      </c>
      <c r="Q366" s="2">
        <v>45967</v>
      </c>
      <c r="V366" s="45">
        <f>IF(OR(ISNUMBER(SEARCH("unable to locate acct",G366)),ISNUMBER(SEARCH("unknown",G366)),ISNUMBER(SEARCH("inactive",G366)),H366=""),0,1)</f>
        <v>1</v>
      </c>
    </row>
    <row r="367" spans="1:22" hidden="1">
      <c r="A367" s="2">
        <v>45903</v>
      </c>
      <c r="B367" s="1" t="s">
        <v>1060</v>
      </c>
      <c r="C367" s="1" t="s">
        <v>1061</v>
      </c>
      <c r="D367" s="1" t="s">
        <v>234</v>
      </c>
      <c r="E367" s="1">
        <v>85340</v>
      </c>
      <c r="F367" s="1" t="s">
        <v>1062</v>
      </c>
      <c r="G367" s="1" t="s">
        <v>497</v>
      </c>
      <c r="H367" s="21" t="s">
        <v>5571</v>
      </c>
      <c r="I367" s="5" t="s">
        <v>120</v>
      </c>
      <c r="J367" s="5" t="s">
        <v>32</v>
      </c>
      <c r="K367" s="5" t="s">
        <v>31</v>
      </c>
      <c r="L367" s="5" t="s">
        <v>1063</v>
      </c>
      <c r="M367" s="5" t="s">
        <v>31</v>
      </c>
      <c r="N367" s="5" t="s">
        <v>31</v>
      </c>
      <c r="O367" s="5" t="s">
        <v>32</v>
      </c>
      <c r="P367" s="5" t="s">
        <v>33</v>
      </c>
      <c r="Q367" s="2">
        <v>45967</v>
      </c>
      <c r="V367" s="45">
        <f>IF(OR(ISNUMBER(SEARCH("unable to locate acct",G367)),ISNUMBER(SEARCH("unknown",G367)),ISNUMBER(SEARCH("inactive",G367)),H367=""),0,1)</f>
        <v>1</v>
      </c>
    </row>
    <row r="368" spans="1:22" hidden="1">
      <c r="A368" s="2">
        <v>45903</v>
      </c>
      <c r="B368" s="1" t="s">
        <v>1064</v>
      </c>
      <c r="C368" s="1" t="s">
        <v>1065</v>
      </c>
      <c r="D368" s="1" t="s">
        <v>57</v>
      </c>
      <c r="E368" s="1">
        <v>85050</v>
      </c>
      <c r="F368" s="1" t="s">
        <v>1066</v>
      </c>
      <c r="G368" s="1" t="s">
        <v>497</v>
      </c>
      <c r="H368" s="21" t="s">
        <v>5572</v>
      </c>
      <c r="I368" s="5" t="s">
        <v>962</v>
      </c>
      <c r="J368" s="5" t="s">
        <v>31</v>
      </c>
      <c r="K368" s="5" t="s">
        <v>31</v>
      </c>
      <c r="L368" s="7" t="s">
        <v>1067</v>
      </c>
      <c r="M368" s="5" t="s">
        <v>31</v>
      </c>
      <c r="N368" s="5" t="s">
        <v>31</v>
      </c>
      <c r="O368" s="5" t="s">
        <v>32</v>
      </c>
      <c r="P368" s="2">
        <v>45936</v>
      </c>
      <c r="Q368" s="2">
        <v>45967</v>
      </c>
      <c r="R368" s="1" t="s">
        <v>1068</v>
      </c>
      <c r="V368" s="45">
        <f>IF(OR(ISNUMBER(SEARCH("unable to locate acct",G368)),ISNUMBER(SEARCH("unknown",G368)),ISNUMBER(SEARCH("inactive",G368)),H368=""),0,1)</f>
        <v>1</v>
      </c>
    </row>
    <row r="369" spans="1:22" hidden="1">
      <c r="A369" s="2">
        <v>45903</v>
      </c>
      <c r="B369" s="1" t="s">
        <v>1069</v>
      </c>
      <c r="C369" s="1" t="s">
        <v>1070</v>
      </c>
      <c r="D369" s="1" t="s">
        <v>514</v>
      </c>
      <c r="E369" s="1">
        <v>85392</v>
      </c>
      <c r="F369" s="1" t="s">
        <v>25</v>
      </c>
      <c r="G369" s="1" t="s">
        <v>497</v>
      </c>
      <c r="H369" s="4" t="s">
        <v>21</v>
      </c>
      <c r="V369" s="45">
        <f>IF(OR(ISNUMBER(SEARCH("unable to locate acct",G369)),ISNUMBER(SEARCH("unknown",G369)),ISNUMBER(SEARCH("inactive",G369)),H369=""),0,1)</f>
        <v>1</v>
      </c>
    </row>
    <row r="370" spans="1:22" hidden="1">
      <c r="A370" s="2">
        <v>45903</v>
      </c>
      <c r="B370" s="1" t="s">
        <v>1071</v>
      </c>
      <c r="C370" s="1" t="s">
        <v>1072</v>
      </c>
      <c r="D370" s="1" t="s">
        <v>24</v>
      </c>
      <c r="E370" s="1">
        <v>85085</v>
      </c>
      <c r="F370" s="1" t="s">
        <v>304</v>
      </c>
      <c r="G370" s="1" t="s">
        <v>497</v>
      </c>
      <c r="H370" s="21" t="s">
        <v>5573</v>
      </c>
      <c r="I370" s="5" t="s">
        <v>190</v>
      </c>
      <c r="J370" s="5" t="s">
        <v>31</v>
      </c>
      <c r="K370" s="5" t="s">
        <v>31</v>
      </c>
      <c r="L370" s="5" t="s">
        <v>1073</v>
      </c>
      <c r="M370" s="5" t="s">
        <v>31</v>
      </c>
      <c r="N370" s="5" t="s">
        <v>31</v>
      </c>
      <c r="O370" s="5" t="s">
        <v>32</v>
      </c>
      <c r="P370" s="5" t="s">
        <v>33</v>
      </c>
      <c r="Q370" s="2">
        <v>45967</v>
      </c>
      <c r="V370" s="45">
        <f>IF(OR(ISNUMBER(SEARCH("unable to locate acct",G370)),ISNUMBER(SEARCH("unknown",G370)),ISNUMBER(SEARCH("inactive",G370)),H370=""),0,1)</f>
        <v>1</v>
      </c>
    </row>
    <row r="371" spans="1:22" hidden="1">
      <c r="A371" s="2">
        <v>45903</v>
      </c>
      <c r="B371" s="1" t="s">
        <v>1074</v>
      </c>
      <c r="C371" s="1" t="s">
        <v>1075</v>
      </c>
      <c r="D371" s="1" t="s">
        <v>196</v>
      </c>
      <c r="E371" s="1">
        <v>85383</v>
      </c>
      <c r="F371" s="1" t="s">
        <v>1076</v>
      </c>
      <c r="G371" s="1" t="s">
        <v>497</v>
      </c>
      <c r="H371" s="4" t="s">
        <v>21</v>
      </c>
      <c r="V371" s="45">
        <f>IF(OR(ISNUMBER(SEARCH("unable to locate acct",G371)),ISNUMBER(SEARCH("unknown",G371)),ISNUMBER(SEARCH("inactive",G371)),H371=""),0,1)</f>
        <v>1</v>
      </c>
    </row>
    <row r="372" spans="1:22" hidden="1">
      <c r="A372" s="2">
        <v>45903</v>
      </c>
      <c r="B372" s="1" t="s">
        <v>1077</v>
      </c>
      <c r="C372" s="1" t="s">
        <v>306</v>
      </c>
      <c r="D372" s="1" t="s">
        <v>514</v>
      </c>
      <c r="E372" s="1">
        <v>85323</v>
      </c>
      <c r="F372" s="1" t="s">
        <v>1078</v>
      </c>
      <c r="G372" s="1" t="s">
        <v>497</v>
      </c>
      <c r="H372" s="21" t="s">
        <v>5574</v>
      </c>
      <c r="I372" s="5" t="s">
        <v>67</v>
      </c>
      <c r="J372" s="5" t="s">
        <v>31</v>
      </c>
      <c r="K372" s="5" t="s">
        <v>31</v>
      </c>
      <c r="L372" s="5" t="s">
        <v>32</v>
      </c>
      <c r="M372" s="5" t="s">
        <v>31</v>
      </c>
      <c r="N372" s="5" t="s">
        <v>31</v>
      </c>
      <c r="O372" s="5" t="s">
        <v>32</v>
      </c>
      <c r="P372" s="5" t="s">
        <v>33</v>
      </c>
      <c r="Q372" s="2">
        <v>45967</v>
      </c>
      <c r="V372" s="45">
        <f>IF(OR(ISNUMBER(SEARCH("unable to locate acct",G372)),ISNUMBER(SEARCH("unknown",G372)),ISNUMBER(SEARCH("inactive",G372)),H372=""),0,1)</f>
        <v>1</v>
      </c>
    </row>
    <row r="373" spans="1:22" hidden="1">
      <c r="A373" s="2">
        <v>45903</v>
      </c>
      <c r="B373" s="1" t="s">
        <v>170</v>
      </c>
      <c r="C373" s="1" t="s">
        <v>278</v>
      </c>
      <c r="D373" s="1" t="s">
        <v>57</v>
      </c>
      <c r="E373" s="1">
        <v>85024</v>
      </c>
      <c r="F373" s="1" t="s">
        <v>304</v>
      </c>
      <c r="G373" s="1" t="s">
        <v>497</v>
      </c>
      <c r="H373" s="4" t="s">
        <v>203</v>
      </c>
      <c r="V373" s="45">
        <f>IF(OR(ISNUMBER(SEARCH("unable to locate acct",G373)),ISNUMBER(SEARCH("unknown",G373)),ISNUMBER(SEARCH("inactive",G373)),H373=""),0,1)</f>
        <v>1</v>
      </c>
    </row>
    <row r="374" spans="1:22" hidden="1">
      <c r="A374" s="2">
        <v>45903</v>
      </c>
      <c r="B374" s="1" t="s">
        <v>1079</v>
      </c>
      <c r="C374" s="1" t="s">
        <v>1080</v>
      </c>
      <c r="D374" s="1" t="s">
        <v>57</v>
      </c>
      <c r="E374" s="1">
        <v>85032</v>
      </c>
      <c r="F374" s="1" t="s">
        <v>304</v>
      </c>
      <c r="G374" s="1" t="s">
        <v>497</v>
      </c>
      <c r="H374" s="4" t="s">
        <v>21</v>
      </c>
      <c r="V374" s="45">
        <f>IF(OR(ISNUMBER(SEARCH("unable to locate acct",G374)),ISNUMBER(SEARCH("unknown",G374)),ISNUMBER(SEARCH("inactive",G374)),H374=""),0,1)</f>
        <v>1</v>
      </c>
    </row>
    <row r="375" spans="1:22" hidden="1">
      <c r="A375" s="2">
        <v>45903</v>
      </c>
      <c r="B375" s="1" t="s">
        <v>1081</v>
      </c>
      <c r="C375" s="1" t="s">
        <v>1082</v>
      </c>
      <c r="D375" s="1" t="s">
        <v>514</v>
      </c>
      <c r="E375" s="1">
        <v>85392</v>
      </c>
      <c r="F375" s="1" t="s">
        <v>1078</v>
      </c>
      <c r="G375" s="1" t="s">
        <v>497</v>
      </c>
      <c r="H375" s="21" t="s">
        <v>5575</v>
      </c>
      <c r="I375" s="5" t="s">
        <v>190</v>
      </c>
      <c r="J375" s="5" t="s">
        <v>31</v>
      </c>
      <c r="K375" s="5" t="s">
        <v>31</v>
      </c>
      <c r="L375" s="5" t="s">
        <v>32</v>
      </c>
      <c r="M375" s="5" t="s">
        <v>31</v>
      </c>
      <c r="N375" s="5" t="s">
        <v>31</v>
      </c>
      <c r="O375" s="5" t="s">
        <v>32</v>
      </c>
      <c r="P375" s="5" t="s">
        <v>33</v>
      </c>
      <c r="Q375" s="2">
        <v>45967</v>
      </c>
      <c r="V375" s="45">
        <f>IF(OR(ISNUMBER(SEARCH("unable to locate acct",G375)),ISNUMBER(SEARCH("unknown",G375)),ISNUMBER(SEARCH("inactive",G375)),H375=""),0,1)</f>
        <v>1</v>
      </c>
    </row>
    <row r="376" spans="1:22" hidden="1">
      <c r="A376" s="2">
        <v>45903</v>
      </c>
      <c r="B376" s="1" t="s">
        <v>1083</v>
      </c>
      <c r="C376" s="1" t="s">
        <v>1084</v>
      </c>
      <c r="D376" s="1" t="s">
        <v>57</v>
      </c>
      <c r="E376" s="1">
        <v>85024</v>
      </c>
      <c r="F376" s="1" t="s">
        <v>304</v>
      </c>
      <c r="G376" s="1" t="s">
        <v>497</v>
      </c>
      <c r="H376" s="4" t="s">
        <v>203</v>
      </c>
      <c r="V376" s="45">
        <f>IF(OR(ISNUMBER(SEARCH("unable to locate acct",G376)),ISNUMBER(SEARCH("unknown",G376)),ISNUMBER(SEARCH("inactive",G376)),H376=""),0,1)</f>
        <v>1</v>
      </c>
    </row>
    <row r="377" spans="1:22" hidden="1">
      <c r="A377" s="2">
        <v>45903</v>
      </c>
      <c r="B377" s="1" t="s">
        <v>1085</v>
      </c>
      <c r="C377" s="1" t="s">
        <v>549</v>
      </c>
      <c r="D377" s="1" t="s">
        <v>57</v>
      </c>
      <c r="E377" s="1">
        <v>85050</v>
      </c>
      <c r="F377" s="1" t="s">
        <v>304</v>
      </c>
      <c r="G377" s="1" t="s">
        <v>497</v>
      </c>
      <c r="H377" s="21" t="s">
        <v>5576</v>
      </c>
      <c r="I377" s="5" t="s">
        <v>30</v>
      </c>
      <c r="J377" s="5" t="s">
        <v>31</v>
      </c>
      <c r="K377" s="5" t="s">
        <v>31</v>
      </c>
      <c r="L377" s="5" t="s">
        <v>32</v>
      </c>
      <c r="M377" s="5" t="s">
        <v>31</v>
      </c>
      <c r="N377" s="5" t="s">
        <v>31</v>
      </c>
      <c r="O377" s="5" t="s">
        <v>32</v>
      </c>
      <c r="P377" s="5" t="s">
        <v>33</v>
      </c>
      <c r="Q377" s="2">
        <v>45967</v>
      </c>
      <c r="V377" s="45">
        <f>IF(OR(ISNUMBER(SEARCH("unable to locate acct",G377)),ISNUMBER(SEARCH("unknown",G377)),ISNUMBER(SEARCH("inactive",G377)),H377=""),0,1)</f>
        <v>1</v>
      </c>
    </row>
    <row r="378" spans="1:22" hidden="1">
      <c r="A378" s="2">
        <v>45903</v>
      </c>
      <c r="B378" s="1" t="s">
        <v>1086</v>
      </c>
      <c r="C378" s="1" t="s">
        <v>1087</v>
      </c>
      <c r="D378" s="1" t="s">
        <v>57</v>
      </c>
      <c r="E378" s="1">
        <v>85050</v>
      </c>
      <c r="F378" s="1" t="s">
        <v>1088</v>
      </c>
      <c r="G378" s="1" t="s">
        <v>497</v>
      </c>
      <c r="H378" s="21" t="s">
        <v>5577</v>
      </c>
      <c r="I378" s="5" t="s">
        <v>190</v>
      </c>
      <c r="J378" s="5" t="s">
        <v>31</v>
      </c>
      <c r="K378" s="5" t="s">
        <v>31</v>
      </c>
      <c r="L378" s="5" t="s">
        <v>32</v>
      </c>
      <c r="M378" s="5" t="s">
        <v>31</v>
      </c>
      <c r="N378" s="5" t="s">
        <v>31</v>
      </c>
      <c r="O378" s="5" t="s">
        <v>32</v>
      </c>
      <c r="P378" s="5" t="s">
        <v>33</v>
      </c>
      <c r="Q378" s="2">
        <v>45967</v>
      </c>
      <c r="V378" s="45">
        <f>IF(OR(ISNUMBER(SEARCH("unable to locate acct",G378)),ISNUMBER(SEARCH("unknown",G378)),ISNUMBER(SEARCH("inactive",G378)),H378=""),0,1)</f>
        <v>1</v>
      </c>
    </row>
    <row r="379" spans="1:22" hidden="1">
      <c r="A379" s="2">
        <v>45903</v>
      </c>
      <c r="B379" s="1" t="s">
        <v>1089</v>
      </c>
      <c r="C379" s="1" t="s">
        <v>463</v>
      </c>
      <c r="D379" s="1" t="s">
        <v>57</v>
      </c>
      <c r="E379" s="1">
        <v>85042</v>
      </c>
      <c r="F379" s="1" t="s">
        <v>304</v>
      </c>
      <c r="G379" s="1" t="s">
        <v>497</v>
      </c>
      <c r="H379" s="4" t="s">
        <v>84</v>
      </c>
      <c r="V379" s="45">
        <f>IF(OR(ISNUMBER(SEARCH("unable to locate acct",G379)),ISNUMBER(SEARCH("unknown",G379)),ISNUMBER(SEARCH("inactive",G379)),H379=""),0,1)</f>
        <v>1</v>
      </c>
    </row>
    <row r="380" spans="1:22" hidden="1">
      <c r="A380" s="2">
        <v>45903</v>
      </c>
      <c r="B380" s="1" t="s">
        <v>1090</v>
      </c>
      <c r="C380" s="1" t="s">
        <v>1091</v>
      </c>
      <c r="D380" s="1" t="s">
        <v>1092</v>
      </c>
      <c r="E380" s="1">
        <v>85355</v>
      </c>
      <c r="F380" s="1" t="s">
        <v>1093</v>
      </c>
      <c r="G380" s="1" t="s">
        <v>497</v>
      </c>
      <c r="H380" s="21" t="s">
        <v>5578</v>
      </c>
      <c r="I380" s="5" t="s">
        <v>30</v>
      </c>
      <c r="J380" s="5" t="s">
        <v>31</v>
      </c>
      <c r="K380" s="5" t="s">
        <v>31</v>
      </c>
      <c r="L380" s="5" t="s">
        <v>32</v>
      </c>
      <c r="M380" s="5" t="s">
        <v>31</v>
      </c>
      <c r="N380" s="5" t="s">
        <v>31</v>
      </c>
      <c r="O380" s="5" t="s">
        <v>32</v>
      </c>
      <c r="P380" s="5" t="s">
        <v>33</v>
      </c>
      <c r="Q380" s="2">
        <v>45967</v>
      </c>
      <c r="V380" s="45">
        <f>IF(OR(ISNUMBER(SEARCH("unable to locate acct",G380)),ISNUMBER(SEARCH("unknown",G380)),ISNUMBER(SEARCH("inactive",G380)),H380=""),0,1)</f>
        <v>1</v>
      </c>
    </row>
    <row r="381" spans="1:22" hidden="1">
      <c r="A381" s="2">
        <v>45903</v>
      </c>
      <c r="B381" s="1" t="s">
        <v>806</v>
      </c>
      <c r="C381" s="1" t="s">
        <v>322</v>
      </c>
      <c r="D381" s="1" t="s">
        <v>106</v>
      </c>
      <c r="E381" s="1">
        <v>85379</v>
      </c>
      <c r="F381" s="1" t="s">
        <v>304</v>
      </c>
      <c r="G381" s="1" t="s">
        <v>497</v>
      </c>
      <c r="H381" s="21" t="s">
        <v>5579</v>
      </c>
      <c r="I381" s="5" t="s">
        <v>30</v>
      </c>
      <c r="J381" s="5" t="s">
        <v>31</v>
      </c>
      <c r="K381" s="5" t="s">
        <v>31</v>
      </c>
      <c r="L381" s="5" t="s">
        <v>32</v>
      </c>
      <c r="M381" s="5" t="s">
        <v>31</v>
      </c>
      <c r="N381" s="5" t="s">
        <v>31</v>
      </c>
      <c r="O381" s="5" t="s">
        <v>32</v>
      </c>
      <c r="P381" s="5" t="s">
        <v>33</v>
      </c>
      <c r="Q381" s="2">
        <v>45967</v>
      </c>
      <c r="V381" s="45">
        <f>IF(OR(ISNUMBER(SEARCH("unable to locate acct",G381)),ISNUMBER(SEARCH("unknown",G381)),ISNUMBER(SEARCH("inactive",G381)),H381=""),0,1)</f>
        <v>1</v>
      </c>
    </row>
    <row r="382" spans="1:22" hidden="1">
      <c r="A382" s="2">
        <v>45903</v>
      </c>
      <c r="B382" s="1" t="s">
        <v>1094</v>
      </c>
      <c r="C382" s="1" t="s">
        <v>1095</v>
      </c>
      <c r="D382" s="1" t="s">
        <v>196</v>
      </c>
      <c r="E382" s="1">
        <v>85383</v>
      </c>
      <c r="F382" s="1" t="s">
        <v>304</v>
      </c>
      <c r="G382" s="1" t="s">
        <v>497</v>
      </c>
      <c r="H382" s="4" t="s">
        <v>84</v>
      </c>
      <c r="V382" s="45">
        <f>IF(OR(ISNUMBER(SEARCH("unable to locate acct",G382)),ISNUMBER(SEARCH("unknown",G382)),ISNUMBER(SEARCH("inactive",G382)),H382=""),0,1)</f>
        <v>1</v>
      </c>
    </row>
    <row r="383" spans="1:22" hidden="1">
      <c r="A383" s="2">
        <v>45903</v>
      </c>
      <c r="B383" s="1" t="s">
        <v>1096</v>
      </c>
      <c r="C383" s="1" t="s">
        <v>109</v>
      </c>
      <c r="D383" s="1" t="s">
        <v>163</v>
      </c>
      <c r="E383" s="1">
        <v>85338</v>
      </c>
      <c r="F383" s="1" t="s">
        <v>1097</v>
      </c>
      <c r="G383" s="1" t="s">
        <v>497</v>
      </c>
      <c r="H383" s="21" t="s">
        <v>5580</v>
      </c>
      <c r="I383" s="5" t="s">
        <v>30</v>
      </c>
      <c r="J383" s="5" t="s">
        <v>31</v>
      </c>
      <c r="K383" s="5" t="s">
        <v>31</v>
      </c>
      <c r="L383" s="5" t="s">
        <v>32</v>
      </c>
      <c r="M383" s="5" t="s">
        <v>31</v>
      </c>
      <c r="N383" s="5" t="s">
        <v>31</v>
      </c>
      <c r="O383" s="5" t="s">
        <v>32</v>
      </c>
      <c r="P383" s="5" t="s">
        <v>33</v>
      </c>
      <c r="Q383" s="2">
        <v>45967</v>
      </c>
      <c r="V383" s="45">
        <f>IF(OR(ISNUMBER(SEARCH("unable to locate acct",G383)),ISNUMBER(SEARCH("unknown",G383)),ISNUMBER(SEARCH("inactive",G383)),H383=""),0,1)</f>
        <v>1</v>
      </c>
    </row>
    <row r="384" spans="1:22" hidden="1">
      <c r="A384" s="2">
        <v>45903</v>
      </c>
      <c r="B384" s="1" t="s">
        <v>1098</v>
      </c>
      <c r="C384" s="1" t="s">
        <v>1099</v>
      </c>
      <c r="D384" s="1" t="s">
        <v>163</v>
      </c>
      <c r="E384" s="1">
        <v>85338</v>
      </c>
      <c r="F384" s="1" t="s">
        <v>1100</v>
      </c>
      <c r="G384" s="1" t="s">
        <v>497</v>
      </c>
      <c r="H384" s="21" t="s">
        <v>5581</v>
      </c>
      <c r="I384" s="5" t="s">
        <v>40</v>
      </c>
      <c r="J384" s="5" t="s">
        <v>31</v>
      </c>
      <c r="K384" s="5" t="s">
        <v>31</v>
      </c>
      <c r="L384" s="7" t="s">
        <v>1101</v>
      </c>
      <c r="M384" s="5" t="s">
        <v>31</v>
      </c>
      <c r="N384" s="5" t="s">
        <v>31</v>
      </c>
      <c r="O384" s="5" t="s">
        <v>32</v>
      </c>
      <c r="P384" s="2">
        <v>46301</v>
      </c>
      <c r="Q384" s="2">
        <v>45967</v>
      </c>
      <c r="R384" s="1" t="s">
        <v>1102</v>
      </c>
      <c r="V384" s="45">
        <f>IF(OR(ISNUMBER(SEARCH("unable to locate acct",G384)),ISNUMBER(SEARCH("unknown",G384)),ISNUMBER(SEARCH("inactive",G384)),H384=""),0,1)</f>
        <v>1</v>
      </c>
    </row>
    <row r="385" spans="1:22" hidden="1">
      <c r="A385" s="2">
        <v>45903</v>
      </c>
      <c r="B385" s="1" t="s">
        <v>1103</v>
      </c>
      <c r="C385" s="1" t="s">
        <v>1104</v>
      </c>
      <c r="D385" s="1" t="s">
        <v>234</v>
      </c>
      <c r="E385" s="1">
        <v>85340</v>
      </c>
      <c r="F385" s="1" t="s">
        <v>25</v>
      </c>
      <c r="G385" s="1" t="s">
        <v>497</v>
      </c>
      <c r="H385" s="21" t="s">
        <v>5582</v>
      </c>
      <c r="I385" s="5" t="s">
        <v>30</v>
      </c>
      <c r="J385" s="5" t="s">
        <v>31</v>
      </c>
      <c r="K385" s="5" t="s">
        <v>31</v>
      </c>
      <c r="L385" s="5" t="s">
        <v>32</v>
      </c>
      <c r="M385" s="5" t="s">
        <v>31</v>
      </c>
      <c r="N385" s="5" t="s">
        <v>31</v>
      </c>
      <c r="O385" s="5" t="s">
        <v>32</v>
      </c>
      <c r="P385" s="5" t="s">
        <v>33</v>
      </c>
      <c r="Q385" s="2">
        <v>45967</v>
      </c>
      <c r="V385" s="45">
        <f>IF(OR(ISNUMBER(SEARCH("unable to locate acct",G385)),ISNUMBER(SEARCH("unknown",G385)),ISNUMBER(SEARCH("inactive",G385)),H385=""),0,1)</f>
        <v>1</v>
      </c>
    </row>
    <row r="386" spans="1:22" hidden="1">
      <c r="A386" s="2">
        <v>45903</v>
      </c>
      <c r="B386" s="1" t="s">
        <v>1105</v>
      </c>
      <c r="C386" s="1" t="s">
        <v>1106</v>
      </c>
      <c r="D386" s="1" t="s">
        <v>163</v>
      </c>
      <c r="E386" s="1">
        <v>85395</v>
      </c>
      <c r="F386" s="1" t="s">
        <v>1107</v>
      </c>
      <c r="G386" s="1" t="s">
        <v>497</v>
      </c>
      <c r="H386" s="21" t="s">
        <v>5583</v>
      </c>
      <c r="I386" s="5" t="s">
        <v>40</v>
      </c>
      <c r="J386" s="5" t="s">
        <v>31</v>
      </c>
      <c r="K386" s="5" t="s">
        <v>31</v>
      </c>
      <c r="L386" s="5" t="s">
        <v>32</v>
      </c>
      <c r="M386" s="5" t="s">
        <v>31</v>
      </c>
      <c r="N386" s="5" t="s">
        <v>31</v>
      </c>
      <c r="O386" s="5" t="s">
        <v>32</v>
      </c>
      <c r="P386" s="5" t="s">
        <v>33</v>
      </c>
      <c r="Q386" s="2">
        <v>45967</v>
      </c>
      <c r="V386" s="45">
        <f>IF(OR(ISNUMBER(SEARCH("unable to locate acct",G386)),ISNUMBER(SEARCH("unknown",G386)),ISNUMBER(SEARCH("inactive",G386)),H386=""),0,1)</f>
        <v>1</v>
      </c>
    </row>
    <row r="387" spans="1:22" hidden="1">
      <c r="A387" s="2">
        <v>45903</v>
      </c>
      <c r="B387" s="1" t="s">
        <v>1108</v>
      </c>
      <c r="C387" s="1" t="s">
        <v>1109</v>
      </c>
      <c r="D387" s="1" t="s">
        <v>106</v>
      </c>
      <c r="E387" s="1">
        <v>85387</v>
      </c>
      <c r="F387" s="1" t="s">
        <v>25</v>
      </c>
      <c r="G387" s="1" t="s">
        <v>497</v>
      </c>
      <c r="H387" s="21" t="s">
        <v>5584</v>
      </c>
      <c r="I387" s="5" t="s">
        <v>190</v>
      </c>
      <c r="J387" s="5" t="s">
        <v>31</v>
      </c>
      <c r="K387" s="5" t="s">
        <v>31</v>
      </c>
      <c r="L387" s="5" t="s">
        <v>1110</v>
      </c>
      <c r="M387" s="5" t="s">
        <v>31</v>
      </c>
      <c r="N387" s="5" t="s">
        <v>31</v>
      </c>
      <c r="O387" s="5" t="s">
        <v>32</v>
      </c>
      <c r="P387" s="5" t="s">
        <v>33</v>
      </c>
      <c r="Q387" s="2">
        <v>45967</v>
      </c>
      <c r="R387" s="1" t="s">
        <v>1111</v>
      </c>
      <c r="V387" s="45">
        <f>IF(OR(ISNUMBER(SEARCH("unable to locate acct",G387)),ISNUMBER(SEARCH("unknown",G387)),ISNUMBER(SEARCH("inactive",G387)),H387=""),0,1)</f>
        <v>1</v>
      </c>
    </row>
    <row r="388" spans="1:22" hidden="1">
      <c r="A388" s="2">
        <v>45903</v>
      </c>
      <c r="B388" s="1" t="s">
        <v>1112</v>
      </c>
      <c r="C388" s="1" t="s">
        <v>1113</v>
      </c>
      <c r="D388" s="1" t="s">
        <v>168</v>
      </c>
      <c r="E388" s="1">
        <v>85326</v>
      </c>
      <c r="F388" s="1" t="s">
        <v>304</v>
      </c>
      <c r="G388" s="1" t="s">
        <v>497</v>
      </c>
      <c r="H388" s="4" t="s">
        <v>84</v>
      </c>
      <c r="V388" s="45">
        <f>IF(OR(ISNUMBER(SEARCH("unable to locate acct",G388)),ISNUMBER(SEARCH("unknown",G388)),ISNUMBER(SEARCH("inactive",G388)),H388=""),0,1)</f>
        <v>1</v>
      </c>
    </row>
    <row r="389" spans="1:22" hidden="1">
      <c r="A389" s="2">
        <v>45903</v>
      </c>
      <c r="B389" s="1" t="s">
        <v>1114</v>
      </c>
      <c r="C389" s="1" t="s">
        <v>352</v>
      </c>
      <c r="D389" s="1" t="s">
        <v>163</v>
      </c>
      <c r="E389" s="1">
        <v>85338</v>
      </c>
      <c r="F389" s="1" t="s">
        <v>304</v>
      </c>
      <c r="G389" s="1" t="s">
        <v>497</v>
      </c>
      <c r="H389" s="21" t="s">
        <v>5585</v>
      </c>
      <c r="I389" s="5" t="s">
        <v>190</v>
      </c>
      <c r="J389" s="5" t="s">
        <v>31</v>
      </c>
      <c r="K389" s="5" t="s">
        <v>31</v>
      </c>
      <c r="L389" s="7" t="s">
        <v>1115</v>
      </c>
      <c r="M389" s="5" t="s">
        <v>31</v>
      </c>
      <c r="N389" s="5" t="s">
        <v>31</v>
      </c>
      <c r="O389" s="5" t="s">
        <v>32</v>
      </c>
      <c r="P389" s="2">
        <v>45936</v>
      </c>
      <c r="Q389" s="2">
        <v>45967</v>
      </c>
      <c r="R389" s="1" t="s">
        <v>1116</v>
      </c>
      <c r="V389" s="45">
        <f>IF(OR(ISNUMBER(SEARCH("unable to locate acct",G389)),ISNUMBER(SEARCH("unknown",G389)),ISNUMBER(SEARCH("inactive",G389)),H389=""),0,1)</f>
        <v>1</v>
      </c>
    </row>
    <row r="390" spans="1:22" hidden="1">
      <c r="A390" s="2">
        <v>45903</v>
      </c>
      <c r="B390" s="1" t="s">
        <v>1117</v>
      </c>
      <c r="C390" s="1" t="s">
        <v>1118</v>
      </c>
      <c r="D390" s="1" t="s">
        <v>163</v>
      </c>
      <c r="E390" s="1">
        <v>85338</v>
      </c>
      <c r="F390" s="1" t="s">
        <v>1119</v>
      </c>
      <c r="G390" s="1" t="s">
        <v>497</v>
      </c>
      <c r="H390" s="21" t="s">
        <v>5586</v>
      </c>
      <c r="I390" s="5" t="s">
        <v>237</v>
      </c>
      <c r="J390" s="5" t="s">
        <v>32</v>
      </c>
      <c r="K390" s="5" t="s">
        <v>31</v>
      </c>
      <c r="L390" s="5" t="s">
        <v>381</v>
      </c>
      <c r="M390" s="5" t="s">
        <v>32</v>
      </c>
      <c r="N390" s="15">
        <v>520.65</v>
      </c>
      <c r="O390" s="5" t="s">
        <v>32</v>
      </c>
      <c r="P390" s="7"/>
      <c r="Q390" s="2">
        <v>45967</v>
      </c>
      <c r="R390" s="1" t="s">
        <v>486</v>
      </c>
      <c r="V390" s="45">
        <f>IF(OR(ISNUMBER(SEARCH("unable to locate acct",G390)),ISNUMBER(SEARCH("unknown",G390)),ISNUMBER(SEARCH("inactive",G390)),H390=""),0,1)</f>
        <v>1</v>
      </c>
    </row>
    <row r="391" spans="1:22" hidden="1">
      <c r="A391" s="2">
        <v>45903</v>
      </c>
      <c r="B391" s="1" t="s">
        <v>1120</v>
      </c>
      <c r="C391" s="1" t="s">
        <v>1121</v>
      </c>
      <c r="D391" s="1" t="s">
        <v>163</v>
      </c>
      <c r="E391" s="1">
        <v>85338</v>
      </c>
      <c r="F391" s="1" t="s">
        <v>25</v>
      </c>
      <c r="G391" s="1" t="s">
        <v>497</v>
      </c>
      <c r="H391" s="21" t="s">
        <v>5587</v>
      </c>
      <c r="I391" s="5" t="s">
        <v>190</v>
      </c>
      <c r="J391" s="5" t="s">
        <v>31</v>
      </c>
      <c r="K391" s="5" t="s">
        <v>31</v>
      </c>
      <c r="L391" s="7" t="s">
        <v>1122</v>
      </c>
      <c r="M391" s="5" t="s">
        <v>31</v>
      </c>
      <c r="N391" s="5" t="s">
        <v>31</v>
      </c>
      <c r="O391" s="5" t="s">
        <v>32</v>
      </c>
      <c r="P391" s="2">
        <v>45936</v>
      </c>
      <c r="Q391" s="2">
        <v>45967</v>
      </c>
      <c r="R391" s="1" t="s">
        <v>1123</v>
      </c>
      <c r="V391" s="45">
        <f>IF(OR(ISNUMBER(SEARCH("unable to locate acct",G391)),ISNUMBER(SEARCH("unknown",G391)),ISNUMBER(SEARCH("inactive",G391)),H391=""),0,1)</f>
        <v>1</v>
      </c>
    </row>
    <row r="392" spans="1:22" hidden="1">
      <c r="A392" s="2">
        <v>45903</v>
      </c>
      <c r="B392" s="1" t="s">
        <v>1124</v>
      </c>
      <c r="C392" s="1" t="s">
        <v>759</v>
      </c>
      <c r="D392" s="1" t="s">
        <v>196</v>
      </c>
      <c r="E392" s="1">
        <v>85383</v>
      </c>
      <c r="F392" s="1" t="s">
        <v>304</v>
      </c>
      <c r="G392" s="1" t="s">
        <v>497</v>
      </c>
      <c r="H392" s="4" t="s">
        <v>21</v>
      </c>
      <c r="V392" s="45">
        <f>IF(OR(ISNUMBER(SEARCH("unable to locate acct",G392)),ISNUMBER(SEARCH("unknown",G392)),ISNUMBER(SEARCH("inactive",G392)),H392=""),0,1)</f>
        <v>1</v>
      </c>
    </row>
    <row r="393" spans="1:22" hidden="1">
      <c r="A393" s="2">
        <v>45903</v>
      </c>
      <c r="B393" s="1" t="s">
        <v>1125</v>
      </c>
      <c r="C393" s="1" t="s">
        <v>1126</v>
      </c>
      <c r="D393" s="1" t="s">
        <v>363</v>
      </c>
      <c r="E393" s="1">
        <v>85225</v>
      </c>
      <c r="F393" s="1" t="s">
        <v>304</v>
      </c>
      <c r="G393" s="1" t="s">
        <v>497</v>
      </c>
      <c r="H393" s="21" t="s">
        <v>5588</v>
      </c>
      <c r="I393" s="5" t="s">
        <v>30</v>
      </c>
      <c r="J393" s="5" t="s">
        <v>31</v>
      </c>
      <c r="K393" s="5" t="s">
        <v>31</v>
      </c>
      <c r="L393" s="5" t="s">
        <v>32</v>
      </c>
      <c r="M393" s="5" t="s">
        <v>31</v>
      </c>
      <c r="N393" s="5" t="s">
        <v>31</v>
      </c>
      <c r="O393" s="5" t="s">
        <v>32</v>
      </c>
      <c r="P393" s="5" t="s">
        <v>33</v>
      </c>
      <c r="Q393" s="2">
        <v>45967</v>
      </c>
      <c r="V393" s="45">
        <f>IF(OR(ISNUMBER(SEARCH("unable to locate acct",G393)),ISNUMBER(SEARCH("unknown",G393)),ISNUMBER(SEARCH("inactive",G393)),H393=""),0,1)</f>
        <v>1</v>
      </c>
    </row>
    <row r="394" spans="1:22" hidden="1">
      <c r="A394" s="2">
        <v>45903</v>
      </c>
      <c r="B394" s="1" t="s">
        <v>1127</v>
      </c>
      <c r="C394" s="1" t="s">
        <v>150</v>
      </c>
      <c r="D394" s="1" t="s">
        <v>57</v>
      </c>
      <c r="E394" s="1">
        <v>85032</v>
      </c>
      <c r="F394" s="1" t="s">
        <v>304</v>
      </c>
      <c r="G394" s="1" t="s">
        <v>497</v>
      </c>
      <c r="H394" s="21" t="s">
        <v>5589</v>
      </c>
      <c r="I394" s="5" t="s">
        <v>190</v>
      </c>
      <c r="J394" s="5" t="s">
        <v>31</v>
      </c>
      <c r="K394" s="5" t="s">
        <v>31</v>
      </c>
      <c r="L394" s="7" t="s">
        <v>1128</v>
      </c>
      <c r="M394" s="5" t="s">
        <v>31</v>
      </c>
      <c r="N394" s="5" t="s">
        <v>31</v>
      </c>
      <c r="O394" s="5" t="s">
        <v>32</v>
      </c>
      <c r="P394" s="2">
        <v>45936</v>
      </c>
      <c r="Q394" s="2">
        <v>45967</v>
      </c>
      <c r="R394" s="1" t="s">
        <v>1123</v>
      </c>
      <c r="V394" s="45">
        <f>IF(OR(ISNUMBER(SEARCH("unable to locate acct",G394)),ISNUMBER(SEARCH("unknown",G394)),ISNUMBER(SEARCH("inactive",G394)),H394=""),0,1)</f>
        <v>1</v>
      </c>
    </row>
    <row r="395" spans="1:22" hidden="1">
      <c r="A395" s="2">
        <v>45903</v>
      </c>
      <c r="B395" s="1" t="s">
        <v>128</v>
      </c>
      <c r="C395" s="1" t="s">
        <v>448</v>
      </c>
      <c r="D395" s="1" t="s">
        <v>18</v>
      </c>
      <c r="E395" s="1">
        <v>85306</v>
      </c>
      <c r="F395" s="1" t="s">
        <v>304</v>
      </c>
      <c r="G395" s="1" t="s">
        <v>497</v>
      </c>
      <c r="H395" s="21" t="s">
        <v>5590</v>
      </c>
      <c r="I395" s="5" t="s">
        <v>190</v>
      </c>
      <c r="J395" s="5" t="s">
        <v>31</v>
      </c>
      <c r="K395" s="5" t="s">
        <v>31</v>
      </c>
      <c r="L395" s="5" t="s">
        <v>1129</v>
      </c>
      <c r="M395" s="5" t="s">
        <v>31</v>
      </c>
      <c r="N395" s="5" t="s">
        <v>31</v>
      </c>
      <c r="O395" s="5" t="s">
        <v>32</v>
      </c>
      <c r="P395" s="5" t="s">
        <v>33</v>
      </c>
      <c r="Q395" s="2">
        <v>45967</v>
      </c>
      <c r="V395" s="45">
        <f>IF(OR(ISNUMBER(SEARCH("unable to locate acct",G395)),ISNUMBER(SEARCH("unknown",G395)),ISNUMBER(SEARCH("inactive",G395)),H395=""),0,1)</f>
        <v>1</v>
      </c>
    </row>
    <row r="396" spans="1:22" hidden="1">
      <c r="A396" s="2">
        <v>45903</v>
      </c>
      <c r="B396" s="1" t="s">
        <v>1130</v>
      </c>
      <c r="C396" s="1" t="s">
        <v>1000</v>
      </c>
      <c r="D396" s="1" t="s">
        <v>163</v>
      </c>
      <c r="E396" s="1">
        <v>85338</v>
      </c>
      <c r="F396" s="1" t="s">
        <v>752</v>
      </c>
      <c r="G396" s="1" t="s">
        <v>497</v>
      </c>
      <c r="H396" s="21" t="s">
        <v>5591</v>
      </c>
      <c r="I396" s="5" t="s">
        <v>190</v>
      </c>
      <c r="J396" s="5" t="s">
        <v>31</v>
      </c>
      <c r="K396" s="5" t="s">
        <v>31</v>
      </c>
      <c r="L396" s="5" t="s">
        <v>1131</v>
      </c>
      <c r="M396" s="5" t="s">
        <v>31</v>
      </c>
      <c r="N396" s="5" t="s">
        <v>31</v>
      </c>
      <c r="O396" s="5" t="s">
        <v>32</v>
      </c>
      <c r="P396" s="5" t="s">
        <v>33</v>
      </c>
      <c r="Q396" s="2">
        <v>45967</v>
      </c>
      <c r="V396" s="45">
        <f>IF(OR(ISNUMBER(SEARCH("unable to locate acct",G396)),ISNUMBER(SEARCH("unknown",G396)),ISNUMBER(SEARCH("inactive",G396)),H396=""),0,1)</f>
        <v>1</v>
      </c>
    </row>
    <row r="397" spans="1:22" hidden="1">
      <c r="A397" s="2">
        <v>45903</v>
      </c>
      <c r="B397" s="1" t="s">
        <v>1132</v>
      </c>
      <c r="C397" s="1" t="s">
        <v>1133</v>
      </c>
      <c r="D397" s="1" t="s">
        <v>130</v>
      </c>
      <c r="E397" s="1">
        <v>85377</v>
      </c>
      <c r="F397" s="1" t="s">
        <v>1134</v>
      </c>
      <c r="G397" s="1" t="s">
        <v>497</v>
      </c>
      <c r="H397" s="21" t="s">
        <v>5592</v>
      </c>
      <c r="I397" s="5" t="s">
        <v>30</v>
      </c>
      <c r="J397" s="5" t="s">
        <v>31</v>
      </c>
      <c r="K397" s="5" t="s">
        <v>31</v>
      </c>
      <c r="L397" s="5" t="s">
        <v>32</v>
      </c>
      <c r="M397" s="5" t="s">
        <v>31</v>
      </c>
      <c r="N397" s="5" t="s">
        <v>31</v>
      </c>
      <c r="O397" s="5" t="s">
        <v>32</v>
      </c>
      <c r="P397" s="5" t="s">
        <v>33</v>
      </c>
      <c r="Q397" s="2">
        <v>45967</v>
      </c>
      <c r="R397" s="1" t="s">
        <v>1135</v>
      </c>
      <c r="V397" s="45">
        <f>IF(OR(ISNUMBER(SEARCH("unable to locate acct",G397)),ISNUMBER(SEARCH("unknown",G397)),ISNUMBER(SEARCH("inactive",G397)),H397=""),0,1)</f>
        <v>1</v>
      </c>
    </row>
    <row r="398" spans="1:22" hidden="1">
      <c r="A398" s="2">
        <v>45903</v>
      </c>
      <c r="B398" s="1" t="s">
        <v>1136</v>
      </c>
      <c r="C398" s="1" t="s">
        <v>327</v>
      </c>
      <c r="D398" s="1" t="s">
        <v>626</v>
      </c>
      <c r="E398" s="1">
        <v>85281</v>
      </c>
      <c r="F398" s="1" t="s">
        <v>25</v>
      </c>
      <c r="G398" s="1" t="s">
        <v>497</v>
      </c>
      <c r="H398" s="4" t="s">
        <v>21</v>
      </c>
      <c r="V398" s="45">
        <f>IF(OR(ISNUMBER(SEARCH("unable to locate acct",G398)),ISNUMBER(SEARCH("unknown",G398)),ISNUMBER(SEARCH("inactive",G398)),H398=""),0,1)</f>
        <v>1</v>
      </c>
    </row>
    <row r="399" spans="1:22" hidden="1">
      <c r="A399" s="2">
        <v>45903</v>
      </c>
      <c r="B399" s="1" t="s">
        <v>1137</v>
      </c>
      <c r="C399" s="1" t="s">
        <v>1138</v>
      </c>
      <c r="D399" s="1" t="s">
        <v>196</v>
      </c>
      <c r="E399" s="1">
        <v>85383</v>
      </c>
      <c r="F399" s="1" t="s">
        <v>25</v>
      </c>
      <c r="G399" s="1" t="s">
        <v>497</v>
      </c>
      <c r="H399" s="4" t="s">
        <v>21</v>
      </c>
      <c r="V399" s="45">
        <f>IF(OR(ISNUMBER(SEARCH("unable to locate acct",G399)),ISNUMBER(SEARCH("unknown",G399)),ISNUMBER(SEARCH("inactive",G399)),H399=""),0,1)</f>
        <v>1</v>
      </c>
    </row>
    <row r="400" spans="1:22" hidden="1">
      <c r="A400" s="2">
        <v>45903</v>
      </c>
      <c r="B400" s="1" t="s">
        <v>1139</v>
      </c>
      <c r="C400" s="1" t="s">
        <v>1140</v>
      </c>
      <c r="D400" s="1" t="s">
        <v>57</v>
      </c>
      <c r="E400" s="1">
        <v>85007</v>
      </c>
      <c r="F400" s="1" t="s">
        <v>304</v>
      </c>
      <c r="G400" s="1" t="s">
        <v>497</v>
      </c>
      <c r="H400" s="4" t="s">
        <v>84</v>
      </c>
      <c r="V400" s="45">
        <f>IF(OR(ISNUMBER(SEARCH("unable to locate acct",G400)),ISNUMBER(SEARCH("unknown",G400)),ISNUMBER(SEARCH("inactive",G400)),H400=""),0,1)</f>
        <v>1</v>
      </c>
    </row>
    <row r="401" spans="1:22" hidden="1">
      <c r="A401" s="2">
        <v>45903</v>
      </c>
      <c r="B401" s="1" t="s">
        <v>1077</v>
      </c>
      <c r="C401" s="1" t="s">
        <v>1141</v>
      </c>
      <c r="D401" s="1" t="s">
        <v>163</v>
      </c>
      <c r="E401" s="1">
        <v>85338</v>
      </c>
      <c r="F401" s="1" t="s">
        <v>1142</v>
      </c>
      <c r="G401" s="1" t="s">
        <v>497</v>
      </c>
      <c r="H401" s="21" t="s">
        <v>5593</v>
      </c>
      <c r="I401" s="5" t="s">
        <v>410</v>
      </c>
      <c r="J401" s="5" t="s">
        <v>31</v>
      </c>
      <c r="K401" s="5" t="s">
        <v>31</v>
      </c>
      <c r="L401" s="5" t="s">
        <v>381</v>
      </c>
      <c r="M401" s="5" t="s">
        <v>31</v>
      </c>
      <c r="N401" s="5" t="s">
        <v>31</v>
      </c>
      <c r="O401" s="5" t="s">
        <v>32</v>
      </c>
      <c r="P401" s="5" t="s">
        <v>33</v>
      </c>
      <c r="Q401" s="2">
        <v>45967</v>
      </c>
      <c r="V401" s="45">
        <f>IF(OR(ISNUMBER(SEARCH("unable to locate acct",G401)),ISNUMBER(SEARCH("unknown",G401)),ISNUMBER(SEARCH("inactive",G401)),H401=""),0,1)</f>
        <v>1</v>
      </c>
    </row>
    <row r="402" spans="1:22" hidden="1">
      <c r="A402" s="2">
        <v>45903</v>
      </c>
      <c r="B402" s="1" t="s">
        <v>1143</v>
      </c>
      <c r="C402" s="1" t="s">
        <v>69</v>
      </c>
      <c r="D402" s="1" t="s">
        <v>163</v>
      </c>
      <c r="E402" s="1">
        <v>85338</v>
      </c>
      <c r="F402" s="1" t="s">
        <v>1144</v>
      </c>
      <c r="G402" s="1" t="s">
        <v>497</v>
      </c>
      <c r="H402" s="21" t="s">
        <v>5594</v>
      </c>
      <c r="I402" s="5" t="s">
        <v>30</v>
      </c>
      <c r="J402" s="5" t="s">
        <v>31</v>
      </c>
      <c r="K402" s="5" t="s">
        <v>31</v>
      </c>
      <c r="L402" s="5" t="s">
        <v>32</v>
      </c>
      <c r="M402" s="5" t="s">
        <v>31</v>
      </c>
      <c r="N402" s="5" t="s">
        <v>31</v>
      </c>
      <c r="O402" s="5" t="s">
        <v>32</v>
      </c>
      <c r="P402" s="5" t="s">
        <v>33</v>
      </c>
      <c r="Q402" s="2">
        <v>45967</v>
      </c>
      <c r="V402" s="45">
        <f>IF(OR(ISNUMBER(SEARCH("unable to locate acct",G402)),ISNUMBER(SEARCH("unknown",G402)),ISNUMBER(SEARCH("inactive",G402)),H402=""),0,1)</f>
        <v>1</v>
      </c>
    </row>
    <row r="403" spans="1:22" hidden="1">
      <c r="A403" s="2">
        <v>45903</v>
      </c>
      <c r="B403" s="1" t="s">
        <v>1145</v>
      </c>
      <c r="C403" s="1" t="s">
        <v>1146</v>
      </c>
      <c r="D403" s="1" t="s">
        <v>119</v>
      </c>
      <c r="E403" s="1">
        <v>85260</v>
      </c>
      <c r="F403" s="1" t="s">
        <v>304</v>
      </c>
      <c r="G403" s="1" t="s">
        <v>497</v>
      </c>
      <c r="H403" s="21" t="s">
        <v>5595</v>
      </c>
      <c r="I403" s="5" t="s">
        <v>30</v>
      </c>
      <c r="J403" s="5" t="s">
        <v>31</v>
      </c>
      <c r="K403" s="5" t="s">
        <v>31</v>
      </c>
      <c r="L403" s="5" t="s">
        <v>32</v>
      </c>
      <c r="M403" s="5" t="s">
        <v>31</v>
      </c>
      <c r="N403" s="5" t="s">
        <v>31</v>
      </c>
      <c r="O403" s="5" t="s">
        <v>32</v>
      </c>
      <c r="P403" s="5" t="s">
        <v>33</v>
      </c>
      <c r="Q403" s="2">
        <v>45967</v>
      </c>
      <c r="V403" s="45">
        <f>IF(OR(ISNUMBER(SEARCH("unable to locate acct",G403)),ISNUMBER(SEARCH("unknown",G403)),ISNUMBER(SEARCH("inactive",G403)),H403=""),0,1)</f>
        <v>1</v>
      </c>
    </row>
    <row r="404" spans="1:22" hidden="1">
      <c r="A404" s="2">
        <v>45903</v>
      </c>
      <c r="B404" s="1" t="s">
        <v>1147</v>
      </c>
      <c r="C404" s="1" t="s">
        <v>1148</v>
      </c>
      <c r="D404" s="1" t="s">
        <v>514</v>
      </c>
      <c r="E404" s="1">
        <v>85392</v>
      </c>
      <c r="F404" s="1" t="s">
        <v>1149</v>
      </c>
      <c r="G404" s="1" t="s">
        <v>497</v>
      </c>
      <c r="H404" s="4" t="s">
        <v>21</v>
      </c>
      <c r="V404" s="45">
        <f>IF(OR(ISNUMBER(SEARCH("unable to locate acct",G404)),ISNUMBER(SEARCH("unknown",G404)),ISNUMBER(SEARCH("inactive",G404)),H404=""),0,1)</f>
        <v>1</v>
      </c>
    </row>
    <row r="405" spans="1:22" hidden="1">
      <c r="A405" s="2">
        <v>45903</v>
      </c>
      <c r="B405" s="1" t="s">
        <v>1150</v>
      </c>
      <c r="C405" s="1" t="s">
        <v>871</v>
      </c>
      <c r="D405" s="1" t="s">
        <v>106</v>
      </c>
      <c r="E405" s="1">
        <v>85374</v>
      </c>
      <c r="F405" s="1" t="s">
        <v>25</v>
      </c>
      <c r="G405" s="1" t="s">
        <v>497</v>
      </c>
      <c r="H405" s="21" t="s">
        <v>5596</v>
      </c>
      <c r="I405" s="5" t="s">
        <v>30</v>
      </c>
      <c r="J405" s="5" t="s">
        <v>31</v>
      </c>
      <c r="K405" s="5" t="s">
        <v>31</v>
      </c>
      <c r="L405" s="5" t="s">
        <v>32</v>
      </c>
      <c r="M405" s="5" t="s">
        <v>31</v>
      </c>
      <c r="N405" s="5" t="s">
        <v>31</v>
      </c>
      <c r="O405" s="5" t="s">
        <v>32</v>
      </c>
      <c r="P405" s="5" t="s">
        <v>33</v>
      </c>
      <c r="Q405" s="2">
        <v>45967</v>
      </c>
      <c r="V405" s="45">
        <f>IF(OR(ISNUMBER(SEARCH("unable to locate acct",G405)),ISNUMBER(SEARCH("unknown",G405)),ISNUMBER(SEARCH("inactive",G405)),H405=""),0,1)</f>
        <v>1</v>
      </c>
    </row>
    <row r="406" spans="1:22" hidden="1">
      <c r="A406" s="2">
        <v>45903</v>
      </c>
      <c r="B406" s="1" t="s">
        <v>1151</v>
      </c>
      <c r="C406" s="1" t="s">
        <v>463</v>
      </c>
      <c r="D406" s="1" t="s">
        <v>610</v>
      </c>
      <c r="E406" s="1">
        <v>85365</v>
      </c>
      <c r="F406" s="1" t="s">
        <v>1152</v>
      </c>
      <c r="G406" s="1" t="s">
        <v>497</v>
      </c>
      <c r="H406" s="21" t="s">
        <v>5597</v>
      </c>
      <c r="I406" s="5" t="s">
        <v>30</v>
      </c>
      <c r="J406" s="5" t="s">
        <v>31</v>
      </c>
      <c r="K406" s="5" t="s">
        <v>31</v>
      </c>
      <c r="L406" s="5" t="s">
        <v>32</v>
      </c>
      <c r="M406" s="5" t="s">
        <v>31</v>
      </c>
      <c r="N406" s="5" t="s">
        <v>31</v>
      </c>
      <c r="O406" s="5" t="s">
        <v>32</v>
      </c>
      <c r="P406" s="5" t="s">
        <v>33</v>
      </c>
      <c r="Q406" s="2">
        <v>45967</v>
      </c>
      <c r="V406" s="45">
        <f>IF(OR(ISNUMBER(SEARCH("unable to locate acct",G406)),ISNUMBER(SEARCH("unknown",G406)),ISNUMBER(SEARCH("inactive",G406)),H406=""),0,1)</f>
        <v>1</v>
      </c>
    </row>
    <row r="407" spans="1:22" hidden="1">
      <c r="A407" s="2">
        <v>45903</v>
      </c>
      <c r="B407" s="1" t="s">
        <v>1153</v>
      </c>
      <c r="C407" s="1" t="s">
        <v>588</v>
      </c>
      <c r="D407" s="1" t="s">
        <v>514</v>
      </c>
      <c r="E407" s="1">
        <v>85323</v>
      </c>
      <c r="F407" s="1" t="s">
        <v>1154</v>
      </c>
      <c r="G407" s="1" t="s">
        <v>497</v>
      </c>
      <c r="H407" s="21" t="s">
        <v>5598</v>
      </c>
      <c r="I407" s="5" t="s">
        <v>190</v>
      </c>
      <c r="J407" s="5" t="s">
        <v>31</v>
      </c>
      <c r="K407" s="5" t="s">
        <v>31</v>
      </c>
      <c r="L407" s="5" t="s">
        <v>32</v>
      </c>
      <c r="M407" s="5" t="s">
        <v>31</v>
      </c>
      <c r="N407" s="5" t="s">
        <v>31</v>
      </c>
      <c r="O407" s="5" t="s">
        <v>32</v>
      </c>
      <c r="P407" s="5" t="s">
        <v>33</v>
      </c>
      <c r="Q407" s="2">
        <v>45967</v>
      </c>
      <c r="V407" s="45">
        <f>IF(OR(ISNUMBER(SEARCH("unable to locate acct",G407)),ISNUMBER(SEARCH("unknown",G407)),ISNUMBER(SEARCH("inactive",G407)),H407=""),0,1)</f>
        <v>1</v>
      </c>
    </row>
    <row r="408" spans="1:22" hidden="1">
      <c r="A408" s="2">
        <v>45903</v>
      </c>
      <c r="B408" s="1" t="s">
        <v>1155</v>
      </c>
      <c r="C408" s="1" t="s">
        <v>1156</v>
      </c>
      <c r="D408" s="1" t="s">
        <v>57</v>
      </c>
      <c r="E408" s="1">
        <v>85022</v>
      </c>
      <c r="F408" s="1" t="s">
        <v>25</v>
      </c>
      <c r="G408" s="1" t="s">
        <v>497</v>
      </c>
      <c r="H408" s="4" t="s">
        <v>21</v>
      </c>
      <c r="V408" s="45">
        <f>IF(OR(ISNUMBER(SEARCH("unable to locate acct",G408)),ISNUMBER(SEARCH("unknown",G408)),ISNUMBER(SEARCH("inactive",G408)),H408=""),0,1)</f>
        <v>1</v>
      </c>
    </row>
    <row r="409" spans="1:22" hidden="1">
      <c r="A409" s="2">
        <v>45903</v>
      </c>
      <c r="B409" s="1" t="s">
        <v>1157</v>
      </c>
      <c r="C409" s="1" t="s">
        <v>306</v>
      </c>
      <c r="D409" s="1" t="s">
        <v>163</v>
      </c>
      <c r="E409" s="1">
        <v>85338</v>
      </c>
      <c r="F409" s="1" t="s">
        <v>25</v>
      </c>
      <c r="G409" s="1" t="s">
        <v>497</v>
      </c>
      <c r="H409" s="21" t="s">
        <v>5599</v>
      </c>
      <c r="I409" s="5" t="s">
        <v>244</v>
      </c>
      <c r="J409" s="5" t="s">
        <v>31</v>
      </c>
      <c r="K409" s="5" t="s">
        <v>31</v>
      </c>
      <c r="L409" s="5" t="s">
        <v>32</v>
      </c>
      <c r="M409" s="5" t="s">
        <v>31</v>
      </c>
      <c r="N409" s="5" t="s">
        <v>31</v>
      </c>
      <c r="O409" s="5" t="s">
        <v>32</v>
      </c>
      <c r="P409" s="5" t="s">
        <v>33</v>
      </c>
      <c r="Q409" s="2">
        <v>45967</v>
      </c>
      <c r="V409" s="45">
        <f>IF(OR(ISNUMBER(SEARCH("unable to locate acct",G409)),ISNUMBER(SEARCH("unknown",G409)),ISNUMBER(SEARCH("inactive",G409)),H409=""),0,1)</f>
        <v>1</v>
      </c>
    </row>
    <row r="410" spans="1:22" hidden="1">
      <c r="A410" s="2">
        <v>45903</v>
      </c>
      <c r="B410" s="1" t="s">
        <v>1158</v>
      </c>
      <c r="C410" s="1" t="s">
        <v>1159</v>
      </c>
      <c r="D410" s="1" t="s">
        <v>57</v>
      </c>
      <c r="E410" s="1">
        <v>85085</v>
      </c>
      <c r="F410" s="1" t="s">
        <v>304</v>
      </c>
      <c r="G410" s="1" t="s">
        <v>497</v>
      </c>
      <c r="H410" s="21" t="s">
        <v>5600</v>
      </c>
      <c r="I410" s="5" t="s">
        <v>190</v>
      </c>
      <c r="J410" s="5" t="s">
        <v>31</v>
      </c>
      <c r="K410" s="5" t="s">
        <v>31</v>
      </c>
      <c r="L410" s="7" t="s">
        <v>1160</v>
      </c>
      <c r="M410" s="5" t="s">
        <v>31</v>
      </c>
      <c r="N410" s="5" t="s">
        <v>31</v>
      </c>
      <c r="O410" s="5" t="s">
        <v>32</v>
      </c>
      <c r="P410" s="2">
        <v>45936</v>
      </c>
      <c r="Q410" s="2">
        <v>45967</v>
      </c>
      <c r="R410" s="1" t="s">
        <v>1161</v>
      </c>
      <c r="V410" s="45">
        <f>IF(OR(ISNUMBER(SEARCH("unable to locate acct",G410)),ISNUMBER(SEARCH("unknown",G410)),ISNUMBER(SEARCH("inactive",G410)),H410=""),0,1)</f>
        <v>1</v>
      </c>
    </row>
    <row r="411" spans="1:22" hidden="1">
      <c r="A411" s="2">
        <v>45903</v>
      </c>
      <c r="B411" s="1" t="s">
        <v>1162</v>
      </c>
      <c r="C411" s="1" t="s">
        <v>1163</v>
      </c>
      <c r="D411" s="1" t="s">
        <v>1164</v>
      </c>
      <c r="E411" s="1">
        <v>85349</v>
      </c>
      <c r="F411" s="1" t="s">
        <v>25</v>
      </c>
      <c r="G411" s="1" t="s">
        <v>497</v>
      </c>
      <c r="H411" s="4" t="s">
        <v>21</v>
      </c>
      <c r="V411" s="45">
        <f>IF(OR(ISNUMBER(SEARCH("unable to locate acct",G411)),ISNUMBER(SEARCH("unknown",G411)),ISNUMBER(SEARCH("inactive",G411)),H411=""),0,1)</f>
        <v>1</v>
      </c>
    </row>
    <row r="412" spans="1:22" hidden="1">
      <c r="A412" s="2">
        <v>45903</v>
      </c>
      <c r="B412" s="1" t="s">
        <v>1165</v>
      </c>
      <c r="C412" s="1" t="s">
        <v>1166</v>
      </c>
      <c r="D412" s="1" t="s">
        <v>1167</v>
      </c>
      <c r="E412" s="1">
        <v>85390</v>
      </c>
      <c r="F412" s="1" t="s">
        <v>25</v>
      </c>
      <c r="G412" s="1" t="s">
        <v>497</v>
      </c>
      <c r="H412" s="21" t="s">
        <v>5601</v>
      </c>
      <c r="I412" s="5" t="s">
        <v>190</v>
      </c>
      <c r="J412" s="5" t="s">
        <v>31</v>
      </c>
      <c r="K412" s="5" t="s">
        <v>31</v>
      </c>
      <c r="L412" s="5" t="s">
        <v>32</v>
      </c>
      <c r="M412" s="5" t="s">
        <v>31</v>
      </c>
      <c r="N412" s="5" t="s">
        <v>31</v>
      </c>
      <c r="O412" s="5" t="s">
        <v>32</v>
      </c>
      <c r="P412" s="5" t="s">
        <v>33</v>
      </c>
      <c r="Q412" s="2">
        <v>45967</v>
      </c>
      <c r="R412" s="1" t="s">
        <v>486</v>
      </c>
      <c r="V412" s="45">
        <f>IF(OR(ISNUMBER(SEARCH("unable to locate acct",G412)),ISNUMBER(SEARCH("unknown",G412)),ISNUMBER(SEARCH("inactive",G412)),H412=""),0,1)</f>
        <v>1</v>
      </c>
    </row>
    <row r="413" spans="1:22" hidden="1">
      <c r="A413" s="2">
        <v>45903</v>
      </c>
      <c r="B413" s="1" t="s">
        <v>1168</v>
      </c>
      <c r="C413" s="1" t="s">
        <v>472</v>
      </c>
      <c r="D413" s="1" t="s">
        <v>163</v>
      </c>
      <c r="E413" s="1">
        <v>85338</v>
      </c>
      <c r="F413" s="1" t="s">
        <v>1062</v>
      </c>
      <c r="G413" s="1" t="s">
        <v>497</v>
      </c>
      <c r="H413" s="4" t="s">
        <v>21</v>
      </c>
      <c r="V413" s="45">
        <f>IF(OR(ISNUMBER(SEARCH("unable to locate acct",G413)),ISNUMBER(SEARCH("unknown",G413)),ISNUMBER(SEARCH("inactive",G413)),H413=""),0,1)</f>
        <v>1</v>
      </c>
    </row>
    <row r="414" spans="1:22" hidden="1">
      <c r="A414" s="2">
        <v>45903</v>
      </c>
      <c r="B414" s="1" t="s">
        <v>1169</v>
      </c>
      <c r="C414" s="1" t="s">
        <v>1170</v>
      </c>
      <c r="D414" s="1" t="s">
        <v>420</v>
      </c>
      <c r="E414" s="1">
        <v>85335</v>
      </c>
      <c r="F414" s="1" t="s">
        <v>25</v>
      </c>
      <c r="G414" s="1" t="s">
        <v>497</v>
      </c>
      <c r="H414" s="21" t="s">
        <v>5602</v>
      </c>
      <c r="I414" s="5" t="s">
        <v>30</v>
      </c>
      <c r="J414" s="5" t="s">
        <v>31</v>
      </c>
      <c r="K414" s="5" t="s">
        <v>31</v>
      </c>
      <c r="L414" s="5" t="s">
        <v>32</v>
      </c>
      <c r="M414" s="5" t="s">
        <v>32</v>
      </c>
      <c r="N414" s="15">
        <v>1191.03</v>
      </c>
      <c r="O414" s="5" t="s">
        <v>32</v>
      </c>
      <c r="P414" s="7"/>
      <c r="Q414" s="2">
        <v>45967</v>
      </c>
      <c r="R414" s="1" t="s">
        <v>486</v>
      </c>
      <c r="U414" s="1" t="s">
        <v>1171</v>
      </c>
      <c r="V414" s="45">
        <f>IF(OR(ISNUMBER(SEARCH("unable to locate acct",G414)),ISNUMBER(SEARCH("unknown",G414)),ISNUMBER(SEARCH("inactive",G414)),H414=""),0,1)</f>
        <v>1</v>
      </c>
    </row>
    <row r="415" spans="1:22" hidden="1">
      <c r="A415" s="2">
        <v>45903</v>
      </c>
      <c r="B415" s="1" t="s">
        <v>1172</v>
      </c>
      <c r="C415" s="1" t="s">
        <v>1173</v>
      </c>
      <c r="D415" s="1" t="s">
        <v>57</v>
      </c>
      <c r="E415" s="1">
        <v>85015</v>
      </c>
      <c r="F415" s="1" t="s">
        <v>25</v>
      </c>
      <c r="G415" s="1" t="s">
        <v>497</v>
      </c>
      <c r="H415" s="4" t="s">
        <v>21</v>
      </c>
      <c r="V415" s="45">
        <f>IF(OR(ISNUMBER(SEARCH("unable to locate acct",G415)),ISNUMBER(SEARCH("unknown",G415)),ISNUMBER(SEARCH("inactive",G415)),H415=""),0,1)</f>
        <v>1</v>
      </c>
    </row>
    <row r="416" spans="1:22" hidden="1">
      <c r="A416" s="2">
        <v>45903</v>
      </c>
      <c r="B416" s="1" t="s">
        <v>519</v>
      </c>
      <c r="C416" s="1" t="s">
        <v>1174</v>
      </c>
      <c r="D416" s="1" t="s">
        <v>57</v>
      </c>
      <c r="E416" s="1">
        <v>85014</v>
      </c>
      <c r="F416" s="1" t="s">
        <v>304</v>
      </c>
      <c r="G416" s="1" t="s">
        <v>497</v>
      </c>
      <c r="H416" s="21" t="s">
        <v>5603</v>
      </c>
      <c r="I416" s="5" t="s">
        <v>51</v>
      </c>
      <c r="J416" s="5" t="s">
        <v>31</v>
      </c>
      <c r="K416" s="5" t="s">
        <v>31</v>
      </c>
      <c r="L416" s="5" t="s">
        <v>1175</v>
      </c>
      <c r="M416" s="5" t="s">
        <v>31</v>
      </c>
      <c r="N416" s="5" t="s">
        <v>31</v>
      </c>
      <c r="O416" s="5" t="s">
        <v>32</v>
      </c>
      <c r="P416" s="5" t="s">
        <v>33</v>
      </c>
      <c r="Q416" s="2">
        <v>45967</v>
      </c>
      <c r="V416" s="45">
        <f>IF(OR(ISNUMBER(SEARCH("unable to locate acct",G416)),ISNUMBER(SEARCH("unknown",G416)),ISNUMBER(SEARCH("inactive",G416)),H416=""),0,1)</f>
        <v>1</v>
      </c>
    </row>
    <row r="417" spans="1:22" hidden="1">
      <c r="A417" s="2">
        <v>45903</v>
      </c>
      <c r="B417" s="1" t="s">
        <v>1176</v>
      </c>
      <c r="C417" s="1" t="s">
        <v>219</v>
      </c>
      <c r="D417" s="1" t="s">
        <v>163</v>
      </c>
      <c r="E417" s="1">
        <v>85395</v>
      </c>
      <c r="F417" s="1" t="s">
        <v>1177</v>
      </c>
      <c r="G417" s="1" t="s">
        <v>497</v>
      </c>
      <c r="H417" s="21" t="s">
        <v>5604</v>
      </c>
      <c r="I417" s="5" t="s">
        <v>67</v>
      </c>
      <c r="J417" s="5" t="s">
        <v>31</v>
      </c>
      <c r="K417" s="5" t="s">
        <v>31</v>
      </c>
      <c r="L417" s="5" t="s">
        <v>32</v>
      </c>
      <c r="M417" s="5" t="s">
        <v>31</v>
      </c>
      <c r="N417" s="5" t="s">
        <v>31</v>
      </c>
      <c r="O417" s="5" t="s">
        <v>32</v>
      </c>
      <c r="P417" s="5" t="s">
        <v>33</v>
      </c>
      <c r="Q417" s="2">
        <v>45967</v>
      </c>
      <c r="V417" s="45">
        <f>IF(OR(ISNUMBER(SEARCH("unable to locate acct",G417)),ISNUMBER(SEARCH("unknown",G417)),ISNUMBER(SEARCH("inactive",G417)),H417=""),0,1)</f>
        <v>1</v>
      </c>
    </row>
    <row r="418" spans="1:22" hidden="1">
      <c r="A418" s="2">
        <v>45903</v>
      </c>
      <c r="B418" s="1" t="s">
        <v>1178</v>
      </c>
      <c r="C418" s="1" t="s">
        <v>539</v>
      </c>
      <c r="D418" s="1" t="s">
        <v>106</v>
      </c>
      <c r="E418" s="1">
        <v>85388</v>
      </c>
      <c r="F418" s="1" t="s">
        <v>304</v>
      </c>
      <c r="G418" s="1" t="s">
        <v>497</v>
      </c>
      <c r="H418" s="21" t="s">
        <v>5605</v>
      </c>
      <c r="I418" s="5" t="s">
        <v>40</v>
      </c>
      <c r="J418" s="5" t="s">
        <v>31</v>
      </c>
      <c r="K418" s="5" t="s">
        <v>31</v>
      </c>
      <c r="L418" s="5" t="s">
        <v>32</v>
      </c>
      <c r="M418" s="5" t="s">
        <v>31</v>
      </c>
      <c r="N418" s="5" t="s">
        <v>31</v>
      </c>
      <c r="O418" s="5" t="s">
        <v>32</v>
      </c>
      <c r="P418" s="5" t="s">
        <v>33</v>
      </c>
      <c r="Q418" s="2">
        <v>45967</v>
      </c>
      <c r="R418" s="1" t="s">
        <v>1179</v>
      </c>
      <c r="V418" s="45">
        <f>IF(OR(ISNUMBER(SEARCH("unable to locate acct",G418)),ISNUMBER(SEARCH("unknown",G418)),ISNUMBER(SEARCH("inactive",G418)),H418=""),0,1)</f>
        <v>1</v>
      </c>
    </row>
    <row r="419" spans="1:22" hidden="1">
      <c r="A419" s="2">
        <v>45903</v>
      </c>
      <c r="B419" s="1" t="s">
        <v>1180</v>
      </c>
      <c r="C419" s="1" t="s">
        <v>1181</v>
      </c>
      <c r="D419" s="1" t="s">
        <v>106</v>
      </c>
      <c r="E419" s="1">
        <v>85387</v>
      </c>
      <c r="F419" s="1" t="s">
        <v>304</v>
      </c>
      <c r="G419" s="1" t="s">
        <v>497</v>
      </c>
      <c r="H419" s="4" t="s">
        <v>21</v>
      </c>
      <c r="V419" s="45">
        <f>IF(OR(ISNUMBER(SEARCH("unable to locate acct",G419)),ISNUMBER(SEARCH("unknown",G419)),ISNUMBER(SEARCH("inactive",G419)),H419=""),0,1)</f>
        <v>1</v>
      </c>
    </row>
    <row r="420" spans="1:22" hidden="1">
      <c r="A420" s="2">
        <v>45903</v>
      </c>
      <c r="B420" s="1" t="s">
        <v>1182</v>
      </c>
      <c r="C420" s="1" t="s">
        <v>1183</v>
      </c>
      <c r="D420" s="1" t="s">
        <v>57</v>
      </c>
      <c r="E420" s="1">
        <v>85013</v>
      </c>
      <c r="F420" s="1" t="s">
        <v>1184</v>
      </c>
      <c r="G420" s="1" t="s">
        <v>497</v>
      </c>
      <c r="H420" s="21" t="s">
        <v>5606</v>
      </c>
      <c r="I420" s="5" t="s">
        <v>532</v>
      </c>
      <c r="J420" s="5" t="s">
        <v>32</v>
      </c>
      <c r="K420" s="5" t="s">
        <v>31</v>
      </c>
      <c r="L420" s="5" t="s">
        <v>381</v>
      </c>
      <c r="M420" s="5" t="s">
        <v>31</v>
      </c>
      <c r="N420" s="5" t="s">
        <v>31</v>
      </c>
      <c r="O420" s="5" t="s">
        <v>32</v>
      </c>
      <c r="P420" s="5" t="s">
        <v>33</v>
      </c>
      <c r="Q420" s="2">
        <v>45967</v>
      </c>
      <c r="V420" s="45">
        <f>IF(OR(ISNUMBER(SEARCH("unable to locate acct",G420)),ISNUMBER(SEARCH("unknown",G420)),ISNUMBER(SEARCH("inactive",G420)),H420=""),0,1)</f>
        <v>1</v>
      </c>
    </row>
    <row r="421" spans="1:22" hidden="1">
      <c r="A421" s="2">
        <v>45903</v>
      </c>
      <c r="B421" s="1" t="s">
        <v>1185</v>
      </c>
      <c r="C421" s="1" t="s">
        <v>1186</v>
      </c>
      <c r="D421" s="1" t="s">
        <v>847</v>
      </c>
      <c r="E421" s="1">
        <v>85086</v>
      </c>
      <c r="F421" s="1" t="s">
        <v>25</v>
      </c>
      <c r="G421" s="1" t="s">
        <v>497</v>
      </c>
      <c r="H421" s="21" t="s">
        <v>5607</v>
      </c>
      <c r="I421" s="5" t="s">
        <v>532</v>
      </c>
      <c r="J421" s="5" t="s">
        <v>31</v>
      </c>
      <c r="K421" s="5" t="s">
        <v>31</v>
      </c>
      <c r="L421" s="5" t="s">
        <v>381</v>
      </c>
      <c r="M421" s="5" t="s">
        <v>31</v>
      </c>
      <c r="N421" s="5" t="s">
        <v>31</v>
      </c>
      <c r="O421" s="5" t="s">
        <v>32</v>
      </c>
      <c r="P421" s="5" t="s">
        <v>33</v>
      </c>
      <c r="Q421" s="2">
        <v>45967</v>
      </c>
      <c r="V421" s="45">
        <f>IF(OR(ISNUMBER(SEARCH("unable to locate acct",G421)),ISNUMBER(SEARCH("unknown",G421)),ISNUMBER(SEARCH("inactive",G421)),H421=""),0,1)</f>
        <v>1</v>
      </c>
    </row>
    <row r="422" spans="1:22" hidden="1">
      <c r="A422" s="2">
        <v>45903</v>
      </c>
      <c r="B422" s="1" t="s">
        <v>923</v>
      </c>
      <c r="C422" s="1" t="s">
        <v>257</v>
      </c>
      <c r="D422" s="1" t="s">
        <v>163</v>
      </c>
      <c r="E422" s="1">
        <v>85395</v>
      </c>
      <c r="F422" s="1" t="s">
        <v>924</v>
      </c>
      <c r="G422" s="1" t="s">
        <v>1187</v>
      </c>
      <c r="H422" s="4" t="s">
        <v>1188</v>
      </c>
      <c r="I422" s="5" t="s">
        <v>40</v>
      </c>
      <c r="J422" s="5" t="s">
        <v>31</v>
      </c>
      <c r="K422" s="5" t="s">
        <v>31</v>
      </c>
      <c r="L422" s="5" t="s">
        <v>32</v>
      </c>
      <c r="M422" s="5" t="s">
        <v>31</v>
      </c>
      <c r="N422" s="5" t="s">
        <v>31</v>
      </c>
      <c r="O422" s="5" t="s">
        <v>32</v>
      </c>
      <c r="P422" s="5" t="s">
        <v>33</v>
      </c>
      <c r="Q422" s="2">
        <v>45967</v>
      </c>
      <c r="V422" s="45">
        <f>IF(OR(ISNUMBER(SEARCH("unable to locate acct",G422)),ISNUMBER(SEARCH("unknown",G422)),ISNUMBER(SEARCH("inactive",G422)),H422=""),0,1)</f>
        <v>1</v>
      </c>
    </row>
    <row r="423" spans="1:22" hidden="1">
      <c r="A423" s="2">
        <v>45903</v>
      </c>
      <c r="B423" s="1" t="s">
        <v>1189</v>
      </c>
      <c r="C423" s="1" t="s">
        <v>1190</v>
      </c>
      <c r="D423" s="1" t="s">
        <v>57</v>
      </c>
      <c r="E423" s="1">
        <v>86032</v>
      </c>
      <c r="F423" s="1" t="s">
        <v>25</v>
      </c>
      <c r="G423" s="1" t="s">
        <v>1187</v>
      </c>
      <c r="H423" s="4" t="s">
        <v>21</v>
      </c>
      <c r="V423" s="45">
        <f>IF(OR(ISNUMBER(SEARCH("unable to locate acct",G423)),ISNUMBER(SEARCH("unknown",G423)),ISNUMBER(SEARCH("inactive",G423)),H423=""),0,1)</f>
        <v>1</v>
      </c>
    </row>
    <row r="424" spans="1:22" hidden="1">
      <c r="A424" s="2">
        <v>45903</v>
      </c>
      <c r="B424" s="1" t="s">
        <v>1191</v>
      </c>
      <c r="C424" s="1" t="s">
        <v>1192</v>
      </c>
      <c r="D424" s="1" t="s">
        <v>514</v>
      </c>
      <c r="E424" s="1">
        <v>85392</v>
      </c>
      <c r="F424" s="1" t="s">
        <v>1193</v>
      </c>
      <c r="G424" s="1" t="s">
        <v>1187</v>
      </c>
      <c r="H424" s="4" t="s">
        <v>1194</v>
      </c>
      <c r="I424" s="5" t="s">
        <v>410</v>
      </c>
      <c r="J424" s="5" t="s">
        <v>31</v>
      </c>
      <c r="K424" s="5" t="s">
        <v>31</v>
      </c>
      <c r="L424" s="5" t="s">
        <v>381</v>
      </c>
      <c r="M424" s="5" t="s">
        <v>31</v>
      </c>
      <c r="N424" s="5" t="s">
        <v>31</v>
      </c>
      <c r="O424" s="5" t="s">
        <v>32</v>
      </c>
      <c r="P424" s="5" t="s">
        <v>33</v>
      </c>
      <c r="Q424" s="2">
        <v>45967</v>
      </c>
      <c r="V424" s="45">
        <f>IF(OR(ISNUMBER(SEARCH("unable to locate acct",G424)),ISNUMBER(SEARCH("unknown",G424)),ISNUMBER(SEARCH("inactive",G424)),H424=""),0,1)</f>
        <v>1</v>
      </c>
    </row>
    <row r="425" spans="1:22" hidden="1">
      <c r="A425" s="2">
        <v>45903</v>
      </c>
      <c r="B425" s="1" t="s">
        <v>1195</v>
      </c>
      <c r="C425" s="1" t="s">
        <v>352</v>
      </c>
      <c r="D425" s="1" t="s">
        <v>106</v>
      </c>
      <c r="E425" s="1">
        <v>85379</v>
      </c>
      <c r="F425" s="1" t="s">
        <v>25</v>
      </c>
      <c r="G425" s="1" t="s">
        <v>1187</v>
      </c>
      <c r="H425" s="4" t="s">
        <v>1196</v>
      </c>
      <c r="I425" s="5" t="s">
        <v>532</v>
      </c>
      <c r="J425" s="5" t="s">
        <v>31</v>
      </c>
      <c r="K425" s="5" t="s">
        <v>31</v>
      </c>
      <c r="L425" s="5" t="s">
        <v>381</v>
      </c>
      <c r="M425" s="5" t="s">
        <v>32</v>
      </c>
      <c r="N425" s="15">
        <v>1773.15</v>
      </c>
      <c r="O425" s="5" t="s">
        <v>32</v>
      </c>
      <c r="P425" s="7"/>
      <c r="Q425" s="2">
        <v>45967</v>
      </c>
      <c r="R425" s="1" t="s">
        <v>486</v>
      </c>
      <c r="V425" s="45">
        <f>IF(OR(ISNUMBER(SEARCH("unable to locate acct",G425)),ISNUMBER(SEARCH("unknown",G425)),ISNUMBER(SEARCH("inactive",G425)),H425=""),0,1)</f>
        <v>1</v>
      </c>
    </row>
    <row r="426" spans="1:22" hidden="1">
      <c r="A426" s="2">
        <v>45903</v>
      </c>
      <c r="B426" s="1" t="s">
        <v>1197</v>
      </c>
      <c r="C426" s="1" t="s">
        <v>768</v>
      </c>
      <c r="D426" s="1" t="s">
        <v>163</v>
      </c>
      <c r="E426" s="1">
        <v>85338</v>
      </c>
      <c r="F426" s="1" t="s">
        <v>25</v>
      </c>
      <c r="G426" s="1" t="s">
        <v>1187</v>
      </c>
      <c r="H426" s="4" t="s">
        <v>1198</v>
      </c>
      <c r="I426" s="5" t="s">
        <v>532</v>
      </c>
      <c r="J426" s="5" t="s">
        <v>32</v>
      </c>
      <c r="K426" s="5" t="s">
        <v>31</v>
      </c>
      <c r="L426" s="5" t="s">
        <v>381</v>
      </c>
      <c r="M426" s="5" t="s">
        <v>32</v>
      </c>
      <c r="N426" s="15">
        <v>3130.07</v>
      </c>
      <c r="O426" s="5" t="s">
        <v>32</v>
      </c>
      <c r="P426" s="7"/>
      <c r="Q426" s="2">
        <v>45967</v>
      </c>
      <c r="R426" s="1" t="s">
        <v>486</v>
      </c>
      <c r="V426" s="45">
        <f>IF(OR(ISNUMBER(SEARCH("unable to locate acct",G426)),ISNUMBER(SEARCH("unknown",G426)),ISNUMBER(SEARCH("inactive",G426)),H426=""),0,1)</f>
        <v>1</v>
      </c>
    </row>
    <row r="427" spans="1:22" hidden="1">
      <c r="A427" s="2">
        <v>45903</v>
      </c>
      <c r="B427" s="1" t="s">
        <v>1199</v>
      </c>
      <c r="C427" s="1" t="s">
        <v>1200</v>
      </c>
      <c r="D427" s="1" t="s">
        <v>18</v>
      </c>
      <c r="E427" s="1">
        <v>85310</v>
      </c>
      <c r="F427" s="1" t="s">
        <v>25</v>
      </c>
      <c r="G427" s="1" t="s">
        <v>1187</v>
      </c>
      <c r="H427" s="4" t="s">
        <v>1201</v>
      </c>
      <c r="I427" s="5" t="s">
        <v>30</v>
      </c>
      <c r="J427" s="5" t="s">
        <v>32</v>
      </c>
      <c r="K427" s="5" t="s">
        <v>31</v>
      </c>
      <c r="L427" s="5" t="s">
        <v>32</v>
      </c>
      <c r="M427" s="5" t="s">
        <v>31</v>
      </c>
      <c r="N427" s="5" t="s">
        <v>31</v>
      </c>
      <c r="O427" s="5" t="s">
        <v>32</v>
      </c>
      <c r="P427" s="5" t="s">
        <v>33</v>
      </c>
      <c r="Q427" s="2">
        <v>45967</v>
      </c>
      <c r="V427" s="45">
        <f>IF(OR(ISNUMBER(SEARCH("unable to locate acct",G427)),ISNUMBER(SEARCH("unknown",G427)),ISNUMBER(SEARCH("inactive",G427)),H427=""),0,1)</f>
        <v>1</v>
      </c>
    </row>
    <row r="428" spans="1:22" hidden="1">
      <c r="A428" s="2">
        <v>45903</v>
      </c>
      <c r="B428" s="1" t="s">
        <v>1202</v>
      </c>
      <c r="C428" s="1" t="s">
        <v>1203</v>
      </c>
      <c r="D428" s="1" t="s">
        <v>57</v>
      </c>
      <c r="E428" s="1">
        <v>85053</v>
      </c>
      <c r="F428" s="1" t="s">
        <v>1204</v>
      </c>
      <c r="G428" s="1" t="s">
        <v>1187</v>
      </c>
      <c r="H428" s="4" t="s">
        <v>1205</v>
      </c>
      <c r="I428" s="5" t="s">
        <v>30</v>
      </c>
      <c r="J428" s="5" t="s">
        <v>31</v>
      </c>
      <c r="K428" s="5" t="s">
        <v>31</v>
      </c>
      <c r="L428" s="5" t="s">
        <v>32</v>
      </c>
      <c r="M428" s="5" t="s">
        <v>31</v>
      </c>
      <c r="N428" s="5" t="s">
        <v>31</v>
      </c>
      <c r="O428" s="5" t="s">
        <v>32</v>
      </c>
      <c r="P428" s="5" t="s">
        <v>33</v>
      </c>
      <c r="Q428" s="2">
        <v>45967</v>
      </c>
      <c r="V428" s="45">
        <f>IF(OR(ISNUMBER(SEARCH("unable to locate acct",G428)),ISNUMBER(SEARCH("unknown",G428)),ISNUMBER(SEARCH("inactive",G428)),H428=""),0,1)</f>
        <v>1</v>
      </c>
    </row>
    <row r="429" spans="1:22" hidden="1">
      <c r="A429" s="2">
        <v>45903</v>
      </c>
      <c r="B429" s="1" t="s">
        <v>1206</v>
      </c>
      <c r="C429" s="1" t="s">
        <v>1087</v>
      </c>
      <c r="D429" s="1" t="s">
        <v>83</v>
      </c>
      <c r="E429" s="1">
        <v>86336</v>
      </c>
      <c r="F429" s="1" t="s">
        <v>25</v>
      </c>
      <c r="G429" s="1" t="s">
        <v>1187</v>
      </c>
      <c r="H429" s="4" t="s">
        <v>1207</v>
      </c>
      <c r="I429" s="5" t="s">
        <v>67</v>
      </c>
      <c r="J429" s="5" t="s">
        <v>31</v>
      </c>
      <c r="K429" s="5" t="s">
        <v>31</v>
      </c>
      <c r="L429" s="5" t="s">
        <v>32</v>
      </c>
      <c r="M429" s="5" t="s">
        <v>31</v>
      </c>
      <c r="N429" s="5" t="s">
        <v>31</v>
      </c>
      <c r="O429" s="5" t="s">
        <v>32</v>
      </c>
      <c r="P429" s="5" t="s">
        <v>33</v>
      </c>
      <c r="Q429" s="2">
        <v>45967</v>
      </c>
      <c r="V429" s="45">
        <f>IF(OR(ISNUMBER(SEARCH("unable to locate acct",G429)),ISNUMBER(SEARCH("unknown",G429)),ISNUMBER(SEARCH("inactive",G429)),H429=""),0,1)</f>
        <v>1</v>
      </c>
    </row>
    <row r="430" spans="1:22" hidden="1">
      <c r="A430" s="2">
        <v>45903</v>
      </c>
      <c r="B430" s="1" t="s">
        <v>1208</v>
      </c>
      <c r="C430" s="1" t="s">
        <v>1209</v>
      </c>
      <c r="D430" s="1" t="s">
        <v>234</v>
      </c>
      <c r="E430" s="1">
        <v>85340</v>
      </c>
      <c r="F430" s="1" t="s">
        <v>25</v>
      </c>
      <c r="G430" s="1" t="s">
        <v>1187</v>
      </c>
      <c r="H430" s="4" t="s">
        <v>21</v>
      </c>
      <c r="V430" s="45">
        <f>IF(OR(ISNUMBER(SEARCH("unable to locate acct",G430)),ISNUMBER(SEARCH("unknown",G430)),ISNUMBER(SEARCH("inactive",G430)),H430=""),0,1)</f>
        <v>1</v>
      </c>
    </row>
    <row r="431" spans="1:22" hidden="1">
      <c r="A431" s="2">
        <v>45903</v>
      </c>
      <c r="B431" s="1" t="s">
        <v>1210</v>
      </c>
      <c r="C431" s="1" t="s">
        <v>384</v>
      </c>
      <c r="D431" s="1" t="s">
        <v>119</v>
      </c>
      <c r="E431" s="1">
        <v>85255</v>
      </c>
      <c r="F431" s="1" t="s">
        <v>25</v>
      </c>
      <c r="G431" s="1" t="s">
        <v>1187</v>
      </c>
      <c r="H431" s="4" t="s">
        <v>1211</v>
      </c>
      <c r="I431" s="5" t="s">
        <v>410</v>
      </c>
      <c r="J431" s="5" t="s">
        <v>31</v>
      </c>
      <c r="K431" s="5" t="s">
        <v>31</v>
      </c>
      <c r="L431" s="5" t="s">
        <v>381</v>
      </c>
      <c r="M431" s="5" t="s">
        <v>31</v>
      </c>
      <c r="N431" s="5" t="s">
        <v>31</v>
      </c>
      <c r="O431" s="5" t="s">
        <v>32</v>
      </c>
      <c r="P431" s="5" t="s">
        <v>33</v>
      </c>
      <c r="Q431" s="2">
        <v>45967</v>
      </c>
      <c r="V431" s="45">
        <f>IF(OR(ISNUMBER(SEARCH("unable to locate acct",G431)),ISNUMBER(SEARCH("unknown",G431)),ISNUMBER(SEARCH("inactive",G431)),H431=""),0,1)</f>
        <v>1</v>
      </c>
    </row>
    <row r="432" spans="1:22" hidden="1">
      <c r="A432" s="2">
        <v>45903</v>
      </c>
      <c r="B432" s="1" t="s">
        <v>549</v>
      </c>
      <c r="C432" s="1" t="s">
        <v>1212</v>
      </c>
      <c r="D432" s="1" t="s">
        <v>514</v>
      </c>
      <c r="E432" s="1">
        <v>85392</v>
      </c>
      <c r="F432" s="1" t="s">
        <v>25</v>
      </c>
      <c r="G432" s="1" t="s">
        <v>1187</v>
      </c>
      <c r="H432" s="4" t="s">
        <v>1213</v>
      </c>
      <c r="I432" s="5" t="s">
        <v>30</v>
      </c>
      <c r="J432" s="5" t="s">
        <v>31</v>
      </c>
      <c r="K432" s="5" t="s">
        <v>31</v>
      </c>
      <c r="L432" s="5" t="s">
        <v>32</v>
      </c>
      <c r="M432" s="5" t="s">
        <v>32</v>
      </c>
      <c r="N432" s="15">
        <v>870.88</v>
      </c>
      <c r="O432" s="5" t="s">
        <v>32</v>
      </c>
      <c r="P432" s="7"/>
      <c r="Q432" s="2">
        <v>45967</v>
      </c>
      <c r="R432" s="1" t="s">
        <v>486</v>
      </c>
      <c r="V432" s="45">
        <f>IF(OR(ISNUMBER(SEARCH("unable to locate acct",G432)),ISNUMBER(SEARCH("unknown",G432)),ISNUMBER(SEARCH("inactive",G432)),H432=""),0,1)</f>
        <v>1</v>
      </c>
    </row>
    <row r="433" spans="1:22" hidden="1">
      <c r="A433" s="2">
        <v>45903</v>
      </c>
      <c r="B433" s="1" t="s">
        <v>1214</v>
      </c>
      <c r="C433" s="1" t="s">
        <v>178</v>
      </c>
      <c r="D433" s="1" t="s">
        <v>119</v>
      </c>
      <c r="E433" s="1">
        <v>85259</v>
      </c>
      <c r="F433" s="1" t="s">
        <v>25</v>
      </c>
      <c r="G433" s="1" t="s">
        <v>1187</v>
      </c>
      <c r="H433" s="4" t="s">
        <v>203</v>
      </c>
      <c r="V433" s="45">
        <f>IF(OR(ISNUMBER(SEARCH("unable to locate acct",G433)),ISNUMBER(SEARCH("unknown",G433)),ISNUMBER(SEARCH("inactive",G433)),H433=""),0,1)</f>
        <v>1</v>
      </c>
    </row>
    <row r="434" spans="1:22" hidden="1">
      <c r="A434" s="2">
        <v>45903</v>
      </c>
      <c r="B434" s="1" t="s">
        <v>1215</v>
      </c>
      <c r="C434" s="1" t="s">
        <v>193</v>
      </c>
      <c r="D434" s="1" t="s">
        <v>163</v>
      </c>
      <c r="E434" s="1">
        <v>85395</v>
      </c>
      <c r="F434" s="1" t="s">
        <v>25</v>
      </c>
      <c r="G434" s="1" t="s">
        <v>1187</v>
      </c>
      <c r="H434" s="4" t="s">
        <v>1216</v>
      </c>
      <c r="I434" s="5" t="s">
        <v>410</v>
      </c>
      <c r="J434" s="5" t="s">
        <v>31</v>
      </c>
      <c r="K434" s="5" t="s">
        <v>31</v>
      </c>
      <c r="L434" s="5" t="s">
        <v>381</v>
      </c>
      <c r="M434" s="5" t="s">
        <v>31</v>
      </c>
      <c r="N434" s="5" t="s">
        <v>31</v>
      </c>
      <c r="O434" s="5" t="s">
        <v>32</v>
      </c>
      <c r="P434" s="5" t="s">
        <v>33</v>
      </c>
      <c r="Q434" s="2">
        <v>45967</v>
      </c>
      <c r="V434" s="45">
        <f>IF(OR(ISNUMBER(SEARCH("unable to locate acct",G434)),ISNUMBER(SEARCH("unknown",G434)),ISNUMBER(SEARCH("inactive",G434)),H434=""),0,1)</f>
        <v>1</v>
      </c>
    </row>
    <row r="435" spans="1:22" hidden="1">
      <c r="A435" s="2">
        <v>45903</v>
      </c>
      <c r="B435" s="1" t="s">
        <v>1217</v>
      </c>
      <c r="C435" s="1" t="s">
        <v>969</v>
      </c>
      <c r="D435" s="1" t="s">
        <v>119</v>
      </c>
      <c r="E435" s="1">
        <v>85254</v>
      </c>
      <c r="F435" s="1" t="s">
        <v>25</v>
      </c>
      <c r="G435" s="1" t="s">
        <v>1187</v>
      </c>
      <c r="H435" s="4" t="s">
        <v>1218</v>
      </c>
      <c r="I435" s="5" t="s">
        <v>30</v>
      </c>
      <c r="J435" s="5" t="s">
        <v>31</v>
      </c>
      <c r="K435" s="5" t="s">
        <v>31</v>
      </c>
      <c r="L435" s="5" t="s">
        <v>32</v>
      </c>
      <c r="M435" s="5" t="s">
        <v>31</v>
      </c>
      <c r="N435" s="5" t="s">
        <v>31</v>
      </c>
      <c r="O435" s="5" t="s">
        <v>32</v>
      </c>
      <c r="P435" s="5" t="s">
        <v>33</v>
      </c>
      <c r="Q435" s="2">
        <v>45967</v>
      </c>
      <c r="V435" s="45">
        <f>IF(OR(ISNUMBER(SEARCH("unable to locate acct",G435)),ISNUMBER(SEARCH("unknown",G435)),ISNUMBER(SEARCH("inactive",G435)),H435=""),0,1)</f>
        <v>1</v>
      </c>
    </row>
    <row r="436" spans="1:22" hidden="1">
      <c r="A436" s="2">
        <v>45903</v>
      </c>
      <c r="B436" s="1" t="s">
        <v>1219</v>
      </c>
      <c r="C436" s="1" t="s">
        <v>1220</v>
      </c>
      <c r="D436" s="1" t="s">
        <v>57</v>
      </c>
      <c r="E436" s="1">
        <v>85032</v>
      </c>
      <c r="F436" s="1" t="s">
        <v>304</v>
      </c>
      <c r="G436" s="1" t="s">
        <v>1187</v>
      </c>
      <c r="H436" s="4" t="s">
        <v>1221</v>
      </c>
      <c r="I436" s="5" t="s">
        <v>67</v>
      </c>
      <c r="J436" s="5" t="s">
        <v>31</v>
      </c>
      <c r="K436" s="5" t="s">
        <v>31</v>
      </c>
      <c r="L436" s="5" t="s">
        <v>32</v>
      </c>
      <c r="M436" s="5" t="s">
        <v>31</v>
      </c>
      <c r="N436" s="5" t="s">
        <v>31</v>
      </c>
      <c r="O436" s="5" t="s">
        <v>32</v>
      </c>
      <c r="P436" s="5" t="s">
        <v>33</v>
      </c>
      <c r="Q436" s="2">
        <v>45967</v>
      </c>
      <c r="V436" s="45">
        <f>IF(OR(ISNUMBER(SEARCH("unable to locate acct",G436)),ISNUMBER(SEARCH("unknown",G436)),ISNUMBER(SEARCH("inactive",G436)),H436=""),0,1)</f>
        <v>1</v>
      </c>
    </row>
    <row r="437" spans="1:22" hidden="1">
      <c r="A437" s="2">
        <v>45903</v>
      </c>
      <c r="B437" s="1" t="s">
        <v>1222</v>
      </c>
      <c r="C437" s="1" t="s">
        <v>804</v>
      </c>
      <c r="D437" s="1" t="s">
        <v>163</v>
      </c>
      <c r="E437" s="1">
        <v>85395</v>
      </c>
      <c r="F437" s="1" t="s">
        <v>25</v>
      </c>
      <c r="G437" s="1" t="s">
        <v>1187</v>
      </c>
      <c r="H437" s="4" t="s">
        <v>1223</v>
      </c>
      <c r="I437" s="5" t="s">
        <v>532</v>
      </c>
      <c r="J437" s="5" t="s">
        <v>31</v>
      </c>
      <c r="K437" s="5" t="s">
        <v>31</v>
      </c>
      <c r="L437" s="5" t="s">
        <v>381</v>
      </c>
      <c r="M437" s="5" t="s">
        <v>31</v>
      </c>
      <c r="N437" s="5" t="s">
        <v>31</v>
      </c>
      <c r="O437" s="5" t="s">
        <v>32</v>
      </c>
      <c r="P437" s="5" t="s">
        <v>33</v>
      </c>
      <c r="Q437" s="2">
        <v>45967</v>
      </c>
      <c r="V437" s="45">
        <f>IF(OR(ISNUMBER(SEARCH("unable to locate acct",G437)),ISNUMBER(SEARCH("unknown",G437)),ISNUMBER(SEARCH("inactive",G437)),H437=""),0,1)</f>
        <v>1</v>
      </c>
    </row>
    <row r="438" spans="1:22" hidden="1">
      <c r="A438" s="2">
        <v>45903</v>
      </c>
      <c r="B438" s="1" t="s">
        <v>1224</v>
      </c>
      <c r="C438" s="1" t="s">
        <v>588</v>
      </c>
      <c r="D438" s="1" t="s">
        <v>163</v>
      </c>
      <c r="E438" s="1">
        <v>85395</v>
      </c>
      <c r="F438" s="1" t="s">
        <v>1225</v>
      </c>
      <c r="G438" s="1" t="s">
        <v>1187</v>
      </c>
      <c r="H438" s="4" t="s">
        <v>1226</v>
      </c>
      <c r="I438" s="5" t="s">
        <v>30</v>
      </c>
      <c r="J438" s="5" t="s">
        <v>31</v>
      </c>
      <c r="K438" s="5" t="s">
        <v>31</v>
      </c>
      <c r="L438" s="5" t="s">
        <v>32</v>
      </c>
      <c r="M438" s="5" t="s">
        <v>31</v>
      </c>
      <c r="N438" s="5" t="s">
        <v>31</v>
      </c>
      <c r="O438" s="5" t="s">
        <v>32</v>
      </c>
      <c r="P438" s="5" t="s">
        <v>33</v>
      </c>
      <c r="Q438" s="2">
        <v>45967</v>
      </c>
      <c r="V438" s="45">
        <f>IF(OR(ISNUMBER(SEARCH("unable to locate acct",G438)),ISNUMBER(SEARCH("unknown",G438)),ISNUMBER(SEARCH("inactive",G438)),H438=""),0,1)</f>
        <v>1</v>
      </c>
    </row>
    <row r="439" spans="1:22" hidden="1">
      <c r="A439" s="2">
        <v>45903</v>
      </c>
      <c r="B439" s="1" t="s">
        <v>1227</v>
      </c>
      <c r="C439" s="1" t="s">
        <v>1228</v>
      </c>
      <c r="D439" s="1" t="s">
        <v>119</v>
      </c>
      <c r="E439" s="1">
        <v>85259</v>
      </c>
      <c r="F439" s="1" t="s">
        <v>304</v>
      </c>
      <c r="G439" s="1" t="s">
        <v>1187</v>
      </c>
      <c r="H439" s="4" t="s">
        <v>21</v>
      </c>
      <c r="V439" s="45">
        <f>IF(OR(ISNUMBER(SEARCH("unable to locate acct",G439)),ISNUMBER(SEARCH("unknown",G439)),ISNUMBER(SEARCH("inactive",G439)),H439=""),0,1)</f>
        <v>1</v>
      </c>
    </row>
    <row r="440" spans="1:22" hidden="1">
      <c r="A440" s="2">
        <v>45903</v>
      </c>
      <c r="B440" s="1" t="s">
        <v>1229</v>
      </c>
      <c r="C440" s="1" t="s">
        <v>1230</v>
      </c>
      <c r="D440" s="1" t="s">
        <v>610</v>
      </c>
      <c r="E440" s="1">
        <v>85365</v>
      </c>
      <c r="F440" s="1" t="s">
        <v>25</v>
      </c>
      <c r="G440" s="1" t="s">
        <v>1187</v>
      </c>
      <c r="H440" s="4" t="s">
        <v>1231</v>
      </c>
      <c r="I440" s="5" t="s">
        <v>532</v>
      </c>
      <c r="J440" s="5" t="s">
        <v>31</v>
      </c>
      <c r="K440" s="5" t="s">
        <v>31</v>
      </c>
      <c r="L440" s="5" t="s">
        <v>381</v>
      </c>
      <c r="M440" s="5" t="s">
        <v>31</v>
      </c>
      <c r="N440" s="5" t="s">
        <v>31</v>
      </c>
      <c r="O440" s="5" t="s">
        <v>32</v>
      </c>
      <c r="P440" s="5" t="s">
        <v>33</v>
      </c>
      <c r="Q440" s="2">
        <v>45967</v>
      </c>
      <c r="V440" s="45">
        <f>IF(OR(ISNUMBER(SEARCH("unable to locate acct",G440)),ISNUMBER(SEARCH("unknown",G440)),ISNUMBER(SEARCH("inactive",G440)),H440=""),0,1)</f>
        <v>1</v>
      </c>
    </row>
    <row r="441" spans="1:22" hidden="1">
      <c r="A441" s="2">
        <v>45903</v>
      </c>
      <c r="B441" s="1" t="s">
        <v>1232</v>
      </c>
      <c r="C441" s="1" t="s">
        <v>1233</v>
      </c>
      <c r="D441" s="1" t="s">
        <v>18</v>
      </c>
      <c r="E441" s="1">
        <v>85308</v>
      </c>
      <c r="F441" s="1" t="s">
        <v>25</v>
      </c>
      <c r="G441" s="1" t="s">
        <v>1187</v>
      </c>
      <c r="H441" s="4" t="s">
        <v>21</v>
      </c>
      <c r="V441" s="45">
        <f>IF(OR(ISNUMBER(SEARCH("unable to locate acct",G441)),ISNUMBER(SEARCH("unknown",G441)),ISNUMBER(SEARCH("inactive",G441)),H441=""),0,1)</f>
        <v>1</v>
      </c>
    </row>
    <row r="442" spans="1:22" hidden="1">
      <c r="A442" s="2">
        <v>45903</v>
      </c>
      <c r="B442" s="1" t="s">
        <v>1234</v>
      </c>
      <c r="C442" s="1" t="s">
        <v>1235</v>
      </c>
      <c r="D442" s="1" t="s">
        <v>514</v>
      </c>
      <c r="E442" s="1">
        <v>85392</v>
      </c>
      <c r="F442" s="1" t="s">
        <v>25</v>
      </c>
      <c r="G442" s="1" t="s">
        <v>1187</v>
      </c>
      <c r="H442" s="4" t="s">
        <v>21</v>
      </c>
      <c r="V442" s="45">
        <f>IF(OR(ISNUMBER(SEARCH("unable to locate acct",G442)),ISNUMBER(SEARCH("unknown",G442)),ISNUMBER(SEARCH("inactive",G442)),H442=""),0,1)</f>
        <v>1</v>
      </c>
    </row>
    <row r="443" spans="1:22" hidden="1">
      <c r="A443" s="2">
        <v>45903</v>
      </c>
      <c r="B443" s="1" t="s">
        <v>1236</v>
      </c>
      <c r="C443" s="1" t="s">
        <v>129</v>
      </c>
      <c r="D443" s="1" t="s">
        <v>1237</v>
      </c>
      <c r="E443" s="1">
        <v>85353</v>
      </c>
      <c r="F443" s="1" t="s">
        <v>25</v>
      </c>
      <c r="G443" s="1" t="s">
        <v>1187</v>
      </c>
      <c r="H443" s="4" t="s">
        <v>21</v>
      </c>
      <c r="V443" s="45">
        <f>IF(OR(ISNUMBER(SEARCH("unable to locate acct",G443)),ISNUMBER(SEARCH("unknown",G443)),ISNUMBER(SEARCH("inactive",G443)),H443=""),0,1)</f>
        <v>1</v>
      </c>
    </row>
    <row r="444" spans="1:22" hidden="1">
      <c r="A444" s="2">
        <v>45903</v>
      </c>
      <c r="B444" s="1" t="s">
        <v>1238</v>
      </c>
      <c r="C444" s="1" t="s">
        <v>520</v>
      </c>
      <c r="D444" s="1" t="s">
        <v>495</v>
      </c>
      <c r="E444" s="1">
        <v>86001</v>
      </c>
      <c r="F444" s="1" t="s">
        <v>304</v>
      </c>
      <c r="G444" s="1" t="s">
        <v>1187</v>
      </c>
      <c r="H444" s="4" t="s">
        <v>21</v>
      </c>
      <c r="V444" s="45">
        <f>IF(OR(ISNUMBER(SEARCH("unable to locate acct",G444)),ISNUMBER(SEARCH("unknown",G444)),ISNUMBER(SEARCH("inactive",G444)),H444=""),0,1)</f>
        <v>1</v>
      </c>
    </row>
    <row r="445" spans="1:22" hidden="1">
      <c r="A445" s="2">
        <v>45903</v>
      </c>
      <c r="B445" s="1" t="s">
        <v>1239</v>
      </c>
      <c r="C445" s="1" t="s">
        <v>1240</v>
      </c>
      <c r="D445" s="1" t="s">
        <v>119</v>
      </c>
      <c r="E445" s="1">
        <v>85257</v>
      </c>
      <c r="F445" s="1" t="s">
        <v>304</v>
      </c>
      <c r="G445" s="1" t="s">
        <v>1187</v>
      </c>
      <c r="H445" s="4" t="s">
        <v>21</v>
      </c>
      <c r="V445" s="45">
        <f>IF(OR(ISNUMBER(SEARCH("unable to locate acct",G445)),ISNUMBER(SEARCH("unknown",G445)),ISNUMBER(SEARCH("inactive",G445)),H445=""),0,1)</f>
        <v>1</v>
      </c>
    </row>
    <row r="446" spans="1:22" hidden="1">
      <c r="A446" s="2">
        <v>45903</v>
      </c>
      <c r="B446" s="1" t="s">
        <v>1241</v>
      </c>
      <c r="C446" s="1" t="s">
        <v>1242</v>
      </c>
      <c r="D446" s="1" t="s">
        <v>57</v>
      </c>
      <c r="E446" s="1">
        <v>85024</v>
      </c>
      <c r="F446" s="1" t="s">
        <v>25</v>
      </c>
      <c r="G446" s="1" t="s">
        <v>1187</v>
      </c>
      <c r="H446" s="4" t="s">
        <v>1243</v>
      </c>
      <c r="I446" s="5" t="s">
        <v>244</v>
      </c>
      <c r="J446" s="5" t="s">
        <v>31</v>
      </c>
      <c r="K446" s="5" t="s">
        <v>31</v>
      </c>
      <c r="L446" s="7" t="s">
        <v>1244</v>
      </c>
      <c r="M446" s="5" t="s">
        <v>31</v>
      </c>
      <c r="N446" s="5" t="s">
        <v>31</v>
      </c>
      <c r="O446" s="5" t="s">
        <v>32</v>
      </c>
      <c r="P446" s="2">
        <v>45936</v>
      </c>
      <c r="Q446" s="2">
        <v>45967</v>
      </c>
      <c r="R446" s="1" t="s">
        <v>1245</v>
      </c>
      <c r="V446" s="45">
        <f>IF(OR(ISNUMBER(SEARCH("unable to locate acct",G446)),ISNUMBER(SEARCH("unknown",G446)),ISNUMBER(SEARCH("inactive",G446)),H446=""),0,1)</f>
        <v>1</v>
      </c>
    </row>
    <row r="447" spans="1:22" hidden="1">
      <c r="A447" s="2">
        <v>45903</v>
      </c>
      <c r="B447" s="1" t="s">
        <v>1064</v>
      </c>
      <c r="C447" s="1" t="s">
        <v>1246</v>
      </c>
      <c r="D447" s="1" t="s">
        <v>18</v>
      </c>
      <c r="E447" s="1">
        <v>85306</v>
      </c>
      <c r="F447" s="1" t="s">
        <v>304</v>
      </c>
      <c r="G447" s="1" t="s">
        <v>1187</v>
      </c>
      <c r="H447" s="4" t="s">
        <v>1247</v>
      </c>
      <c r="I447" s="5" t="s">
        <v>30</v>
      </c>
      <c r="J447" s="5" t="s">
        <v>31</v>
      </c>
      <c r="K447" s="5" t="s">
        <v>31</v>
      </c>
      <c r="L447" s="5" t="s">
        <v>32</v>
      </c>
      <c r="M447" s="5" t="s">
        <v>31</v>
      </c>
      <c r="N447" s="5" t="s">
        <v>31</v>
      </c>
      <c r="O447" s="5" t="s">
        <v>32</v>
      </c>
      <c r="P447" s="5" t="s">
        <v>33</v>
      </c>
      <c r="Q447" s="2">
        <v>45967</v>
      </c>
      <c r="V447" s="45">
        <f>IF(OR(ISNUMBER(SEARCH("unable to locate acct",G447)),ISNUMBER(SEARCH("unknown",G447)),ISNUMBER(SEARCH("inactive",G447)),H447=""),0,1)</f>
        <v>1</v>
      </c>
    </row>
    <row r="448" spans="1:22" hidden="1">
      <c r="A448" s="2">
        <v>45903</v>
      </c>
      <c r="B448" s="1" t="s">
        <v>1248</v>
      </c>
      <c r="C448" s="1" t="s">
        <v>1249</v>
      </c>
      <c r="D448" s="1" t="s">
        <v>57</v>
      </c>
      <c r="E448" s="1">
        <v>85037</v>
      </c>
      <c r="F448" s="1" t="s">
        <v>304</v>
      </c>
      <c r="G448" s="1" t="s">
        <v>1187</v>
      </c>
      <c r="H448" s="4" t="s">
        <v>84</v>
      </c>
      <c r="V448" s="45">
        <f>IF(OR(ISNUMBER(SEARCH("unable to locate acct",G448)),ISNUMBER(SEARCH("unknown",G448)),ISNUMBER(SEARCH("inactive",G448)),H448=""),0,1)</f>
        <v>1</v>
      </c>
    </row>
    <row r="449" spans="1:22" hidden="1">
      <c r="A449" s="2">
        <v>45903</v>
      </c>
      <c r="B449" s="1" t="s">
        <v>1250</v>
      </c>
      <c r="C449" s="1" t="s">
        <v>1251</v>
      </c>
      <c r="D449" s="1" t="s">
        <v>196</v>
      </c>
      <c r="E449" s="1">
        <v>85382</v>
      </c>
      <c r="F449" s="1" t="s">
        <v>25</v>
      </c>
      <c r="G449" s="1" t="s">
        <v>1187</v>
      </c>
      <c r="H449" s="4" t="s">
        <v>1252</v>
      </c>
      <c r="I449" s="5" t="s">
        <v>962</v>
      </c>
      <c r="J449" s="5" t="s">
        <v>31</v>
      </c>
      <c r="K449" s="5" t="s">
        <v>31</v>
      </c>
      <c r="L449" s="7" t="s">
        <v>1253</v>
      </c>
      <c r="M449" s="5" t="s">
        <v>31</v>
      </c>
      <c r="N449" s="5" t="s">
        <v>31</v>
      </c>
      <c r="O449" s="5" t="s">
        <v>32</v>
      </c>
      <c r="P449" s="7"/>
      <c r="Q449" s="2">
        <v>45967</v>
      </c>
      <c r="V449" s="45">
        <f>IF(OR(ISNUMBER(SEARCH("unable to locate acct",G449)),ISNUMBER(SEARCH("unknown",G449)),ISNUMBER(SEARCH("inactive",G449)),H449=""),0,1)</f>
        <v>1</v>
      </c>
    </row>
    <row r="450" spans="1:22" hidden="1">
      <c r="A450" s="2">
        <v>45903</v>
      </c>
      <c r="B450" s="1" t="s">
        <v>1254</v>
      </c>
      <c r="C450" s="1" t="s">
        <v>1255</v>
      </c>
      <c r="D450" s="1" t="s">
        <v>57</v>
      </c>
      <c r="E450" s="1">
        <v>85085</v>
      </c>
      <c r="F450" s="1" t="s">
        <v>304</v>
      </c>
      <c r="G450" s="1" t="s">
        <v>1187</v>
      </c>
      <c r="H450" s="4" t="s">
        <v>1256</v>
      </c>
      <c r="I450" s="5" t="s">
        <v>532</v>
      </c>
      <c r="J450" s="5" t="s">
        <v>31</v>
      </c>
      <c r="K450" s="5" t="s">
        <v>31</v>
      </c>
      <c r="L450" s="5" t="s">
        <v>381</v>
      </c>
      <c r="M450" s="5" t="s">
        <v>31</v>
      </c>
      <c r="N450" s="5" t="s">
        <v>31</v>
      </c>
      <c r="O450" s="5" t="s">
        <v>32</v>
      </c>
      <c r="P450" s="5" t="s">
        <v>33</v>
      </c>
      <c r="Q450" s="2">
        <v>45967</v>
      </c>
      <c r="V450" s="45">
        <f>IF(OR(ISNUMBER(SEARCH("unable to locate acct",G450)),ISNUMBER(SEARCH("unknown",G450)),ISNUMBER(SEARCH("inactive",G450)),H450=""),0,1)</f>
        <v>1</v>
      </c>
    </row>
    <row r="451" spans="1:22" hidden="1">
      <c r="A451" s="2">
        <v>45903</v>
      </c>
      <c r="B451" s="1" t="s">
        <v>1257</v>
      </c>
      <c r="C451" s="1" t="s">
        <v>1258</v>
      </c>
      <c r="D451" s="1" t="s">
        <v>123</v>
      </c>
      <c r="E451" s="1">
        <v>85298</v>
      </c>
      <c r="F451" s="1" t="s">
        <v>304</v>
      </c>
      <c r="G451" s="1" t="s">
        <v>1187</v>
      </c>
      <c r="H451" s="4" t="s">
        <v>21</v>
      </c>
      <c r="V451" s="45">
        <f>IF(OR(ISNUMBER(SEARCH("unable to locate acct",G451)),ISNUMBER(SEARCH("unknown",G451)),ISNUMBER(SEARCH("inactive",G451)),H451=""),0,1)</f>
        <v>1</v>
      </c>
    </row>
    <row r="452" spans="1:22" hidden="1">
      <c r="A452" s="2">
        <v>45903</v>
      </c>
      <c r="B452" s="1" t="s">
        <v>1259</v>
      </c>
      <c r="C452" s="1" t="s">
        <v>1260</v>
      </c>
      <c r="D452" s="1" t="s">
        <v>57</v>
      </c>
      <c r="E452" s="1">
        <v>85053</v>
      </c>
      <c r="F452" s="1" t="s">
        <v>304</v>
      </c>
      <c r="G452" s="1" t="s">
        <v>1187</v>
      </c>
      <c r="H452" s="4" t="s">
        <v>84</v>
      </c>
      <c r="V452" s="45">
        <f>IF(OR(ISNUMBER(SEARCH("unable to locate acct",G452)),ISNUMBER(SEARCH("unknown",G452)),ISNUMBER(SEARCH("inactive",G452)),H452=""),0,1)</f>
        <v>1</v>
      </c>
    </row>
    <row r="453" spans="1:22" hidden="1">
      <c r="A453" s="2">
        <v>45903</v>
      </c>
      <c r="B453" s="1" t="s">
        <v>1261</v>
      </c>
      <c r="C453" s="1" t="s">
        <v>1262</v>
      </c>
      <c r="D453" s="1" t="s">
        <v>106</v>
      </c>
      <c r="E453" s="1">
        <v>85387</v>
      </c>
      <c r="F453" s="1" t="s">
        <v>304</v>
      </c>
      <c r="G453" s="1" t="s">
        <v>1187</v>
      </c>
      <c r="H453" s="4" t="s">
        <v>1263</v>
      </c>
      <c r="I453" s="5" t="s">
        <v>30</v>
      </c>
      <c r="J453" s="5" t="s">
        <v>31</v>
      </c>
      <c r="K453" s="5" t="s">
        <v>31</v>
      </c>
      <c r="L453" s="5" t="s">
        <v>32</v>
      </c>
      <c r="M453" s="5" t="s">
        <v>31</v>
      </c>
      <c r="N453" s="5" t="s">
        <v>31</v>
      </c>
      <c r="O453" s="5" t="s">
        <v>32</v>
      </c>
      <c r="P453" s="5" t="s">
        <v>33</v>
      </c>
      <c r="Q453" s="2">
        <v>45967</v>
      </c>
      <c r="V453" s="45">
        <f>IF(OR(ISNUMBER(SEARCH("unable to locate acct",G453)),ISNUMBER(SEARCH("unknown",G453)),ISNUMBER(SEARCH("inactive",G453)),H453=""),0,1)</f>
        <v>1</v>
      </c>
    </row>
    <row r="454" spans="1:22" hidden="1">
      <c r="A454" s="2">
        <v>45903</v>
      </c>
      <c r="B454" s="1" t="s">
        <v>885</v>
      </c>
      <c r="C454" s="1" t="s">
        <v>322</v>
      </c>
      <c r="D454" s="1" t="s">
        <v>119</v>
      </c>
      <c r="E454" s="1">
        <v>85251</v>
      </c>
      <c r="F454" s="1" t="s">
        <v>25</v>
      </c>
      <c r="G454" s="1" t="s">
        <v>1187</v>
      </c>
      <c r="H454" s="4" t="s">
        <v>21</v>
      </c>
      <c r="V454" s="45">
        <f>IF(OR(ISNUMBER(SEARCH("unable to locate acct",G454)),ISNUMBER(SEARCH("unknown",G454)),ISNUMBER(SEARCH("inactive",G454)),H454=""),0,1)</f>
        <v>1</v>
      </c>
    </row>
    <row r="455" spans="1:22" hidden="1">
      <c r="A455" s="2">
        <v>45903</v>
      </c>
      <c r="B455" s="1" t="s">
        <v>1264</v>
      </c>
      <c r="C455" s="1" t="s">
        <v>1265</v>
      </c>
      <c r="D455" s="1" t="s">
        <v>196</v>
      </c>
      <c r="E455" s="1">
        <v>85383</v>
      </c>
      <c r="F455" s="1" t="s">
        <v>304</v>
      </c>
      <c r="G455" s="1" t="s">
        <v>1187</v>
      </c>
      <c r="H455" s="4" t="s">
        <v>1266</v>
      </c>
      <c r="I455" s="5" t="s">
        <v>962</v>
      </c>
      <c r="J455" s="5" t="s">
        <v>31</v>
      </c>
      <c r="K455" s="5" t="s">
        <v>31</v>
      </c>
      <c r="L455" s="5" t="s">
        <v>1267</v>
      </c>
      <c r="M455" s="5" t="s">
        <v>31</v>
      </c>
      <c r="N455" s="5" t="s">
        <v>31</v>
      </c>
      <c r="O455" s="5" t="s">
        <v>32</v>
      </c>
      <c r="P455" s="5" t="s">
        <v>33</v>
      </c>
      <c r="Q455" s="2">
        <v>45967</v>
      </c>
      <c r="R455" s="1" t="s">
        <v>1268</v>
      </c>
      <c r="V455" s="45">
        <f>IF(OR(ISNUMBER(SEARCH("unable to locate acct",G455)),ISNUMBER(SEARCH("unknown",G455)),ISNUMBER(SEARCH("inactive",G455)),H455=""),0,1)</f>
        <v>1</v>
      </c>
    </row>
    <row r="456" spans="1:22" hidden="1">
      <c r="A456" s="2">
        <v>45903</v>
      </c>
      <c r="B456" s="1" t="s">
        <v>1269</v>
      </c>
      <c r="C456" s="1" t="s">
        <v>1270</v>
      </c>
      <c r="D456" s="1" t="s">
        <v>196</v>
      </c>
      <c r="E456" s="1">
        <v>85383</v>
      </c>
      <c r="F456" s="1" t="s">
        <v>304</v>
      </c>
      <c r="G456" s="1" t="s">
        <v>1187</v>
      </c>
      <c r="H456" s="4" t="s">
        <v>21</v>
      </c>
      <c r="V456" s="45">
        <f>IF(OR(ISNUMBER(SEARCH("unable to locate acct",G456)),ISNUMBER(SEARCH("unknown",G456)),ISNUMBER(SEARCH("inactive",G456)),H456=""),0,1)</f>
        <v>1</v>
      </c>
    </row>
    <row r="457" spans="1:22" hidden="1">
      <c r="A457" s="2">
        <v>45903</v>
      </c>
      <c r="B457" s="1" t="s">
        <v>1271</v>
      </c>
      <c r="C457" s="1" t="s">
        <v>348</v>
      </c>
      <c r="D457" s="1" t="s">
        <v>57</v>
      </c>
      <c r="E457" s="1">
        <v>85027</v>
      </c>
      <c r="F457" s="1" t="s">
        <v>304</v>
      </c>
      <c r="G457" s="1" t="s">
        <v>1187</v>
      </c>
      <c r="H457" s="4" t="s">
        <v>1272</v>
      </c>
      <c r="I457" s="5" t="s">
        <v>190</v>
      </c>
      <c r="J457" s="5" t="s">
        <v>31</v>
      </c>
      <c r="K457" s="5" t="s">
        <v>31</v>
      </c>
      <c r="L457" s="5" t="s">
        <v>1273</v>
      </c>
      <c r="M457" s="5" t="s">
        <v>31</v>
      </c>
      <c r="N457" s="5" t="s">
        <v>31</v>
      </c>
      <c r="O457" s="5" t="s">
        <v>32</v>
      </c>
      <c r="P457" s="5" t="s">
        <v>33</v>
      </c>
      <c r="Q457" s="2">
        <v>45967</v>
      </c>
      <c r="V457" s="45">
        <f>IF(OR(ISNUMBER(SEARCH("unable to locate acct",G457)),ISNUMBER(SEARCH("unknown",G457)),ISNUMBER(SEARCH("inactive",G457)),H457=""),0,1)</f>
        <v>1</v>
      </c>
    </row>
    <row r="458" spans="1:22" hidden="1">
      <c r="A458" s="2">
        <v>45903</v>
      </c>
      <c r="B458" s="1" t="s">
        <v>1274</v>
      </c>
      <c r="C458" s="1" t="s">
        <v>1275</v>
      </c>
      <c r="D458" s="1" t="s">
        <v>196</v>
      </c>
      <c r="E458" s="1">
        <v>85383</v>
      </c>
      <c r="F458" s="1" t="s">
        <v>25</v>
      </c>
      <c r="G458" s="1" t="s">
        <v>1187</v>
      </c>
      <c r="H458" s="4" t="s">
        <v>203</v>
      </c>
      <c r="V458" s="45">
        <f>IF(OR(ISNUMBER(SEARCH("unable to locate acct",G458)),ISNUMBER(SEARCH("unknown",G458)),ISNUMBER(SEARCH("inactive",G458)),H458=""),0,1)</f>
        <v>1</v>
      </c>
    </row>
    <row r="459" spans="1:22" hidden="1">
      <c r="A459" s="2">
        <v>45903</v>
      </c>
      <c r="B459" s="1" t="s">
        <v>1276</v>
      </c>
      <c r="C459" s="1" t="s">
        <v>1138</v>
      </c>
      <c r="D459" s="1" t="s">
        <v>57</v>
      </c>
      <c r="E459" s="1">
        <v>85086</v>
      </c>
      <c r="F459" s="1" t="s">
        <v>304</v>
      </c>
      <c r="G459" s="1" t="s">
        <v>1187</v>
      </c>
      <c r="H459" s="4" t="s">
        <v>1277</v>
      </c>
      <c r="I459" s="5" t="s">
        <v>40</v>
      </c>
      <c r="J459" s="5" t="s">
        <v>31</v>
      </c>
      <c r="K459" s="5" t="s">
        <v>31</v>
      </c>
      <c r="L459" s="5" t="s">
        <v>1278</v>
      </c>
      <c r="M459" s="5" t="s">
        <v>31</v>
      </c>
      <c r="N459" s="5" t="s">
        <v>31</v>
      </c>
      <c r="O459" s="5" t="s">
        <v>32</v>
      </c>
      <c r="P459" s="5" t="s">
        <v>33</v>
      </c>
      <c r="Q459" s="2">
        <v>45967</v>
      </c>
      <c r="R459" s="1" t="s">
        <v>1279</v>
      </c>
      <c r="V459" s="45">
        <f>IF(OR(ISNUMBER(SEARCH("unable to locate acct",G459)),ISNUMBER(SEARCH("unknown",G459)),ISNUMBER(SEARCH("inactive",G459)),H459=""),0,1)</f>
        <v>1</v>
      </c>
    </row>
    <row r="460" spans="1:22" hidden="1">
      <c r="A460" s="2">
        <v>45903</v>
      </c>
      <c r="B460" s="1" t="s">
        <v>1280</v>
      </c>
      <c r="C460" s="1" t="s">
        <v>1281</v>
      </c>
      <c r="D460" s="1" t="s">
        <v>514</v>
      </c>
      <c r="E460" s="1">
        <v>85392</v>
      </c>
      <c r="F460" s="1" t="s">
        <v>25</v>
      </c>
      <c r="G460" s="1" t="s">
        <v>1187</v>
      </c>
      <c r="H460" s="4" t="s">
        <v>1282</v>
      </c>
      <c r="I460" s="5" t="s">
        <v>410</v>
      </c>
      <c r="J460" s="5" t="s">
        <v>31</v>
      </c>
      <c r="K460" s="5" t="s">
        <v>31</v>
      </c>
      <c r="L460" s="5" t="s">
        <v>381</v>
      </c>
      <c r="M460" s="5" t="s">
        <v>31</v>
      </c>
      <c r="N460" s="5" t="s">
        <v>31</v>
      </c>
      <c r="O460" s="5" t="s">
        <v>32</v>
      </c>
      <c r="P460" s="5" t="s">
        <v>33</v>
      </c>
      <c r="Q460" s="2">
        <v>45967</v>
      </c>
      <c r="V460" s="45">
        <f>IF(OR(ISNUMBER(SEARCH("unable to locate acct",G460)),ISNUMBER(SEARCH("unknown",G460)),ISNUMBER(SEARCH("inactive",G460)),H460=""),0,1)</f>
        <v>1</v>
      </c>
    </row>
    <row r="461" spans="1:22" hidden="1">
      <c r="A461" s="2">
        <v>45903</v>
      </c>
      <c r="B461" s="1" t="s">
        <v>1283</v>
      </c>
      <c r="C461" s="1" t="s">
        <v>1284</v>
      </c>
      <c r="D461" s="1" t="s">
        <v>57</v>
      </c>
      <c r="E461" s="1">
        <v>85021</v>
      </c>
      <c r="F461" s="1" t="s">
        <v>304</v>
      </c>
      <c r="G461" s="1" t="s">
        <v>1187</v>
      </c>
      <c r="H461" s="4" t="s">
        <v>1285</v>
      </c>
      <c r="I461" s="5" t="s">
        <v>190</v>
      </c>
      <c r="J461" s="5" t="s">
        <v>31</v>
      </c>
      <c r="K461" s="5" t="s">
        <v>31</v>
      </c>
      <c r="L461" s="7" t="s">
        <v>1286</v>
      </c>
      <c r="M461" s="5" t="s">
        <v>31</v>
      </c>
      <c r="N461" s="5" t="s">
        <v>31</v>
      </c>
      <c r="O461" s="5" t="s">
        <v>32</v>
      </c>
      <c r="P461" s="2">
        <v>45936</v>
      </c>
      <c r="Q461" s="2">
        <v>45967</v>
      </c>
      <c r="R461" s="1" t="s">
        <v>1287</v>
      </c>
      <c r="V461" s="45">
        <f>IF(OR(ISNUMBER(SEARCH("unable to locate acct",G461)),ISNUMBER(SEARCH("unknown",G461)),ISNUMBER(SEARCH("inactive",G461)),H461=""),0,1)</f>
        <v>1</v>
      </c>
    </row>
    <row r="462" spans="1:22" hidden="1">
      <c r="A462" s="2">
        <v>45903</v>
      </c>
      <c r="B462" s="1" t="s">
        <v>1045</v>
      </c>
      <c r="C462" s="1" t="s">
        <v>1288</v>
      </c>
      <c r="D462" s="1" t="s">
        <v>57</v>
      </c>
      <c r="E462" s="1">
        <v>85032</v>
      </c>
      <c r="F462" s="1" t="s">
        <v>25</v>
      </c>
      <c r="G462" s="1" t="s">
        <v>1187</v>
      </c>
      <c r="H462" s="4" t="s">
        <v>84</v>
      </c>
      <c r="V462" s="45">
        <f>IF(OR(ISNUMBER(SEARCH("unable to locate acct",G462)),ISNUMBER(SEARCH("unknown",G462)),ISNUMBER(SEARCH("inactive",G462)),H462=""),0,1)</f>
        <v>1</v>
      </c>
    </row>
    <row r="463" spans="1:22" hidden="1">
      <c r="A463" s="2">
        <v>45903</v>
      </c>
      <c r="B463" s="1" t="s">
        <v>1289</v>
      </c>
      <c r="C463" s="1" t="s">
        <v>1290</v>
      </c>
      <c r="D463" s="1" t="s">
        <v>57</v>
      </c>
      <c r="E463" s="1">
        <v>85024</v>
      </c>
      <c r="F463" s="1" t="s">
        <v>304</v>
      </c>
      <c r="G463" s="1" t="s">
        <v>1187</v>
      </c>
      <c r="H463" s="4" t="s">
        <v>1291</v>
      </c>
      <c r="I463" s="5" t="s">
        <v>30</v>
      </c>
      <c r="J463" s="5" t="s">
        <v>31</v>
      </c>
      <c r="K463" s="5" t="s">
        <v>31</v>
      </c>
      <c r="L463" s="5" t="s">
        <v>32</v>
      </c>
      <c r="M463" s="5" t="s">
        <v>31</v>
      </c>
      <c r="N463" s="5" t="s">
        <v>31</v>
      </c>
      <c r="O463" s="5" t="s">
        <v>32</v>
      </c>
      <c r="P463" s="5" t="s">
        <v>33</v>
      </c>
      <c r="Q463" s="2">
        <v>45967</v>
      </c>
      <c r="V463" s="45">
        <f>IF(OR(ISNUMBER(SEARCH("unable to locate acct",G463)),ISNUMBER(SEARCH("unknown",G463)),ISNUMBER(SEARCH("inactive",G463)),H463=""),0,1)</f>
        <v>1</v>
      </c>
    </row>
    <row r="464" spans="1:22" hidden="1">
      <c r="A464" s="2">
        <v>45903</v>
      </c>
      <c r="B464" s="1" t="s">
        <v>1292</v>
      </c>
      <c r="C464" s="1" t="s">
        <v>1293</v>
      </c>
      <c r="D464" s="1" t="s">
        <v>163</v>
      </c>
      <c r="E464" s="1">
        <v>85338</v>
      </c>
      <c r="F464" s="1" t="s">
        <v>25</v>
      </c>
      <c r="G464" s="1" t="s">
        <v>1187</v>
      </c>
      <c r="H464" s="4" t="s">
        <v>1294</v>
      </c>
      <c r="I464" s="5" t="s">
        <v>120</v>
      </c>
      <c r="J464" s="5" t="s">
        <v>32</v>
      </c>
      <c r="K464" s="5" t="s">
        <v>31</v>
      </c>
      <c r="L464" s="7" t="s">
        <v>1295</v>
      </c>
      <c r="M464" s="5" t="s">
        <v>31</v>
      </c>
      <c r="N464" s="19" t="s">
        <v>31</v>
      </c>
      <c r="O464" s="5" t="s">
        <v>32</v>
      </c>
      <c r="P464" s="2">
        <v>45936</v>
      </c>
      <c r="Q464" s="2">
        <v>45967</v>
      </c>
      <c r="R464" s="1" t="s">
        <v>1287</v>
      </c>
      <c r="V464" s="45">
        <f>IF(OR(ISNUMBER(SEARCH("unable to locate acct",G464)),ISNUMBER(SEARCH("unknown",G464)),ISNUMBER(SEARCH("inactive",G464)),H464=""),0,1)</f>
        <v>1</v>
      </c>
    </row>
    <row r="465" spans="1:22" hidden="1">
      <c r="A465" s="2">
        <v>45903</v>
      </c>
      <c r="B465" s="1" t="s">
        <v>1296</v>
      </c>
      <c r="C465" s="1" t="s">
        <v>1297</v>
      </c>
      <c r="D465" s="1" t="s">
        <v>106</v>
      </c>
      <c r="E465" s="1">
        <v>85379</v>
      </c>
      <c r="F465" s="1" t="s">
        <v>25</v>
      </c>
      <c r="G465" s="1" t="s">
        <v>1187</v>
      </c>
      <c r="H465" s="4" t="s">
        <v>1298</v>
      </c>
      <c r="I465" s="5" t="s">
        <v>30</v>
      </c>
      <c r="J465" s="5" t="s">
        <v>31</v>
      </c>
      <c r="K465" s="5" t="s">
        <v>31</v>
      </c>
      <c r="L465" s="5" t="s">
        <v>32</v>
      </c>
      <c r="M465" s="5" t="s">
        <v>31</v>
      </c>
      <c r="N465" s="5" t="s">
        <v>31</v>
      </c>
      <c r="O465" s="5" t="s">
        <v>32</v>
      </c>
      <c r="P465" s="5" t="s">
        <v>33</v>
      </c>
      <c r="Q465" s="2">
        <v>45967</v>
      </c>
      <c r="V465" s="45">
        <f>IF(OR(ISNUMBER(SEARCH("unable to locate acct",G465)),ISNUMBER(SEARCH("unknown",G465)),ISNUMBER(SEARCH("inactive",G465)),H465=""),0,1)</f>
        <v>1</v>
      </c>
    </row>
    <row r="466" spans="1:22" hidden="1">
      <c r="A466" s="2">
        <v>45903</v>
      </c>
      <c r="B466" s="1" t="s">
        <v>1299</v>
      </c>
      <c r="C466" s="1" t="s">
        <v>1230</v>
      </c>
      <c r="D466" s="1" t="s">
        <v>163</v>
      </c>
      <c r="E466" s="1">
        <v>85338</v>
      </c>
      <c r="F466" s="1" t="s">
        <v>304</v>
      </c>
      <c r="G466" s="1" t="s">
        <v>1187</v>
      </c>
      <c r="H466" s="4" t="s">
        <v>1300</v>
      </c>
      <c r="I466" s="5" t="s">
        <v>51</v>
      </c>
      <c r="J466" s="5" t="s">
        <v>31</v>
      </c>
      <c r="K466" s="5" t="s">
        <v>31</v>
      </c>
      <c r="L466" s="5" t="s">
        <v>1301</v>
      </c>
      <c r="M466" s="5" t="s">
        <v>31</v>
      </c>
      <c r="N466" s="5" t="s">
        <v>31</v>
      </c>
      <c r="O466" s="5" t="s">
        <v>32</v>
      </c>
      <c r="P466" s="5" t="s">
        <v>33</v>
      </c>
      <c r="Q466" s="2">
        <v>45967</v>
      </c>
      <c r="V466" s="45">
        <f>IF(OR(ISNUMBER(SEARCH("unable to locate acct",G466)),ISNUMBER(SEARCH("unknown",G466)),ISNUMBER(SEARCH("inactive",G466)),H466=""),0,1)</f>
        <v>1</v>
      </c>
    </row>
    <row r="467" spans="1:22" hidden="1">
      <c r="A467" s="2">
        <v>45903</v>
      </c>
      <c r="B467" s="1" t="s">
        <v>356</v>
      </c>
      <c r="C467" s="1" t="s">
        <v>1302</v>
      </c>
      <c r="D467" s="1" t="s">
        <v>57</v>
      </c>
      <c r="E467" s="1">
        <v>85085</v>
      </c>
      <c r="F467" s="1" t="s">
        <v>25</v>
      </c>
      <c r="G467" s="1" t="s">
        <v>1187</v>
      </c>
      <c r="H467" s="4" t="s">
        <v>1303</v>
      </c>
      <c r="I467" s="5" t="s">
        <v>244</v>
      </c>
      <c r="J467" s="5" t="s">
        <v>31</v>
      </c>
      <c r="K467" s="5" t="s">
        <v>31</v>
      </c>
      <c r="L467" s="5" t="s">
        <v>32</v>
      </c>
      <c r="M467" s="5" t="s">
        <v>31</v>
      </c>
      <c r="N467" s="5" t="s">
        <v>31</v>
      </c>
      <c r="O467" s="5" t="s">
        <v>32</v>
      </c>
      <c r="P467" s="5" t="s">
        <v>33</v>
      </c>
      <c r="Q467" s="2">
        <v>45967</v>
      </c>
      <c r="V467" s="45">
        <f>IF(OR(ISNUMBER(SEARCH("unable to locate acct",G467)),ISNUMBER(SEARCH("unknown",G467)),ISNUMBER(SEARCH("inactive",G467)),H467=""),0,1)</f>
        <v>1</v>
      </c>
    </row>
    <row r="468" spans="1:22" hidden="1">
      <c r="A468" s="2">
        <v>45903</v>
      </c>
      <c r="B468" s="1" t="s">
        <v>1304</v>
      </c>
      <c r="C468" s="1" t="s">
        <v>1305</v>
      </c>
      <c r="D468" s="1" t="s">
        <v>57</v>
      </c>
      <c r="E468" s="1">
        <v>85053</v>
      </c>
      <c r="F468" s="1" t="s">
        <v>25</v>
      </c>
      <c r="G468" s="1" t="s">
        <v>1187</v>
      </c>
      <c r="H468" s="4" t="s">
        <v>1306</v>
      </c>
      <c r="I468" s="5" t="s">
        <v>244</v>
      </c>
      <c r="J468" s="5" t="s">
        <v>31</v>
      </c>
      <c r="K468" s="5" t="s">
        <v>31</v>
      </c>
      <c r="L468" s="5" t="s">
        <v>32</v>
      </c>
      <c r="M468" s="5" t="s">
        <v>31</v>
      </c>
      <c r="N468" s="5" t="s">
        <v>31</v>
      </c>
      <c r="O468" s="5" t="s">
        <v>32</v>
      </c>
      <c r="P468" s="5" t="s">
        <v>33</v>
      </c>
      <c r="Q468" s="2">
        <v>45967</v>
      </c>
      <c r="V468" s="45">
        <f>IF(OR(ISNUMBER(SEARCH("unable to locate acct",G468)),ISNUMBER(SEARCH("unknown",G468)),ISNUMBER(SEARCH("inactive",G468)),H468=""),0,1)</f>
        <v>1</v>
      </c>
    </row>
    <row r="469" spans="1:22" hidden="1">
      <c r="A469" s="2">
        <v>45903</v>
      </c>
      <c r="B469" s="1" t="s">
        <v>1304</v>
      </c>
      <c r="C469" s="1" t="s">
        <v>306</v>
      </c>
      <c r="D469" s="1" t="s">
        <v>57</v>
      </c>
      <c r="E469" s="1">
        <v>85053</v>
      </c>
      <c r="F469" s="1" t="s">
        <v>304</v>
      </c>
      <c r="G469" s="1" t="s">
        <v>1187</v>
      </c>
      <c r="H469" s="4" t="s">
        <v>21</v>
      </c>
      <c r="V469" s="45">
        <f>IF(OR(ISNUMBER(SEARCH("unable to locate acct",G469)),ISNUMBER(SEARCH("unknown",G469)),ISNUMBER(SEARCH("inactive",G469)),H469=""),0,1)</f>
        <v>1</v>
      </c>
    </row>
    <row r="470" spans="1:22" hidden="1">
      <c r="A470" s="2">
        <v>45903</v>
      </c>
      <c r="B470" s="1" t="s">
        <v>1307</v>
      </c>
      <c r="C470" s="1" t="s">
        <v>1308</v>
      </c>
      <c r="D470" s="1" t="s">
        <v>163</v>
      </c>
      <c r="E470" s="1">
        <v>85395</v>
      </c>
      <c r="F470" s="1" t="s">
        <v>25</v>
      </c>
      <c r="G470" s="1" t="s">
        <v>1187</v>
      </c>
      <c r="H470" s="4" t="s">
        <v>1309</v>
      </c>
      <c r="I470" s="5" t="s">
        <v>237</v>
      </c>
      <c r="J470" s="5" t="s">
        <v>31</v>
      </c>
      <c r="K470" s="5" t="s">
        <v>31</v>
      </c>
      <c r="L470" s="5" t="s">
        <v>381</v>
      </c>
      <c r="M470" s="5" t="s">
        <v>31</v>
      </c>
      <c r="N470" s="5" t="s">
        <v>31</v>
      </c>
      <c r="O470" s="5" t="s">
        <v>32</v>
      </c>
      <c r="P470" s="5" t="s">
        <v>33</v>
      </c>
      <c r="Q470" s="2">
        <v>45967</v>
      </c>
      <c r="V470" s="45">
        <f>IF(OR(ISNUMBER(SEARCH("unable to locate acct",G470)),ISNUMBER(SEARCH("unknown",G470)),ISNUMBER(SEARCH("inactive",G470)),H470=""),0,1)</f>
        <v>1</v>
      </c>
    </row>
    <row r="471" spans="1:22" hidden="1">
      <c r="A471" s="2">
        <v>45903</v>
      </c>
      <c r="B471" s="1" t="s">
        <v>1310</v>
      </c>
      <c r="C471" s="1" t="s">
        <v>200</v>
      </c>
      <c r="D471" s="1" t="s">
        <v>530</v>
      </c>
      <c r="E471" s="1">
        <v>85123</v>
      </c>
      <c r="F471" s="1" t="s">
        <v>25</v>
      </c>
      <c r="G471" s="1" t="s">
        <v>1187</v>
      </c>
      <c r="H471" s="4" t="s">
        <v>1311</v>
      </c>
      <c r="I471" s="5" t="s">
        <v>120</v>
      </c>
      <c r="J471" s="5" t="s">
        <v>31</v>
      </c>
      <c r="K471" s="5" t="s">
        <v>31</v>
      </c>
      <c r="L471" s="5" t="s">
        <v>32</v>
      </c>
      <c r="M471" s="5" t="s">
        <v>31</v>
      </c>
      <c r="N471" s="5" t="s">
        <v>31</v>
      </c>
      <c r="O471" s="5" t="s">
        <v>32</v>
      </c>
      <c r="P471" s="5" t="s">
        <v>33</v>
      </c>
      <c r="Q471" s="2">
        <v>45967</v>
      </c>
      <c r="V471" s="45">
        <f>IF(OR(ISNUMBER(SEARCH("unable to locate acct",G471)),ISNUMBER(SEARCH("unknown",G471)),ISNUMBER(SEARCH("inactive",G471)),H471=""),0,1)</f>
        <v>1</v>
      </c>
    </row>
    <row r="472" spans="1:22" hidden="1">
      <c r="A472" s="2">
        <v>45903</v>
      </c>
      <c r="B472" s="1" t="s">
        <v>1312</v>
      </c>
      <c r="C472" s="1" t="s">
        <v>1313</v>
      </c>
      <c r="D472" s="1" t="s">
        <v>196</v>
      </c>
      <c r="E472" s="1">
        <v>85383</v>
      </c>
      <c r="F472" s="1" t="s">
        <v>304</v>
      </c>
      <c r="G472" s="1" t="s">
        <v>1187</v>
      </c>
      <c r="H472" s="4" t="s">
        <v>21</v>
      </c>
      <c r="V472" s="45">
        <f>IF(OR(ISNUMBER(SEARCH("unable to locate acct",G472)),ISNUMBER(SEARCH("unknown",G472)),ISNUMBER(SEARCH("inactive",G472)),H472=""),0,1)</f>
        <v>1</v>
      </c>
    </row>
    <row r="473" spans="1:22" hidden="1">
      <c r="A473" s="2">
        <v>45903</v>
      </c>
      <c r="B473" s="1" t="s">
        <v>1314</v>
      </c>
      <c r="C473" s="1" t="s">
        <v>1315</v>
      </c>
      <c r="D473" s="1" t="s">
        <v>196</v>
      </c>
      <c r="E473" s="1">
        <v>85383</v>
      </c>
      <c r="F473" s="1" t="s">
        <v>304</v>
      </c>
      <c r="G473" s="1" t="s">
        <v>1187</v>
      </c>
      <c r="H473" s="4" t="s">
        <v>21</v>
      </c>
      <c r="V473" s="45">
        <f>IF(OR(ISNUMBER(SEARCH("unable to locate acct",G473)),ISNUMBER(SEARCH("unknown",G473)),ISNUMBER(SEARCH("inactive",G473)),H473=""),0,1)</f>
        <v>1</v>
      </c>
    </row>
    <row r="474" spans="1:22" hidden="1">
      <c r="A474" s="2">
        <v>45903</v>
      </c>
      <c r="B474" s="1" t="s">
        <v>1316</v>
      </c>
      <c r="C474" s="1" t="s">
        <v>1317</v>
      </c>
      <c r="D474" s="1" t="s">
        <v>57</v>
      </c>
      <c r="E474" s="1">
        <v>85085</v>
      </c>
      <c r="F474" s="1" t="s">
        <v>25</v>
      </c>
      <c r="G474" s="1" t="s">
        <v>1187</v>
      </c>
      <c r="H474" s="4" t="s">
        <v>1318</v>
      </c>
      <c r="I474" s="5" t="s">
        <v>67</v>
      </c>
      <c r="J474" s="5" t="s">
        <v>31</v>
      </c>
      <c r="K474" s="5" t="s">
        <v>31</v>
      </c>
      <c r="L474" s="5" t="s">
        <v>32</v>
      </c>
      <c r="M474" s="5" t="s">
        <v>31</v>
      </c>
      <c r="N474" s="5" t="s">
        <v>31</v>
      </c>
      <c r="O474" s="5" t="s">
        <v>32</v>
      </c>
      <c r="P474" s="5" t="s">
        <v>33</v>
      </c>
      <c r="Q474" s="2">
        <v>45967</v>
      </c>
      <c r="V474" s="45">
        <f>IF(OR(ISNUMBER(SEARCH("unable to locate acct",G474)),ISNUMBER(SEARCH("unknown",G474)),ISNUMBER(SEARCH("inactive",G474)),H474=""),0,1)</f>
        <v>1</v>
      </c>
    </row>
    <row r="475" spans="1:22" hidden="1">
      <c r="A475" s="2">
        <v>45903</v>
      </c>
      <c r="B475" s="1" t="s">
        <v>1319</v>
      </c>
      <c r="C475" s="1" t="s">
        <v>36</v>
      </c>
      <c r="D475" s="1" t="s">
        <v>234</v>
      </c>
      <c r="E475" s="1">
        <v>85340</v>
      </c>
      <c r="F475" s="1" t="s">
        <v>25</v>
      </c>
      <c r="G475" s="1" t="s">
        <v>1187</v>
      </c>
      <c r="H475" s="4" t="s">
        <v>21</v>
      </c>
      <c r="V475" s="45">
        <f>IF(OR(ISNUMBER(SEARCH("unable to locate acct",G475)),ISNUMBER(SEARCH("unknown",G475)),ISNUMBER(SEARCH("inactive",G475)),H475=""),0,1)</f>
        <v>1</v>
      </c>
    </row>
    <row r="476" spans="1:22" hidden="1">
      <c r="A476" s="2">
        <v>45903</v>
      </c>
      <c r="B476" s="1" t="s">
        <v>1320</v>
      </c>
      <c r="C476" s="1" t="s">
        <v>1321</v>
      </c>
      <c r="D476" s="1" t="s">
        <v>163</v>
      </c>
      <c r="E476" s="1">
        <v>85338</v>
      </c>
      <c r="F476" s="1" t="s">
        <v>25</v>
      </c>
      <c r="G476" s="1" t="s">
        <v>1187</v>
      </c>
      <c r="H476" s="4" t="s">
        <v>1322</v>
      </c>
      <c r="I476" s="5" t="s">
        <v>67</v>
      </c>
      <c r="J476" s="5" t="s">
        <v>31</v>
      </c>
      <c r="K476" s="5" t="s">
        <v>31</v>
      </c>
      <c r="L476" s="5" t="s">
        <v>32</v>
      </c>
      <c r="M476" s="5" t="s">
        <v>31</v>
      </c>
      <c r="N476" s="5" t="s">
        <v>31</v>
      </c>
      <c r="O476" s="5" t="s">
        <v>32</v>
      </c>
      <c r="P476" s="5" t="s">
        <v>33</v>
      </c>
      <c r="Q476" s="2">
        <v>45967</v>
      </c>
      <c r="V476" s="45">
        <f>IF(OR(ISNUMBER(SEARCH("unable to locate acct",G476)),ISNUMBER(SEARCH("unknown",G476)),ISNUMBER(SEARCH("inactive",G476)),H476=""),0,1)</f>
        <v>1</v>
      </c>
    </row>
    <row r="477" spans="1:22" hidden="1">
      <c r="A477" s="2">
        <v>45903</v>
      </c>
      <c r="B477" s="1" t="s">
        <v>1323</v>
      </c>
      <c r="C477" s="1" t="s">
        <v>139</v>
      </c>
      <c r="D477" s="1" t="s">
        <v>163</v>
      </c>
      <c r="E477" s="1">
        <v>85338</v>
      </c>
      <c r="F477" s="1" t="s">
        <v>25</v>
      </c>
      <c r="G477" s="1" t="s">
        <v>1187</v>
      </c>
      <c r="H477" s="4" t="s">
        <v>21</v>
      </c>
      <c r="V477" s="45">
        <f>IF(OR(ISNUMBER(SEARCH("unable to locate acct",G477)),ISNUMBER(SEARCH("unknown",G477)),ISNUMBER(SEARCH("inactive",G477)),H477=""),0,1)</f>
        <v>1</v>
      </c>
    </row>
    <row r="478" spans="1:22" hidden="1">
      <c r="A478" s="2">
        <v>45903</v>
      </c>
      <c r="B478" s="1" t="s">
        <v>1324</v>
      </c>
      <c r="C478" s="1" t="s">
        <v>348</v>
      </c>
      <c r="D478" s="1" t="s">
        <v>57</v>
      </c>
      <c r="E478" s="1">
        <v>85085</v>
      </c>
      <c r="F478" s="1" t="s">
        <v>304</v>
      </c>
      <c r="G478" s="1" t="s">
        <v>1187</v>
      </c>
      <c r="H478" s="4" t="s">
        <v>203</v>
      </c>
      <c r="V478" s="45">
        <f>IF(OR(ISNUMBER(SEARCH("unable to locate acct",G478)),ISNUMBER(SEARCH("unknown",G478)),ISNUMBER(SEARCH("inactive",G478)),H478=""),0,1)</f>
        <v>1</v>
      </c>
    </row>
    <row r="479" spans="1:22" hidden="1">
      <c r="A479" s="2">
        <v>45903</v>
      </c>
      <c r="B479" s="1" t="s">
        <v>1325</v>
      </c>
      <c r="C479" s="1" t="s">
        <v>127</v>
      </c>
      <c r="D479" s="1" t="s">
        <v>163</v>
      </c>
      <c r="E479" s="1">
        <v>85338</v>
      </c>
      <c r="F479" s="1" t="s">
        <v>25</v>
      </c>
      <c r="G479" s="1" t="s">
        <v>1187</v>
      </c>
      <c r="H479" s="4" t="s">
        <v>1326</v>
      </c>
      <c r="I479" s="5" t="s">
        <v>40</v>
      </c>
      <c r="J479" s="5" t="s">
        <v>31</v>
      </c>
      <c r="K479" s="5" t="s">
        <v>31</v>
      </c>
      <c r="L479" s="5" t="s">
        <v>32</v>
      </c>
      <c r="M479" s="5" t="s">
        <v>31</v>
      </c>
      <c r="N479" s="5" t="s">
        <v>31</v>
      </c>
      <c r="O479" s="5" t="s">
        <v>32</v>
      </c>
      <c r="P479" s="5" t="s">
        <v>33</v>
      </c>
      <c r="Q479" s="2">
        <v>45967</v>
      </c>
      <c r="V479" s="45">
        <f>IF(OR(ISNUMBER(SEARCH("unable to locate acct",G479)),ISNUMBER(SEARCH("unknown",G479)),ISNUMBER(SEARCH("inactive",G479)),H479=""),0,1)</f>
        <v>1</v>
      </c>
    </row>
    <row r="480" spans="1:22" hidden="1">
      <c r="A480" s="2">
        <v>45903</v>
      </c>
      <c r="B480" s="1" t="s">
        <v>1327</v>
      </c>
      <c r="C480" s="1" t="s">
        <v>1328</v>
      </c>
      <c r="D480" s="1" t="s">
        <v>196</v>
      </c>
      <c r="E480" s="1">
        <v>85382</v>
      </c>
      <c r="F480" s="1" t="s">
        <v>25</v>
      </c>
      <c r="G480" s="1" t="s">
        <v>1187</v>
      </c>
      <c r="H480" s="4" t="s">
        <v>21</v>
      </c>
      <c r="V480" s="45">
        <f>IF(OR(ISNUMBER(SEARCH("unable to locate acct",G480)),ISNUMBER(SEARCH("unknown",G480)),ISNUMBER(SEARCH("inactive",G480)),H480=""),0,1)</f>
        <v>1</v>
      </c>
    </row>
    <row r="481" spans="1:22" hidden="1">
      <c r="A481" s="2">
        <v>45903</v>
      </c>
      <c r="B481" s="1" t="s">
        <v>1329</v>
      </c>
      <c r="C481" s="1" t="s">
        <v>1330</v>
      </c>
      <c r="D481" s="1" t="s">
        <v>163</v>
      </c>
      <c r="E481" s="1">
        <v>85395</v>
      </c>
      <c r="F481" s="1" t="s">
        <v>25</v>
      </c>
      <c r="G481" s="1" t="s">
        <v>1187</v>
      </c>
      <c r="H481" s="4" t="s">
        <v>1331</v>
      </c>
      <c r="I481" s="5" t="s">
        <v>244</v>
      </c>
      <c r="J481" s="5" t="s">
        <v>31</v>
      </c>
      <c r="K481" s="5" t="s">
        <v>31</v>
      </c>
      <c r="L481" s="5" t="s">
        <v>32</v>
      </c>
      <c r="M481" s="5" t="s">
        <v>31</v>
      </c>
      <c r="N481" s="5" t="s">
        <v>31</v>
      </c>
      <c r="O481" s="5" t="s">
        <v>32</v>
      </c>
      <c r="P481" s="5" t="s">
        <v>33</v>
      </c>
      <c r="Q481" s="2">
        <v>45967</v>
      </c>
      <c r="V481" s="45">
        <f>IF(OR(ISNUMBER(SEARCH("unable to locate acct",G481)),ISNUMBER(SEARCH("unknown",G481)),ISNUMBER(SEARCH("inactive",G481)),H481=""),0,1)</f>
        <v>1</v>
      </c>
    </row>
    <row r="482" spans="1:22" hidden="1">
      <c r="A482" s="2">
        <v>45903</v>
      </c>
      <c r="B482" s="1" t="s">
        <v>1332</v>
      </c>
      <c r="C482" s="1" t="s">
        <v>1333</v>
      </c>
      <c r="D482" s="1" t="s">
        <v>514</v>
      </c>
      <c r="E482" s="1">
        <v>85392</v>
      </c>
      <c r="F482" s="1" t="s">
        <v>25</v>
      </c>
      <c r="G482" s="1" t="s">
        <v>1187</v>
      </c>
      <c r="H482" s="4" t="s">
        <v>1334</v>
      </c>
      <c r="I482" s="5" t="s">
        <v>120</v>
      </c>
      <c r="J482" s="5" t="s">
        <v>31</v>
      </c>
      <c r="K482" s="5" t="s">
        <v>31</v>
      </c>
      <c r="L482" s="7" t="s">
        <v>1335</v>
      </c>
      <c r="M482" s="5" t="s">
        <v>31</v>
      </c>
      <c r="N482" s="5" t="s">
        <v>31</v>
      </c>
      <c r="O482" s="5" t="s">
        <v>32</v>
      </c>
      <c r="P482" s="2">
        <v>45936</v>
      </c>
      <c r="Q482" s="2">
        <v>45967</v>
      </c>
      <c r="R482" s="1" t="s">
        <v>1287</v>
      </c>
      <c r="V482" s="45">
        <f>IF(OR(ISNUMBER(SEARCH("unable to locate acct",G482)),ISNUMBER(SEARCH("unknown",G482)),ISNUMBER(SEARCH("inactive",G482)),H482=""),0,1)</f>
        <v>1</v>
      </c>
    </row>
    <row r="483" spans="1:22" hidden="1">
      <c r="A483" s="2">
        <v>45903</v>
      </c>
      <c r="B483" s="1" t="s">
        <v>1336</v>
      </c>
      <c r="C483" s="1" t="s">
        <v>1337</v>
      </c>
      <c r="D483" s="1" t="s">
        <v>196</v>
      </c>
      <c r="E483" s="1">
        <v>85383</v>
      </c>
      <c r="F483" s="1" t="s">
        <v>304</v>
      </c>
      <c r="G483" s="1" t="s">
        <v>1187</v>
      </c>
      <c r="H483" s="4" t="s">
        <v>1338</v>
      </c>
      <c r="I483" s="5" t="s">
        <v>30</v>
      </c>
      <c r="J483" s="5" t="s">
        <v>31</v>
      </c>
      <c r="K483" s="5" t="s">
        <v>31</v>
      </c>
      <c r="L483" s="5" t="s">
        <v>32</v>
      </c>
      <c r="M483" s="5" t="s">
        <v>31</v>
      </c>
      <c r="N483" s="5" t="s">
        <v>31</v>
      </c>
      <c r="O483" s="5" t="s">
        <v>32</v>
      </c>
      <c r="P483" s="5" t="s">
        <v>33</v>
      </c>
      <c r="Q483" s="2">
        <v>45967</v>
      </c>
      <c r="V483" s="45">
        <f>IF(OR(ISNUMBER(SEARCH("unable to locate acct",G483)),ISNUMBER(SEARCH("unknown",G483)),ISNUMBER(SEARCH("inactive",G483)),H483=""),0,1)</f>
        <v>1</v>
      </c>
    </row>
    <row r="484" spans="1:22" hidden="1">
      <c r="A484" s="2">
        <v>45903</v>
      </c>
      <c r="B484" s="1" t="s">
        <v>1339</v>
      </c>
      <c r="C484" s="1" t="s">
        <v>1340</v>
      </c>
      <c r="D484" s="1" t="s">
        <v>196</v>
      </c>
      <c r="E484" s="1">
        <v>85383</v>
      </c>
      <c r="F484" s="1" t="s">
        <v>304</v>
      </c>
      <c r="G484" s="1" t="s">
        <v>1187</v>
      </c>
      <c r="H484" s="4" t="s">
        <v>1341</v>
      </c>
      <c r="I484" s="5" t="s">
        <v>190</v>
      </c>
      <c r="J484" s="5" t="s">
        <v>31</v>
      </c>
      <c r="K484" s="5" t="s">
        <v>31</v>
      </c>
      <c r="L484" s="5" t="s">
        <v>1342</v>
      </c>
      <c r="M484" s="5" t="s">
        <v>31</v>
      </c>
      <c r="N484" s="5" t="s">
        <v>31</v>
      </c>
      <c r="O484" s="5" t="s">
        <v>32</v>
      </c>
      <c r="P484" s="5" t="s">
        <v>33</v>
      </c>
      <c r="Q484" s="2">
        <v>45967</v>
      </c>
      <c r="V484" s="45">
        <f>IF(OR(ISNUMBER(SEARCH("unable to locate acct",G484)),ISNUMBER(SEARCH("unknown",G484)),ISNUMBER(SEARCH("inactive",G484)),H484=""),0,1)</f>
        <v>1</v>
      </c>
    </row>
    <row r="485" spans="1:22" hidden="1">
      <c r="A485" s="2">
        <v>45903</v>
      </c>
      <c r="B485" s="1" t="s">
        <v>1343</v>
      </c>
      <c r="C485" s="1" t="s">
        <v>1344</v>
      </c>
      <c r="D485" s="1" t="s">
        <v>196</v>
      </c>
      <c r="E485" s="1">
        <v>85383</v>
      </c>
      <c r="F485" s="1" t="s">
        <v>25</v>
      </c>
      <c r="G485" s="1" t="s">
        <v>1187</v>
      </c>
      <c r="H485" s="4" t="s">
        <v>1345</v>
      </c>
      <c r="I485" s="5" t="s">
        <v>1346</v>
      </c>
      <c r="J485" s="5" t="s">
        <v>31</v>
      </c>
      <c r="K485" s="5" t="s">
        <v>31</v>
      </c>
      <c r="L485" s="5" t="s">
        <v>381</v>
      </c>
      <c r="M485" s="5" t="s">
        <v>31</v>
      </c>
      <c r="N485" s="5" t="s">
        <v>31</v>
      </c>
      <c r="O485" s="5" t="s">
        <v>32</v>
      </c>
      <c r="P485" s="5" t="s">
        <v>33</v>
      </c>
      <c r="Q485" s="2">
        <v>45967</v>
      </c>
      <c r="V485" s="45">
        <f>IF(OR(ISNUMBER(SEARCH("unable to locate acct",G485)),ISNUMBER(SEARCH("unknown",G485)),ISNUMBER(SEARCH("inactive",G485)),H485=""),0,1)</f>
        <v>1</v>
      </c>
    </row>
    <row r="486" spans="1:22" hidden="1">
      <c r="A486" s="2">
        <v>45903</v>
      </c>
      <c r="B486" s="1" t="s">
        <v>1347</v>
      </c>
      <c r="C486" s="1" t="s">
        <v>1348</v>
      </c>
      <c r="D486" s="1" t="s">
        <v>163</v>
      </c>
      <c r="E486" s="1">
        <v>85338</v>
      </c>
      <c r="F486" s="1" t="s">
        <v>25</v>
      </c>
      <c r="G486" s="1" t="s">
        <v>1187</v>
      </c>
      <c r="H486" s="4" t="s">
        <v>21</v>
      </c>
      <c r="V486" s="45">
        <f>IF(OR(ISNUMBER(SEARCH("unable to locate acct",G486)),ISNUMBER(SEARCH("unknown",G486)),ISNUMBER(SEARCH("inactive",G486)),H486=""),0,1)</f>
        <v>1</v>
      </c>
    </row>
    <row r="487" spans="1:22" hidden="1">
      <c r="A487" s="2">
        <v>45903</v>
      </c>
      <c r="B487" s="1" t="s">
        <v>232</v>
      </c>
      <c r="C487" s="1" t="s">
        <v>250</v>
      </c>
      <c r="D487" s="1" t="s">
        <v>234</v>
      </c>
      <c r="E487" s="1">
        <v>85340</v>
      </c>
      <c r="F487" s="1" t="s">
        <v>25</v>
      </c>
      <c r="G487" s="1" t="s">
        <v>1187</v>
      </c>
      <c r="H487" s="4" t="s">
        <v>1349</v>
      </c>
      <c r="I487" s="5" t="s">
        <v>51</v>
      </c>
      <c r="J487" s="5" t="s">
        <v>31</v>
      </c>
      <c r="K487" s="5" t="s">
        <v>31</v>
      </c>
      <c r="L487" s="7" t="s">
        <v>1350</v>
      </c>
      <c r="M487" s="5" t="s">
        <v>31</v>
      </c>
      <c r="N487" s="5" t="s">
        <v>31</v>
      </c>
      <c r="O487" s="5" t="s">
        <v>32</v>
      </c>
      <c r="P487" s="2">
        <v>45936</v>
      </c>
      <c r="Q487" s="2">
        <v>45967</v>
      </c>
      <c r="R487" s="1" t="s">
        <v>1287</v>
      </c>
      <c r="V487" s="45">
        <f>IF(OR(ISNUMBER(SEARCH("unable to locate acct",G487)),ISNUMBER(SEARCH("unknown",G487)),ISNUMBER(SEARCH("inactive",G487)),H487=""),0,1)</f>
        <v>1</v>
      </c>
    </row>
    <row r="488" spans="1:22" hidden="1">
      <c r="A488" s="2">
        <v>45903</v>
      </c>
      <c r="B488" s="1" t="s">
        <v>1351</v>
      </c>
      <c r="C488" s="1" t="s">
        <v>588</v>
      </c>
      <c r="D488" s="1" t="s">
        <v>1092</v>
      </c>
      <c r="E488" s="1">
        <v>85355</v>
      </c>
      <c r="F488" s="1" t="s">
        <v>25</v>
      </c>
      <c r="G488" s="1" t="s">
        <v>1187</v>
      </c>
      <c r="H488" s="4" t="s">
        <v>1352</v>
      </c>
      <c r="I488" s="5" t="s">
        <v>40</v>
      </c>
      <c r="J488" s="5" t="s">
        <v>31</v>
      </c>
      <c r="K488" s="5" t="s">
        <v>31</v>
      </c>
      <c r="L488" s="5" t="s">
        <v>32</v>
      </c>
      <c r="M488" s="5" t="s">
        <v>31</v>
      </c>
      <c r="N488" s="5" t="s">
        <v>31</v>
      </c>
      <c r="O488" s="5" t="s">
        <v>32</v>
      </c>
      <c r="P488" s="5" t="s">
        <v>33</v>
      </c>
      <c r="Q488" s="2">
        <v>45967</v>
      </c>
      <c r="V488" s="45">
        <f>IF(OR(ISNUMBER(SEARCH("unable to locate acct",G488)),ISNUMBER(SEARCH("unknown",G488)),ISNUMBER(SEARCH("inactive",G488)),H488=""),0,1)</f>
        <v>1</v>
      </c>
    </row>
    <row r="489" spans="1:22" hidden="1">
      <c r="A489" s="2">
        <v>45903</v>
      </c>
      <c r="B489" s="1" t="s">
        <v>1353</v>
      </c>
      <c r="C489" s="1" t="s">
        <v>1354</v>
      </c>
      <c r="D489" s="1" t="s">
        <v>196</v>
      </c>
      <c r="E489" s="1">
        <v>85383</v>
      </c>
      <c r="F489" s="1" t="s">
        <v>25</v>
      </c>
      <c r="G489" s="1" t="s">
        <v>1187</v>
      </c>
      <c r="H489" s="4" t="s">
        <v>203</v>
      </c>
      <c r="V489" s="45">
        <f>IF(OR(ISNUMBER(SEARCH("unable to locate acct",G489)),ISNUMBER(SEARCH("unknown",G489)),ISNUMBER(SEARCH("inactive",G489)),H489=""),0,1)</f>
        <v>1</v>
      </c>
    </row>
    <row r="490" spans="1:22" hidden="1">
      <c r="A490" s="2">
        <v>45903</v>
      </c>
      <c r="B490" s="1" t="s">
        <v>1355</v>
      </c>
      <c r="C490" s="1" t="s">
        <v>1356</v>
      </c>
      <c r="D490" s="1" t="s">
        <v>57</v>
      </c>
      <c r="E490" s="1">
        <v>85024</v>
      </c>
      <c r="F490" s="1" t="s">
        <v>25</v>
      </c>
      <c r="G490" s="1" t="s">
        <v>1187</v>
      </c>
      <c r="H490" s="4" t="s">
        <v>1357</v>
      </c>
      <c r="I490" s="5" t="s">
        <v>962</v>
      </c>
      <c r="J490" s="5" t="s">
        <v>31</v>
      </c>
      <c r="K490" s="5" t="s">
        <v>31</v>
      </c>
      <c r="L490" s="5" t="s">
        <v>32</v>
      </c>
      <c r="M490" s="5" t="s">
        <v>31</v>
      </c>
      <c r="N490" s="5" t="s">
        <v>31</v>
      </c>
      <c r="O490" s="5" t="s">
        <v>32</v>
      </c>
      <c r="P490" s="5" t="s">
        <v>33</v>
      </c>
      <c r="Q490" s="2">
        <v>45967</v>
      </c>
      <c r="V490" s="45">
        <f>IF(OR(ISNUMBER(SEARCH("unable to locate acct",G490)),ISNUMBER(SEARCH("unknown",G490)),ISNUMBER(SEARCH("inactive",G490)),H490=""),0,1)</f>
        <v>1</v>
      </c>
    </row>
    <row r="491" spans="1:22" hidden="1">
      <c r="A491" s="2">
        <v>45903</v>
      </c>
      <c r="B491" s="1" t="s">
        <v>1358</v>
      </c>
      <c r="C491" s="1" t="s">
        <v>1359</v>
      </c>
      <c r="D491" s="1" t="s">
        <v>57</v>
      </c>
      <c r="E491" s="1">
        <v>85085</v>
      </c>
      <c r="F491" s="1" t="s">
        <v>304</v>
      </c>
      <c r="G491" s="1" t="s">
        <v>1187</v>
      </c>
      <c r="H491" s="4" t="s">
        <v>1360</v>
      </c>
      <c r="I491" s="5" t="s">
        <v>30</v>
      </c>
      <c r="J491" s="5" t="s">
        <v>31</v>
      </c>
      <c r="K491" s="5" t="s">
        <v>31</v>
      </c>
      <c r="L491" s="5" t="s">
        <v>32</v>
      </c>
      <c r="M491" s="5" t="s">
        <v>31</v>
      </c>
      <c r="N491" s="5" t="s">
        <v>31</v>
      </c>
      <c r="O491" s="5" t="s">
        <v>32</v>
      </c>
      <c r="P491" s="5" t="s">
        <v>33</v>
      </c>
      <c r="Q491" s="2">
        <v>45967</v>
      </c>
      <c r="V491" s="45">
        <f>IF(OR(ISNUMBER(SEARCH("unable to locate acct",G491)),ISNUMBER(SEARCH("unknown",G491)),ISNUMBER(SEARCH("inactive",G491)),H491=""),0,1)</f>
        <v>1</v>
      </c>
    </row>
    <row r="492" spans="1:22" hidden="1">
      <c r="A492" s="2">
        <v>45903</v>
      </c>
      <c r="B492" s="1" t="s">
        <v>1361</v>
      </c>
      <c r="C492" s="1" t="s">
        <v>1362</v>
      </c>
      <c r="D492" s="1" t="s">
        <v>57</v>
      </c>
      <c r="E492" s="1">
        <v>85003</v>
      </c>
      <c r="F492" s="1" t="s">
        <v>304</v>
      </c>
      <c r="G492" s="1" t="s">
        <v>1187</v>
      </c>
      <c r="H492" s="4" t="s">
        <v>1363</v>
      </c>
      <c r="I492" s="5" t="s">
        <v>190</v>
      </c>
      <c r="J492" s="5" t="s">
        <v>31</v>
      </c>
      <c r="K492" s="5" t="s">
        <v>31</v>
      </c>
      <c r="L492" s="7" t="s">
        <v>1364</v>
      </c>
      <c r="M492" s="5" t="s">
        <v>31</v>
      </c>
      <c r="N492" s="5" t="s">
        <v>31</v>
      </c>
      <c r="O492" s="5" t="s">
        <v>32</v>
      </c>
      <c r="P492" s="2">
        <v>45936</v>
      </c>
      <c r="Q492" s="2">
        <v>45967</v>
      </c>
      <c r="R492" s="20" t="s">
        <v>1365</v>
      </c>
      <c r="V492" s="45">
        <f>IF(OR(ISNUMBER(SEARCH("unable to locate acct",G492)),ISNUMBER(SEARCH("unknown",G492)),ISNUMBER(SEARCH("inactive",G492)),H492=""),0,1)</f>
        <v>1</v>
      </c>
    </row>
    <row r="493" spans="1:22" hidden="1">
      <c r="A493" s="2">
        <v>45903</v>
      </c>
      <c r="B493" s="1" t="s">
        <v>1366</v>
      </c>
      <c r="C493" s="1" t="s">
        <v>285</v>
      </c>
      <c r="D493" s="1" t="s">
        <v>163</v>
      </c>
      <c r="E493" s="1">
        <v>85338</v>
      </c>
      <c r="F493" s="1" t="s">
        <v>1367</v>
      </c>
      <c r="G493" s="1" t="s">
        <v>1187</v>
      </c>
      <c r="H493" s="4" t="s">
        <v>1368</v>
      </c>
      <c r="I493" s="5" t="s">
        <v>190</v>
      </c>
      <c r="J493" s="5" t="s">
        <v>31</v>
      </c>
      <c r="K493" s="5" t="s">
        <v>31</v>
      </c>
      <c r="L493" s="7" t="s">
        <v>1369</v>
      </c>
      <c r="M493" s="5" t="s">
        <v>31</v>
      </c>
      <c r="N493" s="5" t="s">
        <v>31</v>
      </c>
      <c r="O493" s="5" t="s">
        <v>32</v>
      </c>
      <c r="P493" s="2">
        <v>45936</v>
      </c>
      <c r="Q493" s="2">
        <v>45967</v>
      </c>
      <c r="R493" s="20" t="s">
        <v>1287</v>
      </c>
      <c r="V493" s="45">
        <f>IF(OR(ISNUMBER(SEARCH("unable to locate acct",G493)),ISNUMBER(SEARCH("unknown",G493)),ISNUMBER(SEARCH("inactive",G493)),H493=""),0,1)</f>
        <v>1</v>
      </c>
    </row>
    <row r="494" spans="1:22" hidden="1">
      <c r="A494" s="2">
        <v>45903</v>
      </c>
      <c r="B494" s="1" t="s">
        <v>1370</v>
      </c>
      <c r="C494" s="1" t="s">
        <v>69</v>
      </c>
      <c r="D494" s="1" t="s">
        <v>57</v>
      </c>
      <c r="E494" s="1">
        <v>85013</v>
      </c>
      <c r="F494" s="1" t="s">
        <v>304</v>
      </c>
      <c r="G494" s="1" t="s">
        <v>1187</v>
      </c>
      <c r="H494" s="4" t="s">
        <v>21</v>
      </c>
      <c r="V494" s="45">
        <f>IF(OR(ISNUMBER(SEARCH("unable to locate acct",G494)),ISNUMBER(SEARCH("unknown",G494)),ISNUMBER(SEARCH("inactive",G494)),H494=""),0,1)</f>
        <v>1</v>
      </c>
    </row>
    <row r="495" spans="1:22" hidden="1">
      <c r="A495" s="2">
        <v>45903</v>
      </c>
      <c r="B495" s="1" t="s">
        <v>1371</v>
      </c>
      <c r="C495" s="1" t="s">
        <v>1372</v>
      </c>
      <c r="D495" s="1" t="s">
        <v>57</v>
      </c>
      <c r="E495" s="1">
        <v>85014</v>
      </c>
      <c r="F495" s="1" t="s">
        <v>304</v>
      </c>
      <c r="G495" s="1" t="s">
        <v>1187</v>
      </c>
      <c r="H495" s="4" t="s">
        <v>21</v>
      </c>
      <c r="R495" s="20"/>
      <c r="V495" s="45">
        <f>IF(OR(ISNUMBER(SEARCH("unable to locate acct",G495)),ISNUMBER(SEARCH("unknown",G495)),ISNUMBER(SEARCH("inactive",G495)),H495=""),0,1)</f>
        <v>1</v>
      </c>
    </row>
    <row r="496" spans="1:22" hidden="1">
      <c r="A496" s="2">
        <v>45903</v>
      </c>
      <c r="B496" s="1" t="s">
        <v>1373</v>
      </c>
      <c r="C496" s="1" t="s">
        <v>1374</v>
      </c>
      <c r="D496" s="1" t="s">
        <v>196</v>
      </c>
      <c r="E496" s="1">
        <v>85383</v>
      </c>
      <c r="F496" s="1" t="s">
        <v>304</v>
      </c>
      <c r="G496" s="1" t="s">
        <v>1187</v>
      </c>
      <c r="H496" s="4" t="s">
        <v>1375</v>
      </c>
      <c r="I496" s="5" t="s">
        <v>190</v>
      </c>
      <c r="J496" s="5" t="s">
        <v>31</v>
      </c>
      <c r="K496" s="5" t="s">
        <v>31</v>
      </c>
      <c r="L496" s="7" t="s">
        <v>1376</v>
      </c>
      <c r="M496" s="5" t="s">
        <v>31</v>
      </c>
      <c r="N496" s="5" t="s">
        <v>31</v>
      </c>
      <c r="O496" s="5" t="s">
        <v>32</v>
      </c>
      <c r="P496" s="2">
        <v>45936</v>
      </c>
      <c r="Q496" s="2">
        <v>45967</v>
      </c>
      <c r="R496" s="1" t="s">
        <v>1287</v>
      </c>
      <c r="V496" s="45">
        <f>IF(OR(ISNUMBER(SEARCH("unable to locate acct",G496)),ISNUMBER(SEARCH("unknown",G496)),ISNUMBER(SEARCH("inactive",G496)),H496=""),0,1)</f>
        <v>1</v>
      </c>
    </row>
    <row r="497" spans="1:22" ht="11.25" hidden="1" customHeight="1">
      <c r="A497" s="2">
        <v>45903</v>
      </c>
      <c r="B497" s="1" t="s">
        <v>1377</v>
      </c>
      <c r="C497" s="1" t="s">
        <v>1378</v>
      </c>
      <c r="D497" s="1" t="s">
        <v>196</v>
      </c>
      <c r="E497" s="1">
        <v>85383</v>
      </c>
      <c r="F497" s="1" t="s">
        <v>304</v>
      </c>
      <c r="G497" s="1" t="s">
        <v>1187</v>
      </c>
      <c r="H497" s="4" t="s">
        <v>1379</v>
      </c>
      <c r="I497" s="5" t="s">
        <v>67</v>
      </c>
      <c r="J497" s="5" t="s">
        <v>31</v>
      </c>
      <c r="K497" s="5" t="s">
        <v>31</v>
      </c>
      <c r="L497" s="5" t="s">
        <v>32</v>
      </c>
      <c r="M497" s="5" t="s">
        <v>31</v>
      </c>
      <c r="N497" s="5" t="s">
        <v>31</v>
      </c>
      <c r="O497" s="5" t="s">
        <v>32</v>
      </c>
      <c r="P497" s="5" t="s">
        <v>33</v>
      </c>
      <c r="Q497" s="2">
        <v>45967</v>
      </c>
      <c r="V497" s="45">
        <f>IF(OR(ISNUMBER(SEARCH("unable to locate acct",G497)),ISNUMBER(SEARCH("unknown",G497)),ISNUMBER(SEARCH("inactive",G497)),H497=""),0,1)</f>
        <v>1</v>
      </c>
    </row>
    <row r="498" spans="1:22" hidden="1">
      <c r="A498" s="2">
        <v>45903</v>
      </c>
      <c r="B498" s="1" t="s">
        <v>1380</v>
      </c>
      <c r="C498" s="1" t="s">
        <v>602</v>
      </c>
      <c r="D498" s="1" t="s">
        <v>163</v>
      </c>
      <c r="E498" s="1">
        <v>85338</v>
      </c>
      <c r="F498" s="1" t="s">
        <v>25</v>
      </c>
      <c r="G498" s="1" t="s">
        <v>1187</v>
      </c>
      <c r="H498" s="4" t="s">
        <v>1381</v>
      </c>
      <c r="I498" s="5" t="s">
        <v>190</v>
      </c>
      <c r="J498" s="5" t="s">
        <v>31</v>
      </c>
      <c r="K498" s="5" t="s">
        <v>31</v>
      </c>
      <c r="L498" s="7" t="s">
        <v>1382</v>
      </c>
      <c r="M498" s="5" t="s">
        <v>31</v>
      </c>
      <c r="N498" s="5" t="s">
        <v>31</v>
      </c>
      <c r="O498" s="5" t="s">
        <v>32</v>
      </c>
      <c r="P498" s="5" t="s">
        <v>33</v>
      </c>
      <c r="Q498" s="2">
        <v>45967</v>
      </c>
      <c r="R498" s="1" t="s">
        <v>1383</v>
      </c>
      <c r="V498" s="45">
        <f>IF(OR(ISNUMBER(SEARCH("unable to locate acct",G498)),ISNUMBER(SEARCH("unknown",G498)),ISNUMBER(SEARCH("inactive",G498)),H498=""),0,1)</f>
        <v>1</v>
      </c>
    </row>
    <row r="499" spans="1:22" hidden="1">
      <c r="A499" s="2">
        <v>45903</v>
      </c>
      <c r="B499" s="1" t="s">
        <v>1384</v>
      </c>
      <c r="C499" s="1" t="s">
        <v>561</v>
      </c>
      <c r="D499" s="1" t="s">
        <v>57</v>
      </c>
      <c r="E499" s="1">
        <v>85024</v>
      </c>
      <c r="F499" s="1" t="s">
        <v>304</v>
      </c>
      <c r="G499" s="1" t="s">
        <v>1187</v>
      </c>
      <c r="H499" s="21" t="s">
        <v>5608</v>
      </c>
      <c r="I499" s="5" t="s">
        <v>1385</v>
      </c>
      <c r="J499" s="5" t="s">
        <v>31</v>
      </c>
      <c r="K499" s="5" t="s">
        <v>31</v>
      </c>
      <c r="L499" s="5" t="s">
        <v>32</v>
      </c>
      <c r="M499" s="5" t="s">
        <v>31</v>
      </c>
      <c r="N499" s="5" t="s">
        <v>31</v>
      </c>
      <c r="O499" s="5" t="s">
        <v>32</v>
      </c>
      <c r="P499" s="5" t="s">
        <v>33</v>
      </c>
      <c r="Q499" s="2">
        <v>45967</v>
      </c>
      <c r="V499" s="45">
        <f>IF(OR(ISNUMBER(SEARCH("unable to locate acct",G499)),ISNUMBER(SEARCH("unknown",G499)),ISNUMBER(SEARCH("inactive",G499)),H499=""),0,1)</f>
        <v>1</v>
      </c>
    </row>
    <row r="500" spans="1:22" hidden="1">
      <c r="A500" s="2">
        <v>45903</v>
      </c>
      <c r="B500" s="1" t="s">
        <v>1386</v>
      </c>
      <c r="C500" s="1" t="s">
        <v>1387</v>
      </c>
      <c r="D500" s="1" t="s">
        <v>57</v>
      </c>
      <c r="E500" s="1">
        <v>85050</v>
      </c>
      <c r="F500" s="1" t="s">
        <v>25</v>
      </c>
      <c r="G500" s="1" t="s">
        <v>1187</v>
      </c>
      <c r="H500" s="21" t="s">
        <v>5609</v>
      </c>
      <c r="I500" s="5" t="s">
        <v>30</v>
      </c>
      <c r="J500" s="5" t="s">
        <v>31</v>
      </c>
      <c r="K500" s="5" t="s">
        <v>31</v>
      </c>
      <c r="L500" s="5" t="s">
        <v>32</v>
      </c>
      <c r="M500" s="5" t="s">
        <v>31</v>
      </c>
      <c r="N500" s="5" t="s">
        <v>31</v>
      </c>
      <c r="O500" s="5" t="s">
        <v>32</v>
      </c>
      <c r="P500" s="5" t="s">
        <v>33</v>
      </c>
      <c r="Q500" s="2">
        <v>45966</v>
      </c>
      <c r="V500" s="45">
        <f>IF(OR(ISNUMBER(SEARCH("unable to locate acct",G500)),ISNUMBER(SEARCH("unknown",G500)),ISNUMBER(SEARCH("inactive",G500)),H500=""),0,1)</f>
        <v>1</v>
      </c>
    </row>
    <row r="501" spans="1:22" hidden="1">
      <c r="A501" s="2">
        <v>45903</v>
      </c>
      <c r="B501" s="1" t="s">
        <v>1388</v>
      </c>
      <c r="C501" s="1" t="s">
        <v>1389</v>
      </c>
      <c r="D501" s="1" t="s">
        <v>163</v>
      </c>
      <c r="E501" s="1">
        <v>85338</v>
      </c>
      <c r="F501" s="1" t="s">
        <v>1390</v>
      </c>
      <c r="G501" s="1" t="s">
        <v>1187</v>
      </c>
      <c r="H501" s="21" t="s">
        <v>5610</v>
      </c>
      <c r="I501" s="5" t="s">
        <v>30</v>
      </c>
      <c r="J501" s="5" t="s">
        <v>31</v>
      </c>
      <c r="K501" s="5" t="s">
        <v>31</v>
      </c>
      <c r="L501" s="5" t="s">
        <v>32</v>
      </c>
      <c r="M501" s="5" t="s">
        <v>31</v>
      </c>
      <c r="N501" s="5" t="s">
        <v>31</v>
      </c>
      <c r="O501" s="5" t="s">
        <v>32</v>
      </c>
      <c r="P501" s="5" t="s">
        <v>33</v>
      </c>
      <c r="Q501" s="2">
        <v>45966</v>
      </c>
      <c r="V501" s="45">
        <f>IF(OR(ISNUMBER(SEARCH("unable to locate acct",G501)),ISNUMBER(SEARCH("unknown",G501)),ISNUMBER(SEARCH("inactive",G501)),H501=""),0,1)</f>
        <v>1</v>
      </c>
    </row>
    <row r="502" spans="1:22" hidden="1">
      <c r="A502" s="2">
        <v>45903</v>
      </c>
      <c r="B502" s="1" t="s">
        <v>1391</v>
      </c>
      <c r="C502" s="1" t="s">
        <v>1392</v>
      </c>
      <c r="D502" s="1" t="s">
        <v>57</v>
      </c>
      <c r="E502" s="1">
        <v>85013</v>
      </c>
      <c r="F502" s="1" t="s">
        <v>1393</v>
      </c>
      <c r="G502" s="1" t="s">
        <v>1187</v>
      </c>
      <c r="H502" s="21" t="s">
        <v>5611</v>
      </c>
      <c r="I502" s="5" t="s">
        <v>67</v>
      </c>
      <c r="J502" s="5" t="s">
        <v>31</v>
      </c>
      <c r="K502" s="5" t="s">
        <v>31</v>
      </c>
      <c r="L502" s="5" t="s">
        <v>32</v>
      </c>
      <c r="M502" s="5" t="s">
        <v>31</v>
      </c>
      <c r="N502" s="5" t="s">
        <v>31</v>
      </c>
      <c r="O502" s="5" t="s">
        <v>32</v>
      </c>
      <c r="P502" s="5" t="s">
        <v>33</v>
      </c>
      <c r="Q502" s="2">
        <v>45966</v>
      </c>
      <c r="V502" s="45">
        <f>IF(OR(ISNUMBER(SEARCH("unable to locate acct",G502)),ISNUMBER(SEARCH("unknown",G502)),ISNUMBER(SEARCH("inactive",G502)),H502=""),0,1)</f>
        <v>1</v>
      </c>
    </row>
    <row r="503" spans="1:22" hidden="1">
      <c r="A503" s="2">
        <v>45903</v>
      </c>
      <c r="B503" s="1" t="s">
        <v>1394</v>
      </c>
      <c r="C503" s="1" t="s">
        <v>615</v>
      </c>
      <c r="D503" s="1" t="s">
        <v>196</v>
      </c>
      <c r="E503" s="1">
        <v>85381</v>
      </c>
      <c r="F503" s="1" t="s">
        <v>304</v>
      </c>
      <c r="G503" s="1" t="s">
        <v>1187</v>
      </c>
      <c r="H503" s="21" t="s">
        <v>5612</v>
      </c>
      <c r="I503" s="5" t="s">
        <v>30</v>
      </c>
      <c r="J503" s="5" t="s">
        <v>31</v>
      </c>
      <c r="K503" s="5" t="s">
        <v>31</v>
      </c>
      <c r="L503" s="5" t="s">
        <v>32</v>
      </c>
      <c r="M503" s="5" t="s">
        <v>31</v>
      </c>
      <c r="N503" s="5" t="s">
        <v>31</v>
      </c>
      <c r="O503" s="5" t="s">
        <v>32</v>
      </c>
      <c r="P503" s="5" t="s">
        <v>33</v>
      </c>
      <c r="Q503" s="2">
        <v>45966</v>
      </c>
      <c r="V503" s="45">
        <f>IF(OR(ISNUMBER(SEARCH("unable to locate acct",G503)),ISNUMBER(SEARCH("unknown",G503)),ISNUMBER(SEARCH("inactive",G503)),H503=""),0,1)</f>
        <v>1</v>
      </c>
    </row>
    <row r="504" spans="1:22" hidden="1">
      <c r="A504" s="2">
        <v>45903</v>
      </c>
      <c r="B504" s="1" t="s">
        <v>1395</v>
      </c>
      <c r="C504" s="1" t="s">
        <v>1396</v>
      </c>
      <c r="D504" s="1" t="s">
        <v>1397</v>
      </c>
      <c r="E504" s="1">
        <v>86332</v>
      </c>
      <c r="F504" s="1" t="s">
        <v>25</v>
      </c>
      <c r="G504" s="1" t="s">
        <v>1187</v>
      </c>
      <c r="H504" s="21" t="s">
        <v>5613</v>
      </c>
      <c r="I504" s="5" t="s">
        <v>237</v>
      </c>
      <c r="J504" s="5" t="s">
        <v>31</v>
      </c>
      <c r="K504" s="5" t="s">
        <v>31</v>
      </c>
      <c r="L504" s="5" t="s">
        <v>381</v>
      </c>
      <c r="M504" s="5" t="s">
        <v>31</v>
      </c>
      <c r="N504" s="5" t="s">
        <v>31</v>
      </c>
      <c r="O504" s="5" t="s">
        <v>32</v>
      </c>
      <c r="P504" s="5" t="s">
        <v>33</v>
      </c>
      <c r="Q504" s="2">
        <v>45966</v>
      </c>
      <c r="V504" s="45">
        <f>IF(OR(ISNUMBER(SEARCH("unable to locate acct",G504)),ISNUMBER(SEARCH("unknown",G504)),ISNUMBER(SEARCH("inactive",G504)),H504=""),0,1)</f>
        <v>1</v>
      </c>
    </row>
    <row r="505" spans="1:22" hidden="1">
      <c r="A505" s="2">
        <v>45903</v>
      </c>
      <c r="B505" s="1" t="s">
        <v>1398</v>
      </c>
      <c r="C505" s="1" t="s">
        <v>1399</v>
      </c>
      <c r="D505" s="1" t="s">
        <v>163</v>
      </c>
      <c r="E505" s="1">
        <v>85395</v>
      </c>
      <c r="F505" s="1" t="s">
        <v>25</v>
      </c>
      <c r="G505" s="1" t="s">
        <v>1187</v>
      </c>
      <c r="H505" s="21" t="s">
        <v>5614</v>
      </c>
      <c r="I505" s="5" t="s">
        <v>40</v>
      </c>
      <c r="J505" s="5" t="s">
        <v>31</v>
      </c>
      <c r="K505" s="5" t="s">
        <v>31</v>
      </c>
      <c r="L505" s="5" t="s">
        <v>32</v>
      </c>
      <c r="M505" s="5" t="s">
        <v>31</v>
      </c>
      <c r="N505" s="5" t="s">
        <v>31</v>
      </c>
      <c r="O505" s="5" t="s">
        <v>32</v>
      </c>
      <c r="P505" s="5" t="s">
        <v>33</v>
      </c>
      <c r="Q505" s="2">
        <v>45966</v>
      </c>
      <c r="V505" s="45">
        <f>IF(OR(ISNUMBER(SEARCH("unable to locate acct",G505)),ISNUMBER(SEARCH("unknown",G505)),ISNUMBER(SEARCH("inactive",G505)),H505=""),0,1)</f>
        <v>1</v>
      </c>
    </row>
    <row r="506" spans="1:22" hidden="1">
      <c r="A506" s="2">
        <v>45903</v>
      </c>
      <c r="B506" s="1" t="s">
        <v>1400</v>
      </c>
      <c r="C506" s="1" t="s">
        <v>751</v>
      </c>
      <c r="D506" s="1" t="s">
        <v>514</v>
      </c>
      <c r="E506" s="1">
        <v>85392</v>
      </c>
      <c r="F506" s="1" t="s">
        <v>1401</v>
      </c>
      <c r="G506" s="1" t="s">
        <v>1187</v>
      </c>
      <c r="H506" s="4" t="s">
        <v>21</v>
      </c>
      <c r="V506" s="45">
        <f>IF(OR(ISNUMBER(SEARCH("unable to locate acct",G506)),ISNUMBER(SEARCH("unknown",G506)),ISNUMBER(SEARCH("inactive",G506)),H506=""),0,1)</f>
        <v>1</v>
      </c>
    </row>
    <row r="507" spans="1:22" hidden="1">
      <c r="A507" s="2">
        <v>45903</v>
      </c>
      <c r="B507" s="1" t="s">
        <v>1402</v>
      </c>
      <c r="C507" s="1" t="s">
        <v>1403</v>
      </c>
      <c r="D507" s="1" t="s">
        <v>626</v>
      </c>
      <c r="E507" s="1">
        <v>85281</v>
      </c>
      <c r="F507" s="1" t="s">
        <v>1404</v>
      </c>
      <c r="G507" s="1" t="s">
        <v>1187</v>
      </c>
      <c r="H507" s="4" t="s">
        <v>21</v>
      </c>
      <c r="V507" s="45">
        <f>IF(OR(ISNUMBER(SEARCH("unable to locate acct",G507)),ISNUMBER(SEARCH("unknown",G507)),ISNUMBER(SEARCH("inactive",G507)),H507=""),0,1)</f>
        <v>1</v>
      </c>
    </row>
    <row r="508" spans="1:22" hidden="1">
      <c r="A508" s="2">
        <v>45903</v>
      </c>
      <c r="B508" s="1" t="s">
        <v>1405</v>
      </c>
      <c r="C508" s="1" t="s">
        <v>1406</v>
      </c>
      <c r="D508" s="1" t="s">
        <v>163</v>
      </c>
      <c r="E508" s="1">
        <v>85395</v>
      </c>
      <c r="F508" s="1" t="s">
        <v>1407</v>
      </c>
      <c r="G508" s="1" t="s">
        <v>1187</v>
      </c>
      <c r="H508" s="21" t="s">
        <v>5615</v>
      </c>
      <c r="I508" s="5" t="s">
        <v>190</v>
      </c>
      <c r="J508" s="5" t="s">
        <v>31</v>
      </c>
      <c r="K508" s="5" t="s">
        <v>31</v>
      </c>
      <c r="L508" s="7" t="s">
        <v>1408</v>
      </c>
      <c r="M508" s="5" t="s">
        <v>31</v>
      </c>
      <c r="N508" s="5" t="s">
        <v>31</v>
      </c>
      <c r="O508" s="5" t="s">
        <v>32</v>
      </c>
      <c r="P508" s="2">
        <v>45936</v>
      </c>
      <c r="Q508" s="2">
        <v>45966</v>
      </c>
      <c r="R508" s="1" t="s">
        <v>1287</v>
      </c>
      <c r="V508" s="45">
        <f>IF(OR(ISNUMBER(SEARCH("unable to locate acct",G508)),ISNUMBER(SEARCH("unknown",G508)),ISNUMBER(SEARCH("inactive",G508)),H508=""),0,1)</f>
        <v>1</v>
      </c>
    </row>
    <row r="509" spans="1:22" hidden="1">
      <c r="A509" s="2">
        <v>45903</v>
      </c>
      <c r="B509" s="1" t="s">
        <v>1409</v>
      </c>
      <c r="C509" s="1" t="s">
        <v>303</v>
      </c>
      <c r="D509" s="1" t="s">
        <v>123</v>
      </c>
      <c r="E509" s="1">
        <v>85234</v>
      </c>
      <c r="F509" s="1" t="s">
        <v>304</v>
      </c>
      <c r="G509" s="1" t="s">
        <v>1187</v>
      </c>
      <c r="H509" s="21" t="s">
        <v>5616</v>
      </c>
      <c r="I509" s="5" t="s">
        <v>190</v>
      </c>
      <c r="J509" s="5" t="s">
        <v>31</v>
      </c>
      <c r="K509" s="5" t="s">
        <v>31</v>
      </c>
      <c r="L509" s="7" t="s">
        <v>1410</v>
      </c>
      <c r="M509" s="5" t="s">
        <v>31</v>
      </c>
      <c r="N509" s="5" t="s">
        <v>31</v>
      </c>
      <c r="O509" s="5" t="s">
        <v>32</v>
      </c>
      <c r="P509" s="2">
        <v>45936</v>
      </c>
      <c r="Q509" s="2">
        <v>45966</v>
      </c>
      <c r="R509" s="1" t="s">
        <v>1287</v>
      </c>
      <c r="V509" s="45">
        <f>IF(OR(ISNUMBER(SEARCH("unable to locate acct",G509)),ISNUMBER(SEARCH("unknown",G509)),ISNUMBER(SEARCH("inactive",G509)),H509=""),0,1)</f>
        <v>1</v>
      </c>
    </row>
    <row r="510" spans="1:22" hidden="1">
      <c r="A510" s="2">
        <v>45903</v>
      </c>
      <c r="B510" s="1" t="s">
        <v>1411</v>
      </c>
      <c r="C510" s="1" t="s">
        <v>1412</v>
      </c>
      <c r="D510" s="1" t="s">
        <v>801</v>
      </c>
      <c r="E510" s="1">
        <v>86304</v>
      </c>
      <c r="F510" s="1" t="s">
        <v>25</v>
      </c>
      <c r="G510" s="1" t="s">
        <v>1187</v>
      </c>
      <c r="H510" s="21" t="s">
        <v>5617</v>
      </c>
      <c r="I510" s="5" t="s">
        <v>67</v>
      </c>
      <c r="J510" s="5" t="s">
        <v>31</v>
      </c>
      <c r="K510" s="5" t="s">
        <v>31</v>
      </c>
      <c r="L510" s="5" t="s">
        <v>32</v>
      </c>
      <c r="M510" s="5" t="s">
        <v>31</v>
      </c>
      <c r="N510" s="5" t="s">
        <v>31</v>
      </c>
      <c r="O510" s="5" t="s">
        <v>32</v>
      </c>
      <c r="P510" s="5" t="s">
        <v>33</v>
      </c>
      <c r="Q510" s="2">
        <v>45966</v>
      </c>
      <c r="V510" s="45">
        <f>IF(OR(ISNUMBER(SEARCH("unable to locate acct",G510)),ISNUMBER(SEARCH("unknown",G510)),ISNUMBER(SEARCH("inactive",G510)),H510=""),0,1)</f>
        <v>1</v>
      </c>
    </row>
    <row r="511" spans="1:22" hidden="1">
      <c r="A511" s="2">
        <v>45903</v>
      </c>
      <c r="B511" s="1" t="s">
        <v>1413</v>
      </c>
      <c r="C511" s="1" t="s">
        <v>1414</v>
      </c>
      <c r="D511" s="1" t="s">
        <v>163</v>
      </c>
      <c r="E511" s="1">
        <v>85395</v>
      </c>
      <c r="F511" s="1" t="s">
        <v>25</v>
      </c>
      <c r="G511" s="1" t="s">
        <v>1187</v>
      </c>
      <c r="H511" s="21" t="s">
        <v>5618</v>
      </c>
      <c r="I511" s="5" t="s">
        <v>67</v>
      </c>
      <c r="J511" s="5" t="s">
        <v>31</v>
      </c>
      <c r="K511" s="5" t="s">
        <v>31</v>
      </c>
      <c r="L511" s="5" t="s">
        <v>32</v>
      </c>
      <c r="M511" s="5" t="s">
        <v>31</v>
      </c>
      <c r="N511" s="5" t="s">
        <v>31</v>
      </c>
      <c r="O511" s="5" t="s">
        <v>32</v>
      </c>
      <c r="P511" s="5" t="s">
        <v>33</v>
      </c>
      <c r="Q511" s="2">
        <v>45966</v>
      </c>
      <c r="V511" s="45">
        <f>IF(OR(ISNUMBER(SEARCH("unable to locate acct",G511)),ISNUMBER(SEARCH("unknown",G511)),ISNUMBER(SEARCH("inactive",G511)),H511=""),0,1)</f>
        <v>1</v>
      </c>
    </row>
    <row r="512" spans="1:22" hidden="1">
      <c r="A512" s="2">
        <v>45903</v>
      </c>
      <c r="B512" s="1" t="s">
        <v>1415</v>
      </c>
      <c r="C512" s="1" t="s">
        <v>1321</v>
      </c>
      <c r="D512" s="1" t="s">
        <v>650</v>
      </c>
      <c r="E512" s="1">
        <v>85350</v>
      </c>
      <c r="F512" s="1" t="s">
        <v>25</v>
      </c>
      <c r="G512" s="1" t="s">
        <v>1187</v>
      </c>
      <c r="H512" s="21" t="s">
        <v>5619</v>
      </c>
      <c r="I512" s="5" t="s">
        <v>40</v>
      </c>
      <c r="J512" s="5" t="s">
        <v>32</v>
      </c>
      <c r="K512" s="5" t="s">
        <v>31</v>
      </c>
      <c r="L512" s="5" t="s">
        <v>32</v>
      </c>
      <c r="M512" s="5" t="s">
        <v>31</v>
      </c>
      <c r="N512" s="5" t="s">
        <v>31</v>
      </c>
      <c r="O512" s="5" t="s">
        <v>32</v>
      </c>
      <c r="P512" s="5" t="s">
        <v>33</v>
      </c>
      <c r="Q512" s="2">
        <v>45966</v>
      </c>
      <c r="V512" s="45">
        <f>IF(OR(ISNUMBER(SEARCH("unable to locate acct",G512)),ISNUMBER(SEARCH("unknown",G512)),ISNUMBER(SEARCH("inactive",G512)),H512=""),0,1)</f>
        <v>1</v>
      </c>
    </row>
    <row r="513" spans="1:22" hidden="1">
      <c r="A513" s="2">
        <v>45903</v>
      </c>
      <c r="B513" s="1" t="s">
        <v>1416</v>
      </c>
      <c r="C513" s="1" t="s">
        <v>1417</v>
      </c>
      <c r="D513" s="1" t="s">
        <v>18</v>
      </c>
      <c r="E513" s="1">
        <v>85308</v>
      </c>
      <c r="F513" s="1" t="s">
        <v>304</v>
      </c>
      <c r="G513" s="1" t="s">
        <v>1187</v>
      </c>
      <c r="H513" s="21" t="s">
        <v>5620</v>
      </c>
      <c r="I513" s="5" t="s">
        <v>30</v>
      </c>
      <c r="J513" s="5" t="s">
        <v>31</v>
      </c>
      <c r="K513" s="5" t="s">
        <v>31</v>
      </c>
      <c r="L513" s="7" t="s">
        <v>1418</v>
      </c>
      <c r="M513" s="5" t="s">
        <v>31</v>
      </c>
      <c r="N513" s="5" t="s">
        <v>31</v>
      </c>
      <c r="O513" s="5" t="s">
        <v>32</v>
      </c>
      <c r="P513" s="17"/>
      <c r="Q513" s="2">
        <v>45966</v>
      </c>
      <c r="V513" s="45">
        <f>IF(OR(ISNUMBER(SEARCH("unable to locate acct",G513)),ISNUMBER(SEARCH("unknown",G513)),ISNUMBER(SEARCH("inactive",G513)),H513=""),0,1)</f>
        <v>1</v>
      </c>
    </row>
    <row r="514" spans="1:22" hidden="1">
      <c r="A514" s="2">
        <v>45903</v>
      </c>
      <c r="B514" s="1" t="s">
        <v>360</v>
      </c>
      <c r="C514" s="1" t="s">
        <v>1419</v>
      </c>
      <c r="D514" s="1" t="s">
        <v>163</v>
      </c>
      <c r="E514" s="1">
        <v>85395</v>
      </c>
      <c r="F514" s="1" t="s">
        <v>25</v>
      </c>
      <c r="G514" s="1" t="s">
        <v>1187</v>
      </c>
      <c r="H514" s="21" t="s">
        <v>5621</v>
      </c>
      <c r="I514" s="5" t="s">
        <v>1420</v>
      </c>
      <c r="J514" s="5" t="s">
        <v>31</v>
      </c>
      <c r="K514" s="5" t="s">
        <v>31</v>
      </c>
      <c r="L514" s="5" t="s">
        <v>381</v>
      </c>
      <c r="M514" s="5" t="s">
        <v>31</v>
      </c>
      <c r="N514" s="5" t="s">
        <v>31</v>
      </c>
      <c r="O514" s="5" t="s">
        <v>32</v>
      </c>
      <c r="P514" s="5" t="s">
        <v>33</v>
      </c>
      <c r="Q514" s="2">
        <v>45966</v>
      </c>
      <c r="V514" s="45">
        <f>IF(OR(ISNUMBER(SEARCH("unable to locate acct",G514)),ISNUMBER(SEARCH("unknown",G514)),ISNUMBER(SEARCH("inactive",G514)),H514=""),0,1)</f>
        <v>1</v>
      </c>
    </row>
    <row r="515" spans="1:22" hidden="1">
      <c r="A515" s="2">
        <v>45903</v>
      </c>
      <c r="B515" s="1" t="s">
        <v>1421</v>
      </c>
      <c r="C515" s="1" t="s">
        <v>1422</v>
      </c>
      <c r="D515" s="1" t="s">
        <v>258</v>
      </c>
      <c r="E515" s="1">
        <v>85541</v>
      </c>
      <c r="F515" s="1" t="s">
        <v>304</v>
      </c>
      <c r="G515" s="1" t="s">
        <v>1187</v>
      </c>
      <c r="H515" s="21" t="s">
        <v>5622</v>
      </c>
      <c r="I515" s="5" t="s">
        <v>30</v>
      </c>
      <c r="J515" s="5" t="s">
        <v>31</v>
      </c>
      <c r="K515" s="5" t="s">
        <v>31</v>
      </c>
      <c r="L515" s="5" t="s">
        <v>32</v>
      </c>
      <c r="M515" s="5" t="s">
        <v>31</v>
      </c>
      <c r="N515" s="5" t="s">
        <v>31</v>
      </c>
      <c r="O515" s="5" t="s">
        <v>32</v>
      </c>
      <c r="P515" s="5" t="s">
        <v>33</v>
      </c>
      <c r="Q515" s="2">
        <v>45966</v>
      </c>
      <c r="V515" s="45">
        <f>IF(OR(ISNUMBER(SEARCH("unable to locate acct",G515)),ISNUMBER(SEARCH("unknown",G515)),ISNUMBER(SEARCH("inactive",G515)),H515=""),0,1)</f>
        <v>1</v>
      </c>
    </row>
    <row r="516" spans="1:22" hidden="1">
      <c r="A516" s="2">
        <v>45903</v>
      </c>
      <c r="B516" s="1" t="s">
        <v>1423</v>
      </c>
      <c r="C516" s="1" t="s">
        <v>1424</v>
      </c>
      <c r="D516" s="1" t="s">
        <v>163</v>
      </c>
      <c r="E516" s="1">
        <v>85395</v>
      </c>
      <c r="F516" s="1" t="s">
        <v>1097</v>
      </c>
      <c r="G516" s="1" t="s">
        <v>1187</v>
      </c>
      <c r="H516" s="4" t="s">
        <v>1425</v>
      </c>
      <c r="I516" s="5" t="s">
        <v>237</v>
      </c>
      <c r="J516" s="5" t="s">
        <v>31</v>
      </c>
      <c r="K516" s="5" t="s">
        <v>31</v>
      </c>
      <c r="L516" s="5" t="s">
        <v>381</v>
      </c>
      <c r="M516" s="5" t="s">
        <v>31</v>
      </c>
      <c r="N516" s="5" t="s">
        <v>31</v>
      </c>
      <c r="O516" s="5" t="s">
        <v>32</v>
      </c>
      <c r="P516" s="5" t="s">
        <v>33</v>
      </c>
      <c r="Q516" s="2">
        <v>45966</v>
      </c>
      <c r="V516" s="45">
        <f>IF(OR(ISNUMBER(SEARCH("unable to locate acct",G516)),ISNUMBER(SEARCH("unknown",G516)),ISNUMBER(SEARCH("inactive",G516)),H516=""),0,1)</f>
        <v>1</v>
      </c>
    </row>
    <row r="517" spans="1:22" hidden="1">
      <c r="A517" s="2">
        <v>45903</v>
      </c>
      <c r="B517" s="1" t="s">
        <v>1426</v>
      </c>
      <c r="C517" s="1" t="s">
        <v>1427</v>
      </c>
      <c r="D517" s="1" t="s">
        <v>514</v>
      </c>
      <c r="E517" s="1">
        <v>85392</v>
      </c>
      <c r="F517" s="1" t="s">
        <v>25</v>
      </c>
      <c r="G517" s="1" t="s">
        <v>1187</v>
      </c>
      <c r="H517" s="4" t="s">
        <v>1428</v>
      </c>
      <c r="I517" s="5" t="s">
        <v>40</v>
      </c>
      <c r="J517" s="5" t="s">
        <v>31</v>
      </c>
      <c r="K517" s="5" t="s">
        <v>31</v>
      </c>
      <c r="L517" s="5" t="s">
        <v>1429</v>
      </c>
      <c r="M517" s="5" t="s">
        <v>31</v>
      </c>
      <c r="N517" s="5" t="s">
        <v>31</v>
      </c>
      <c r="O517" s="5" t="s">
        <v>32</v>
      </c>
      <c r="P517" s="5" t="s">
        <v>33</v>
      </c>
      <c r="Q517" s="2">
        <v>45966</v>
      </c>
      <c r="V517" s="45">
        <f>IF(OR(ISNUMBER(SEARCH("unable to locate acct",G517)),ISNUMBER(SEARCH("unknown",G517)),ISNUMBER(SEARCH("inactive",G517)),H517=""),0,1)</f>
        <v>1</v>
      </c>
    </row>
    <row r="518" spans="1:22" hidden="1">
      <c r="A518" s="2">
        <v>45903</v>
      </c>
      <c r="B518" s="1" t="s">
        <v>1430</v>
      </c>
      <c r="C518" s="1" t="s">
        <v>1431</v>
      </c>
      <c r="D518" s="1" t="s">
        <v>57</v>
      </c>
      <c r="E518" s="1">
        <v>85032</v>
      </c>
      <c r="F518" s="1" t="s">
        <v>304</v>
      </c>
      <c r="G518" s="1" t="s">
        <v>1187</v>
      </c>
      <c r="H518" s="4" t="s">
        <v>1432</v>
      </c>
      <c r="I518" s="5" t="s">
        <v>244</v>
      </c>
      <c r="J518" s="5" t="s">
        <v>31</v>
      </c>
      <c r="K518" s="5" t="s">
        <v>31</v>
      </c>
      <c r="L518" s="5" t="s">
        <v>1429</v>
      </c>
      <c r="M518" s="5" t="s">
        <v>31</v>
      </c>
      <c r="N518" s="5" t="s">
        <v>31</v>
      </c>
      <c r="O518" s="5" t="s">
        <v>32</v>
      </c>
      <c r="P518" s="5" t="s">
        <v>33</v>
      </c>
      <c r="Q518" s="2">
        <v>45966</v>
      </c>
      <c r="V518" s="45">
        <f>IF(OR(ISNUMBER(SEARCH("unable to locate acct",G518)),ISNUMBER(SEARCH("unknown",G518)),ISNUMBER(SEARCH("inactive",G518)),H518=""),0,1)</f>
        <v>1</v>
      </c>
    </row>
    <row r="519" spans="1:22" hidden="1">
      <c r="A519" s="2">
        <v>45903</v>
      </c>
      <c r="B519" s="1" t="s">
        <v>1433</v>
      </c>
      <c r="C519" s="1" t="s">
        <v>1434</v>
      </c>
      <c r="D519" s="1" t="s">
        <v>196</v>
      </c>
      <c r="E519" s="1">
        <v>85383</v>
      </c>
      <c r="F519" s="1" t="s">
        <v>25</v>
      </c>
      <c r="G519" s="1" t="s">
        <v>1187</v>
      </c>
      <c r="H519" s="4" t="s">
        <v>21</v>
      </c>
      <c r="V519" s="45">
        <f>IF(OR(ISNUMBER(SEARCH("unable to locate acct",G519)),ISNUMBER(SEARCH("unknown",G519)),ISNUMBER(SEARCH("inactive",G519)),H519=""),0,1)</f>
        <v>1</v>
      </c>
    </row>
    <row r="520" spans="1:22" hidden="1">
      <c r="A520" s="2">
        <v>45903</v>
      </c>
      <c r="B520" s="1" t="s">
        <v>1435</v>
      </c>
      <c r="C520" s="1" t="s">
        <v>327</v>
      </c>
      <c r="D520" s="1" t="s">
        <v>106</v>
      </c>
      <c r="E520" s="1">
        <v>85379</v>
      </c>
      <c r="F520" s="1" t="s">
        <v>304</v>
      </c>
      <c r="G520" s="1" t="s">
        <v>1436</v>
      </c>
      <c r="H520" s="21" t="s">
        <v>5623</v>
      </c>
      <c r="I520" s="5" t="s">
        <v>120</v>
      </c>
      <c r="J520" s="5" t="s">
        <v>31</v>
      </c>
      <c r="K520" s="5" t="s">
        <v>31</v>
      </c>
      <c r="L520" s="5" t="s">
        <v>32</v>
      </c>
      <c r="M520" s="5" t="s">
        <v>31</v>
      </c>
      <c r="N520" s="5" t="s">
        <v>31</v>
      </c>
      <c r="O520" s="5" t="s">
        <v>32</v>
      </c>
      <c r="P520" s="5" t="s">
        <v>33</v>
      </c>
      <c r="Q520" s="2">
        <v>45966</v>
      </c>
      <c r="V520" s="45">
        <f>IF(OR(ISNUMBER(SEARCH("unable to locate acct",G520)),ISNUMBER(SEARCH("unknown",G520)),ISNUMBER(SEARCH("inactive",G520)),H520=""),0,1)</f>
        <v>1</v>
      </c>
    </row>
    <row r="521" spans="1:22" hidden="1">
      <c r="A521" s="2">
        <v>45903</v>
      </c>
      <c r="B521" s="1" t="s">
        <v>1437</v>
      </c>
      <c r="C521" s="1" t="s">
        <v>1438</v>
      </c>
      <c r="D521" s="1" t="s">
        <v>514</v>
      </c>
      <c r="E521" s="1">
        <v>85392</v>
      </c>
      <c r="F521" s="1" t="s">
        <v>25</v>
      </c>
      <c r="G521" s="1" t="s">
        <v>1436</v>
      </c>
      <c r="H521" s="21" t="s">
        <v>5624</v>
      </c>
      <c r="I521" s="5" t="s">
        <v>30</v>
      </c>
      <c r="J521" s="5" t="s">
        <v>31</v>
      </c>
      <c r="K521" s="5" t="s">
        <v>31</v>
      </c>
      <c r="L521" s="5" t="s">
        <v>32</v>
      </c>
      <c r="M521" s="5" t="s">
        <v>31</v>
      </c>
      <c r="N521" s="5" t="s">
        <v>31</v>
      </c>
      <c r="O521" s="5" t="s">
        <v>32</v>
      </c>
      <c r="P521" s="5" t="s">
        <v>33</v>
      </c>
      <c r="Q521" s="2">
        <v>45966</v>
      </c>
      <c r="V521" s="45">
        <f>IF(OR(ISNUMBER(SEARCH("unable to locate acct",G521)),ISNUMBER(SEARCH("unknown",G521)),ISNUMBER(SEARCH("inactive",G521)),H521=""),0,1)</f>
        <v>1</v>
      </c>
    </row>
    <row r="522" spans="1:22" hidden="1">
      <c r="A522" s="2">
        <v>45903</v>
      </c>
      <c r="B522" s="1" t="s">
        <v>595</v>
      </c>
      <c r="C522" s="1" t="s">
        <v>412</v>
      </c>
      <c r="D522" s="1" t="s">
        <v>18</v>
      </c>
      <c r="E522" s="1">
        <v>85308</v>
      </c>
      <c r="F522" s="1" t="s">
        <v>304</v>
      </c>
      <c r="G522" s="1" t="s">
        <v>1436</v>
      </c>
      <c r="H522" s="21" t="s">
        <v>5090</v>
      </c>
      <c r="I522" s="5" t="s">
        <v>67</v>
      </c>
      <c r="J522" s="5" t="s">
        <v>31</v>
      </c>
      <c r="K522" s="5" t="s">
        <v>31</v>
      </c>
      <c r="L522" s="5" t="s">
        <v>32</v>
      </c>
      <c r="M522" s="5" t="s">
        <v>31</v>
      </c>
      <c r="N522" s="5" t="s">
        <v>31</v>
      </c>
      <c r="O522" s="5" t="s">
        <v>32</v>
      </c>
      <c r="P522" s="5" t="s">
        <v>33</v>
      </c>
      <c r="Q522" s="2">
        <v>45966</v>
      </c>
      <c r="V522" s="45">
        <f>IF(OR(ISNUMBER(SEARCH("unable to locate acct",G522)),ISNUMBER(SEARCH("unknown",G522)),ISNUMBER(SEARCH("inactive",G522)),H522=""),0,1)</f>
        <v>1</v>
      </c>
    </row>
    <row r="523" spans="1:22" hidden="1">
      <c r="A523" s="2">
        <v>45903</v>
      </c>
      <c r="B523" s="1" t="s">
        <v>1439</v>
      </c>
      <c r="C523" s="1" t="s">
        <v>1440</v>
      </c>
      <c r="D523" s="1" t="s">
        <v>57</v>
      </c>
      <c r="E523" s="1">
        <v>85345</v>
      </c>
      <c r="F523" s="1" t="s">
        <v>25</v>
      </c>
      <c r="G523" s="1" t="s">
        <v>1436</v>
      </c>
      <c r="H523" s="21" t="s">
        <v>5625</v>
      </c>
      <c r="I523" s="5" t="s">
        <v>67</v>
      </c>
      <c r="J523" s="5" t="s">
        <v>31</v>
      </c>
      <c r="K523" s="5" t="s">
        <v>31</v>
      </c>
      <c r="L523" s="5" t="s">
        <v>1441</v>
      </c>
      <c r="M523" s="5" t="s">
        <v>31</v>
      </c>
      <c r="N523" s="5" t="s">
        <v>31</v>
      </c>
      <c r="O523" s="5" t="s">
        <v>32</v>
      </c>
      <c r="P523" s="5" t="s">
        <v>33</v>
      </c>
      <c r="Q523" s="2">
        <v>45966</v>
      </c>
      <c r="V523" s="45">
        <f>IF(OR(ISNUMBER(SEARCH("unable to locate acct",G523)),ISNUMBER(SEARCH("unknown",G523)),ISNUMBER(SEARCH("inactive",G523)),H523=""),0,1)</f>
        <v>1</v>
      </c>
    </row>
    <row r="524" spans="1:22" hidden="1">
      <c r="A524" s="2">
        <v>45903</v>
      </c>
      <c r="B524" s="1" t="s">
        <v>1442</v>
      </c>
      <c r="C524" s="1" t="s">
        <v>111</v>
      </c>
      <c r="D524" s="1" t="s">
        <v>163</v>
      </c>
      <c r="E524" s="1">
        <v>85338</v>
      </c>
      <c r="F524" s="1" t="s">
        <v>1443</v>
      </c>
      <c r="G524" s="1" t="s">
        <v>1436</v>
      </c>
      <c r="H524" s="21" t="s">
        <v>5626</v>
      </c>
      <c r="I524" s="5" t="s">
        <v>30</v>
      </c>
      <c r="J524" s="5" t="s">
        <v>31</v>
      </c>
      <c r="K524" s="5" t="s">
        <v>31</v>
      </c>
      <c r="L524" s="5" t="s">
        <v>32</v>
      </c>
      <c r="M524" s="5" t="s">
        <v>31</v>
      </c>
      <c r="N524" s="5" t="s">
        <v>31</v>
      </c>
      <c r="O524" s="5" t="s">
        <v>32</v>
      </c>
      <c r="P524" s="5" t="s">
        <v>33</v>
      </c>
      <c r="Q524" s="2">
        <v>45966</v>
      </c>
      <c r="V524" s="45">
        <f>IF(OR(ISNUMBER(SEARCH("unable to locate acct",G524)),ISNUMBER(SEARCH("unknown",G524)),ISNUMBER(SEARCH("inactive",G524)),H524=""),0,1)</f>
        <v>1</v>
      </c>
    </row>
    <row r="525" spans="1:22" hidden="1">
      <c r="A525" s="2">
        <v>45903</v>
      </c>
      <c r="B525" s="1" t="s">
        <v>1033</v>
      </c>
      <c r="C525" s="1" t="s">
        <v>1444</v>
      </c>
      <c r="D525" s="1" t="s">
        <v>847</v>
      </c>
      <c r="E525" s="1">
        <v>85086</v>
      </c>
      <c r="F525" s="1" t="s">
        <v>25</v>
      </c>
      <c r="G525" s="1" t="s">
        <v>1436</v>
      </c>
      <c r="H525" s="4" t="s">
        <v>21</v>
      </c>
      <c r="V525" s="45">
        <f>IF(OR(ISNUMBER(SEARCH("unable to locate acct",G525)),ISNUMBER(SEARCH("unknown",G525)),ISNUMBER(SEARCH("inactive",G525)),H525=""),0,1)</f>
        <v>1</v>
      </c>
    </row>
    <row r="526" spans="1:22" hidden="1">
      <c r="A526" s="2">
        <v>45903</v>
      </c>
      <c r="B526" s="1" t="s">
        <v>1445</v>
      </c>
      <c r="C526" s="1" t="s">
        <v>1359</v>
      </c>
      <c r="D526" s="1" t="s">
        <v>119</v>
      </c>
      <c r="E526" s="1">
        <v>85254</v>
      </c>
      <c r="F526" s="1" t="s">
        <v>1446</v>
      </c>
      <c r="G526" s="1" t="s">
        <v>1436</v>
      </c>
      <c r="H526" s="21" t="s">
        <v>5627</v>
      </c>
      <c r="I526" s="5" t="s">
        <v>40</v>
      </c>
      <c r="J526" s="5" t="s">
        <v>31</v>
      </c>
      <c r="K526" s="5" t="s">
        <v>31</v>
      </c>
      <c r="L526" s="5" t="s">
        <v>32</v>
      </c>
      <c r="M526" s="5" t="s">
        <v>31</v>
      </c>
      <c r="N526" s="5" t="s">
        <v>31</v>
      </c>
      <c r="O526" s="5" t="s">
        <v>32</v>
      </c>
      <c r="P526" s="5" t="s">
        <v>33</v>
      </c>
      <c r="Q526" s="2">
        <v>45966</v>
      </c>
      <c r="V526" s="45">
        <f>IF(OR(ISNUMBER(SEARCH("unable to locate acct",G526)),ISNUMBER(SEARCH("unknown",G526)),ISNUMBER(SEARCH("inactive",G526)),H526=""),0,1)</f>
        <v>1</v>
      </c>
    </row>
    <row r="527" spans="1:22" hidden="1">
      <c r="A527" s="2">
        <v>45903</v>
      </c>
      <c r="B527" s="1" t="s">
        <v>1447</v>
      </c>
      <c r="C527" s="1" t="s">
        <v>1028</v>
      </c>
      <c r="D527" s="1" t="s">
        <v>801</v>
      </c>
      <c r="E527" s="1">
        <v>86305</v>
      </c>
      <c r="F527" s="1" t="s">
        <v>25</v>
      </c>
      <c r="G527" s="1" t="s">
        <v>1436</v>
      </c>
      <c r="H527" s="21" t="s">
        <v>5628</v>
      </c>
      <c r="I527" s="5" t="s">
        <v>190</v>
      </c>
      <c r="J527" s="5" t="s">
        <v>31</v>
      </c>
      <c r="K527" s="5" t="s">
        <v>31</v>
      </c>
      <c r="L527" s="5" t="s">
        <v>1448</v>
      </c>
      <c r="M527" s="5" t="s">
        <v>31</v>
      </c>
      <c r="N527" s="5" t="s">
        <v>31</v>
      </c>
      <c r="O527" s="5" t="s">
        <v>32</v>
      </c>
      <c r="P527" s="5" t="s">
        <v>33</v>
      </c>
      <c r="Q527" s="2">
        <v>45966</v>
      </c>
      <c r="V527" s="45">
        <f>IF(OR(ISNUMBER(SEARCH("unable to locate acct",G527)),ISNUMBER(SEARCH("unknown",G527)),ISNUMBER(SEARCH("inactive",G527)),H527=""),0,1)</f>
        <v>1</v>
      </c>
    </row>
    <row r="528" spans="1:22" hidden="1">
      <c r="A528" s="2">
        <v>45903</v>
      </c>
      <c r="B528" s="1" t="s">
        <v>979</v>
      </c>
      <c r="C528" s="1" t="s">
        <v>615</v>
      </c>
      <c r="D528" s="1" t="s">
        <v>196</v>
      </c>
      <c r="E528" s="1">
        <v>85345</v>
      </c>
      <c r="F528" s="1" t="s">
        <v>304</v>
      </c>
      <c r="G528" s="1" t="s">
        <v>1436</v>
      </c>
      <c r="H528" s="4" t="s">
        <v>21</v>
      </c>
      <c r="V528" s="45">
        <f>IF(OR(ISNUMBER(SEARCH("unable to locate acct",G528)),ISNUMBER(SEARCH("unknown",G528)),ISNUMBER(SEARCH("inactive",G528)),H528=""),0,1)</f>
        <v>1</v>
      </c>
    </row>
    <row r="529" spans="1:22" hidden="1">
      <c r="A529" s="2">
        <v>45903</v>
      </c>
      <c r="B529" s="1" t="s">
        <v>1449</v>
      </c>
      <c r="C529" s="1" t="s">
        <v>1450</v>
      </c>
      <c r="D529" s="1" t="s">
        <v>1451</v>
      </c>
      <c r="E529" s="1">
        <v>85131</v>
      </c>
      <c r="F529" s="1" t="s">
        <v>25</v>
      </c>
      <c r="G529" s="1" t="s">
        <v>1436</v>
      </c>
      <c r="H529" s="4" t="s">
        <v>21</v>
      </c>
      <c r="V529" s="45">
        <f>IF(OR(ISNUMBER(SEARCH("unable to locate acct",G529)),ISNUMBER(SEARCH("unknown",G529)),ISNUMBER(SEARCH("inactive",G529)),H529=""),0,1)</f>
        <v>1</v>
      </c>
    </row>
    <row r="530" spans="1:22" hidden="1">
      <c r="A530" s="2">
        <v>45903</v>
      </c>
      <c r="B530" s="1" t="s">
        <v>1452</v>
      </c>
      <c r="C530" s="1" t="s">
        <v>1453</v>
      </c>
      <c r="D530" s="1" t="s">
        <v>801</v>
      </c>
      <c r="E530" s="1">
        <v>86303</v>
      </c>
      <c r="F530" s="1" t="s">
        <v>304</v>
      </c>
      <c r="G530" s="1" t="s">
        <v>1436</v>
      </c>
      <c r="H530" s="21" t="s">
        <v>5629</v>
      </c>
      <c r="I530" s="5" t="s">
        <v>67</v>
      </c>
      <c r="J530" s="5" t="s">
        <v>31</v>
      </c>
      <c r="K530" s="5" t="s">
        <v>31</v>
      </c>
      <c r="L530" s="5" t="s">
        <v>32</v>
      </c>
      <c r="M530" s="5" t="s">
        <v>31</v>
      </c>
      <c r="N530" s="5" t="s">
        <v>31</v>
      </c>
      <c r="O530" s="5" t="s">
        <v>32</v>
      </c>
      <c r="P530" s="5" t="s">
        <v>33</v>
      </c>
      <c r="Q530" s="2">
        <v>45966</v>
      </c>
      <c r="V530" s="45">
        <f>IF(OR(ISNUMBER(SEARCH("unable to locate acct",G530)),ISNUMBER(SEARCH("unknown",G530)),ISNUMBER(SEARCH("inactive",G530)),H530=""),0,1)</f>
        <v>1</v>
      </c>
    </row>
    <row r="531" spans="1:22" hidden="1">
      <c r="A531" s="2">
        <v>45903</v>
      </c>
      <c r="B531" s="1" t="s">
        <v>1454</v>
      </c>
      <c r="C531" s="1" t="s">
        <v>111</v>
      </c>
      <c r="D531" s="1" t="s">
        <v>57</v>
      </c>
      <c r="E531" s="1">
        <v>85020</v>
      </c>
      <c r="F531" s="1" t="s">
        <v>25</v>
      </c>
      <c r="G531" s="1" t="s">
        <v>1436</v>
      </c>
      <c r="H531" s="21" t="s">
        <v>4958</v>
      </c>
      <c r="I531" s="5" t="s">
        <v>190</v>
      </c>
      <c r="J531" s="5" t="s">
        <v>31</v>
      </c>
      <c r="K531" s="5" t="s">
        <v>31</v>
      </c>
      <c r="L531" s="7" t="s">
        <v>1455</v>
      </c>
      <c r="M531" s="5" t="s">
        <v>31</v>
      </c>
      <c r="N531" s="5" t="s">
        <v>31</v>
      </c>
      <c r="O531" s="5" t="s">
        <v>32</v>
      </c>
      <c r="P531" s="2">
        <v>45940</v>
      </c>
      <c r="Q531" s="2">
        <v>45966</v>
      </c>
      <c r="R531" s="1" t="s">
        <v>1456</v>
      </c>
      <c r="V531" s="45">
        <f>IF(OR(ISNUMBER(SEARCH("unable to locate acct",G531)),ISNUMBER(SEARCH("unknown",G531)),ISNUMBER(SEARCH("inactive",G531)),H531=""),0,1)</f>
        <v>1</v>
      </c>
    </row>
    <row r="532" spans="1:22" hidden="1">
      <c r="A532" s="2">
        <v>45903</v>
      </c>
      <c r="B532" s="1" t="s">
        <v>1457</v>
      </c>
      <c r="C532" s="1" t="s">
        <v>1458</v>
      </c>
      <c r="D532" s="1" t="s">
        <v>57</v>
      </c>
      <c r="E532" s="1">
        <v>85029</v>
      </c>
      <c r="F532" s="1" t="s">
        <v>1459</v>
      </c>
      <c r="G532" s="1" t="s">
        <v>1436</v>
      </c>
      <c r="H532" s="21" t="s">
        <v>5630</v>
      </c>
      <c r="I532" s="5" t="s">
        <v>410</v>
      </c>
      <c r="J532" s="5" t="s">
        <v>31</v>
      </c>
      <c r="K532" s="5" t="s">
        <v>31</v>
      </c>
      <c r="L532" s="5" t="s">
        <v>381</v>
      </c>
      <c r="M532" s="5" t="s">
        <v>31</v>
      </c>
      <c r="N532" s="5" t="s">
        <v>31</v>
      </c>
      <c r="O532" s="5" t="s">
        <v>32</v>
      </c>
      <c r="P532" s="5" t="s">
        <v>33</v>
      </c>
      <c r="Q532" s="2">
        <v>45966</v>
      </c>
      <c r="V532" s="45">
        <f>IF(OR(ISNUMBER(SEARCH("unable to locate acct",G532)),ISNUMBER(SEARCH("unknown",G532)),ISNUMBER(SEARCH("inactive",G532)),H532=""),0,1)</f>
        <v>1</v>
      </c>
    </row>
    <row r="533" spans="1:22" hidden="1">
      <c r="A533" s="2">
        <v>45903</v>
      </c>
      <c r="B533" s="1" t="s">
        <v>1460</v>
      </c>
      <c r="C533" s="1" t="s">
        <v>1118</v>
      </c>
      <c r="D533" s="1" t="s">
        <v>57</v>
      </c>
      <c r="E533" s="1">
        <v>85020</v>
      </c>
      <c r="F533" s="1" t="s">
        <v>25</v>
      </c>
      <c r="G533" s="1" t="s">
        <v>1436</v>
      </c>
      <c r="H533" s="4" t="s">
        <v>84</v>
      </c>
      <c r="V533" s="45">
        <f>IF(OR(ISNUMBER(SEARCH("unable to locate acct",G533)),ISNUMBER(SEARCH("unknown",G533)),ISNUMBER(SEARCH("inactive",G533)),H533=""),0,1)</f>
        <v>1</v>
      </c>
    </row>
    <row r="534" spans="1:22" hidden="1">
      <c r="A534" s="2">
        <v>45903</v>
      </c>
      <c r="B534" s="1" t="s">
        <v>1461</v>
      </c>
      <c r="C534" s="1" t="s">
        <v>1462</v>
      </c>
      <c r="D534" s="1" t="s">
        <v>57</v>
      </c>
      <c r="E534" s="1">
        <v>85014</v>
      </c>
      <c r="F534" s="1" t="s">
        <v>25</v>
      </c>
      <c r="G534" s="1" t="s">
        <v>1436</v>
      </c>
      <c r="H534" s="21" t="s">
        <v>5135</v>
      </c>
      <c r="I534" s="5" t="s">
        <v>532</v>
      </c>
      <c r="J534" s="5" t="s">
        <v>31</v>
      </c>
      <c r="K534" s="5" t="s">
        <v>31</v>
      </c>
      <c r="L534" s="5" t="s">
        <v>381</v>
      </c>
      <c r="M534" s="5" t="s">
        <v>31</v>
      </c>
      <c r="N534" s="5" t="s">
        <v>31</v>
      </c>
      <c r="O534" s="5" t="s">
        <v>32</v>
      </c>
      <c r="P534" s="5" t="s">
        <v>33</v>
      </c>
      <c r="Q534" s="2">
        <v>45966</v>
      </c>
      <c r="V534" s="45">
        <f>IF(OR(ISNUMBER(SEARCH("unable to locate acct",G534)),ISNUMBER(SEARCH("unknown",G534)),ISNUMBER(SEARCH("inactive",G534)),H534=""),0,1)</f>
        <v>1</v>
      </c>
    </row>
    <row r="535" spans="1:22" hidden="1">
      <c r="A535" s="2">
        <v>45903</v>
      </c>
      <c r="B535" s="1" t="s">
        <v>1463</v>
      </c>
      <c r="C535" s="1" t="s">
        <v>1039</v>
      </c>
      <c r="D535" s="1" t="s">
        <v>57</v>
      </c>
      <c r="E535" s="1">
        <v>85053</v>
      </c>
      <c r="F535" s="1" t="s">
        <v>1464</v>
      </c>
      <c r="G535" s="1" t="s">
        <v>1436</v>
      </c>
      <c r="H535" s="21" t="s">
        <v>5631</v>
      </c>
      <c r="I535" s="5" t="s">
        <v>30</v>
      </c>
      <c r="J535" s="5" t="s">
        <v>31</v>
      </c>
      <c r="K535" s="5" t="s">
        <v>31</v>
      </c>
      <c r="L535" s="5" t="s">
        <v>1465</v>
      </c>
      <c r="M535" s="5" t="s">
        <v>31</v>
      </c>
      <c r="N535" s="5" t="s">
        <v>31</v>
      </c>
      <c r="O535" s="5" t="s">
        <v>32</v>
      </c>
      <c r="P535" s="5" t="s">
        <v>33</v>
      </c>
      <c r="Q535" s="2">
        <v>45966</v>
      </c>
      <c r="V535" s="45">
        <f>IF(OR(ISNUMBER(SEARCH("unable to locate acct",G535)),ISNUMBER(SEARCH("unknown",G535)),ISNUMBER(SEARCH("inactive",G535)),H535=""),0,1)</f>
        <v>1</v>
      </c>
    </row>
    <row r="536" spans="1:22" hidden="1">
      <c r="A536" s="2">
        <v>45903</v>
      </c>
      <c r="B536" s="1" t="s">
        <v>1466</v>
      </c>
      <c r="C536" s="1" t="s">
        <v>1467</v>
      </c>
      <c r="D536" s="1" t="s">
        <v>57</v>
      </c>
      <c r="E536" s="1">
        <v>85024</v>
      </c>
      <c r="F536" s="1" t="s">
        <v>1468</v>
      </c>
      <c r="G536" s="1" t="s">
        <v>1436</v>
      </c>
      <c r="H536" s="4" t="s">
        <v>21</v>
      </c>
      <c r="V536" s="45">
        <f>IF(OR(ISNUMBER(SEARCH("unable to locate acct",G536)),ISNUMBER(SEARCH("unknown",G536)),ISNUMBER(SEARCH("inactive",G536)),H536=""),0,1)</f>
        <v>1</v>
      </c>
    </row>
    <row r="537" spans="1:22" hidden="1">
      <c r="A537" s="2">
        <v>45903</v>
      </c>
      <c r="B537" s="1" t="s">
        <v>1469</v>
      </c>
      <c r="C537" s="1" t="s">
        <v>1470</v>
      </c>
      <c r="D537" s="1" t="s">
        <v>168</v>
      </c>
      <c r="E537" s="1">
        <v>85396</v>
      </c>
      <c r="F537" s="1" t="s">
        <v>25</v>
      </c>
      <c r="G537" s="1" t="s">
        <v>1436</v>
      </c>
      <c r="H537" s="4" t="s">
        <v>21</v>
      </c>
      <c r="V537" s="45">
        <f>IF(OR(ISNUMBER(SEARCH("unable to locate acct",G537)),ISNUMBER(SEARCH("unknown",G537)),ISNUMBER(SEARCH("inactive",G537)),H537=""),0,1)</f>
        <v>1</v>
      </c>
    </row>
    <row r="538" spans="1:22" hidden="1">
      <c r="A538" s="2">
        <v>45903</v>
      </c>
      <c r="B538" s="1" t="s">
        <v>1471</v>
      </c>
      <c r="C538" s="1" t="s">
        <v>1472</v>
      </c>
      <c r="D538" s="1" t="s">
        <v>57</v>
      </c>
      <c r="E538" s="1">
        <v>85085</v>
      </c>
      <c r="F538" s="1" t="s">
        <v>25</v>
      </c>
      <c r="G538" s="1" t="s">
        <v>1436</v>
      </c>
      <c r="H538" s="21" t="s">
        <v>5632</v>
      </c>
      <c r="I538" s="5" t="s">
        <v>410</v>
      </c>
      <c r="J538" s="5" t="s">
        <v>31</v>
      </c>
      <c r="K538" s="5" t="s">
        <v>31</v>
      </c>
      <c r="L538" s="5" t="s">
        <v>381</v>
      </c>
      <c r="M538" s="5" t="s">
        <v>31</v>
      </c>
      <c r="N538" s="5" t="s">
        <v>31</v>
      </c>
      <c r="O538" s="5" t="s">
        <v>32</v>
      </c>
      <c r="P538" s="5" t="s">
        <v>33</v>
      </c>
      <c r="Q538" s="2">
        <v>45966</v>
      </c>
      <c r="V538" s="45">
        <f>IF(OR(ISNUMBER(SEARCH("unable to locate acct",G538)),ISNUMBER(SEARCH("unknown",G538)),ISNUMBER(SEARCH("inactive",G538)),H538=""),0,1)</f>
        <v>1</v>
      </c>
    </row>
    <row r="539" spans="1:22" hidden="1">
      <c r="A539" s="2">
        <v>45903</v>
      </c>
      <c r="B539" s="1" t="s">
        <v>471</v>
      </c>
      <c r="C539" s="1" t="s">
        <v>472</v>
      </c>
      <c r="D539" s="1" t="s">
        <v>57</v>
      </c>
      <c r="E539" s="1">
        <v>85083</v>
      </c>
      <c r="F539" s="1" t="s">
        <v>25</v>
      </c>
      <c r="G539" s="1" t="s">
        <v>1436</v>
      </c>
      <c r="H539" s="21" t="s">
        <v>473</v>
      </c>
      <c r="I539" s="5" t="s">
        <v>40</v>
      </c>
      <c r="J539" s="5" t="s">
        <v>31</v>
      </c>
      <c r="K539" s="5" t="s">
        <v>31</v>
      </c>
      <c r="L539" s="5" t="s">
        <v>474</v>
      </c>
      <c r="M539" s="5" t="s">
        <v>31</v>
      </c>
      <c r="N539" s="5" t="s">
        <v>31</v>
      </c>
      <c r="O539" s="5" t="s">
        <v>32</v>
      </c>
      <c r="P539" s="5" t="s">
        <v>33</v>
      </c>
      <c r="Q539" s="2">
        <v>45966</v>
      </c>
      <c r="V539" s="45">
        <f>IF(OR(ISNUMBER(SEARCH("unable to locate acct",G539)),ISNUMBER(SEARCH("unknown",G539)),ISNUMBER(SEARCH("inactive",G539)),H539=""),0,1)</f>
        <v>1</v>
      </c>
    </row>
    <row r="540" spans="1:22" hidden="1">
      <c r="A540" s="2">
        <v>45903</v>
      </c>
      <c r="B540" s="1" t="s">
        <v>1033</v>
      </c>
      <c r="C540" s="1" t="s">
        <v>1473</v>
      </c>
      <c r="D540" s="1" t="s">
        <v>234</v>
      </c>
      <c r="E540" s="1">
        <v>85340</v>
      </c>
      <c r="F540" s="1" t="s">
        <v>732</v>
      </c>
      <c r="G540" s="1" t="s">
        <v>1436</v>
      </c>
      <c r="H540" s="21" t="s">
        <v>5633</v>
      </c>
      <c r="I540" s="5" t="s">
        <v>30</v>
      </c>
      <c r="J540" s="5" t="s">
        <v>31</v>
      </c>
      <c r="K540" s="5" t="s">
        <v>31</v>
      </c>
      <c r="L540" s="5" t="s">
        <v>32</v>
      </c>
      <c r="M540" s="5" t="s">
        <v>31</v>
      </c>
      <c r="N540" s="5" t="s">
        <v>31</v>
      </c>
      <c r="O540" s="5" t="s">
        <v>32</v>
      </c>
      <c r="P540" s="5" t="s">
        <v>33</v>
      </c>
      <c r="Q540" s="2">
        <v>45966</v>
      </c>
      <c r="V540" s="45">
        <f>IF(OR(ISNUMBER(SEARCH("unable to locate acct",G540)),ISNUMBER(SEARCH("unknown",G540)),ISNUMBER(SEARCH("inactive",G540)),H540=""),0,1)</f>
        <v>1</v>
      </c>
    </row>
    <row r="541" spans="1:22" hidden="1">
      <c r="A541" s="2">
        <v>45903</v>
      </c>
      <c r="B541" s="1" t="s">
        <v>1474</v>
      </c>
      <c r="C541" s="1" t="s">
        <v>129</v>
      </c>
      <c r="D541" s="1" t="s">
        <v>163</v>
      </c>
      <c r="E541" s="1">
        <v>85338</v>
      </c>
      <c r="F541" s="1" t="s">
        <v>25</v>
      </c>
      <c r="G541" s="1" t="s">
        <v>1436</v>
      </c>
      <c r="H541" s="21" t="s">
        <v>5634</v>
      </c>
      <c r="I541" s="5" t="s">
        <v>410</v>
      </c>
      <c r="J541" s="5" t="s">
        <v>31</v>
      </c>
      <c r="K541" s="5" t="s">
        <v>31</v>
      </c>
      <c r="L541" s="5" t="s">
        <v>381</v>
      </c>
      <c r="M541" s="5" t="s">
        <v>32</v>
      </c>
      <c r="N541" s="13">
        <v>102.79</v>
      </c>
      <c r="O541" s="5" t="s">
        <v>32</v>
      </c>
      <c r="P541" s="5" t="s">
        <v>33</v>
      </c>
      <c r="Q541" s="2">
        <v>45966</v>
      </c>
      <c r="V541" s="45">
        <f>IF(OR(ISNUMBER(SEARCH("unable to locate acct",G541)),ISNUMBER(SEARCH("unknown",G541)),ISNUMBER(SEARCH("inactive",G541)),H541=""),0,1)</f>
        <v>1</v>
      </c>
    </row>
    <row r="542" spans="1:22" hidden="1">
      <c r="A542" s="2">
        <v>45903</v>
      </c>
      <c r="B542" s="1" t="s">
        <v>1475</v>
      </c>
      <c r="C542" s="1" t="s">
        <v>1476</v>
      </c>
      <c r="D542" s="1" t="s">
        <v>57</v>
      </c>
      <c r="E542" s="1">
        <v>85028</v>
      </c>
      <c r="F542" s="1" t="s">
        <v>304</v>
      </c>
      <c r="G542" s="1" t="s">
        <v>1436</v>
      </c>
      <c r="H542" s="21" t="s">
        <v>5635</v>
      </c>
      <c r="I542" s="5" t="s">
        <v>410</v>
      </c>
      <c r="J542" s="5" t="s">
        <v>31</v>
      </c>
      <c r="K542" s="5" t="s">
        <v>31</v>
      </c>
      <c r="L542" s="5" t="s">
        <v>381</v>
      </c>
      <c r="M542" s="5" t="s">
        <v>31</v>
      </c>
      <c r="N542" s="5" t="s">
        <v>31</v>
      </c>
      <c r="O542" s="5" t="s">
        <v>32</v>
      </c>
      <c r="P542" s="5" t="s">
        <v>33</v>
      </c>
      <c r="Q542" s="2">
        <v>45966</v>
      </c>
      <c r="V542" s="45">
        <f>IF(OR(ISNUMBER(SEARCH("unable to locate acct",G542)),ISNUMBER(SEARCH("unknown",G542)),ISNUMBER(SEARCH("inactive",G542)),H542=""),0,1)</f>
        <v>1</v>
      </c>
    </row>
    <row r="543" spans="1:22" hidden="1">
      <c r="A543" s="2">
        <v>45903</v>
      </c>
      <c r="B543" s="1" t="s">
        <v>129</v>
      </c>
      <c r="C543" s="1" t="s">
        <v>1477</v>
      </c>
      <c r="D543" s="1" t="s">
        <v>119</v>
      </c>
      <c r="E543" s="1">
        <v>85260</v>
      </c>
      <c r="F543" s="1" t="s">
        <v>25</v>
      </c>
      <c r="G543" s="1" t="s">
        <v>1436</v>
      </c>
      <c r="H543" s="21" t="s">
        <v>5636</v>
      </c>
      <c r="I543" s="5" t="s">
        <v>30</v>
      </c>
      <c r="J543" s="5" t="s">
        <v>31</v>
      </c>
      <c r="K543" s="5" t="s">
        <v>31</v>
      </c>
      <c r="L543" s="5" t="s">
        <v>32</v>
      </c>
      <c r="M543" s="5" t="s">
        <v>31</v>
      </c>
      <c r="N543" s="5" t="s">
        <v>31</v>
      </c>
      <c r="O543" s="5" t="s">
        <v>32</v>
      </c>
      <c r="P543" s="5" t="s">
        <v>33</v>
      </c>
      <c r="Q543" s="2">
        <v>45966</v>
      </c>
      <c r="V543" s="45">
        <f>IF(OR(ISNUMBER(SEARCH("unable to locate acct",G543)),ISNUMBER(SEARCH("unknown",G543)),ISNUMBER(SEARCH("inactive",G543)),H543=""),0,1)</f>
        <v>1</v>
      </c>
    </row>
    <row r="544" spans="1:22" hidden="1">
      <c r="A544" s="2">
        <v>45903</v>
      </c>
      <c r="B544" s="1" t="s">
        <v>1478</v>
      </c>
      <c r="C544" s="1" t="s">
        <v>1479</v>
      </c>
      <c r="D544" s="1" t="s">
        <v>196</v>
      </c>
      <c r="E544" s="1">
        <v>85383</v>
      </c>
      <c r="F544" s="1" t="s">
        <v>304</v>
      </c>
      <c r="G544" s="1" t="s">
        <v>1436</v>
      </c>
      <c r="H544" s="21" t="s">
        <v>5637</v>
      </c>
      <c r="I544" s="5" t="s">
        <v>51</v>
      </c>
      <c r="J544" s="5" t="s">
        <v>31</v>
      </c>
      <c r="K544" s="5" t="s">
        <v>31</v>
      </c>
      <c r="L544" s="7" t="s">
        <v>1480</v>
      </c>
      <c r="M544" s="5" t="s">
        <v>31</v>
      </c>
      <c r="N544" s="5" t="s">
        <v>31</v>
      </c>
      <c r="O544" s="5" t="s">
        <v>32</v>
      </c>
      <c r="P544" s="5" t="s">
        <v>33</v>
      </c>
      <c r="Q544" s="2">
        <v>45966</v>
      </c>
      <c r="R544" s="1" t="s">
        <v>1481</v>
      </c>
      <c r="V544" s="45">
        <f>IF(OR(ISNUMBER(SEARCH("unable to locate acct",G544)),ISNUMBER(SEARCH("unknown",G544)),ISNUMBER(SEARCH("inactive",G544)),H544=""),0,1)</f>
        <v>1</v>
      </c>
    </row>
    <row r="545" spans="1:22" hidden="1">
      <c r="A545" s="2">
        <v>45903</v>
      </c>
      <c r="B545" s="1" t="s">
        <v>1482</v>
      </c>
      <c r="C545" s="1" t="s">
        <v>219</v>
      </c>
      <c r="D545" s="1" t="s">
        <v>57</v>
      </c>
      <c r="E545" s="1">
        <v>85024</v>
      </c>
      <c r="F545" s="1" t="s">
        <v>304</v>
      </c>
      <c r="G545" s="1" t="s">
        <v>1436</v>
      </c>
      <c r="H545" s="4" t="s">
        <v>203</v>
      </c>
      <c r="V545" s="45">
        <f>IF(OR(ISNUMBER(SEARCH("unable to locate acct",G545)),ISNUMBER(SEARCH("unknown",G545)),ISNUMBER(SEARCH("inactive",G545)),H545=""),0,1)</f>
        <v>1</v>
      </c>
    </row>
    <row r="546" spans="1:22" hidden="1">
      <c r="A546" s="2">
        <v>45903</v>
      </c>
      <c r="B546" s="1" t="s">
        <v>994</v>
      </c>
      <c r="C546" s="1" t="s">
        <v>539</v>
      </c>
      <c r="D546" s="1" t="s">
        <v>57</v>
      </c>
      <c r="E546" s="1">
        <v>85029</v>
      </c>
      <c r="F546" s="1" t="s">
        <v>304</v>
      </c>
      <c r="G546" s="1" t="s">
        <v>1436</v>
      </c>
      <c r="H546" s="4" t="s">
        <v>203</v>
      </c>
      <c r="V546" s="45">
        <f>IF(OR(ISNUMBER(SEARCH("unable to locate acct",G546)),ISNUMBER(SEARCH("unknown",G546)),ISNUMBER(SEARCH("inactive",G546)),H546=""),0,1)</f>
        <v>1</v>
      </c>
    </row>
    <row r="547" spans="1:22" hidden="1">
      <c r="A547" s="2">
        <v>45903</v>
      </c>
      <c r="B547" s="1" t="s">
        <v>1483</v>
      </c>
      <c r="C547" s="1" t="s">
        <v>1484</v>
      </c>
      <c r="D547" s="1" t="s">
        <v>196</v>
      </c>
      <c r="E547" s="1">
        <v>85382</v>
      </c>
      <c r="F547" s="1" t="s">
        <v>304</v>
      </c>
      <c r="G547" s="1" t="s">
        <v>1436</v>
      </c>
      <c r="H547" s="21" t="s">
        <v>5638</v>
      </c>
      <c r="I547" s="5" t="s">
        <v>67</v>
      </c>
      <c r="J547" s="5" t="s">
        <v>31</v>
      </c>
      <c r="K547" s="5" t="s">
        <v>31</v>
      </c>
      <c r="L547" s="5" t="s">
        <v>32</v>
      </c>
      <c r="M547" s="5" t="s">
        <v>31</v>
      </c>
      <c r="N547" s="5" t="s">
        <v>31</v>
      </c>
      <c r="O547" s="5" t="s">
        <v>32</v>
      </c>
      <c r="P547" s="5" t="s">
        <v>33</v>
      </c>
      <c r="Q547" s="2">
        <v>45966</v>
      </c>
      <c r="V547" s="45">
        <f>IF(OR(ISNUMBER(SEARCH("unable to locate acct",G547)),ISNUMBER(SEARCH("unknown",G547)),ISNUMBER(SEARCH("inactive",G547)),H547=""),0,1)</f>
        <v>1</v>
      </c>
    </row>
    <row r="548" spans="1:22" hidden="1">
      <c r="A548" s="2">
        <v>45903</v>
      </c>
      <c r="B548" s="1" t="s">
        <v>1485</v>
      </c>
      <c r="C548" s="1" t="s">
        <v>1486</v>
      </c>
      <c r="D548" s="1" t="s">
        <v>196</v>
      </c>
      <c r="E548" s="1">
        <v>85345</v>
      </c>
      <c r="F548" s="1" t="s">
        <v>25</v>
      </c>
      <c r="G548" s="1" t="s">
        <v>1436</v>
      </c>
      <c r="H548" s="21" t="s">
        <v>5639</v>
      </c>
      <c r="I548" s="5" t="s">
        <v>30</v>
      </c>
      <c r="J548" s="5" t="s">
        <v>31</v>
      </c>
      <c r="K548" s="5" t="s">
        <v>31</v>
      </c>
      <c r="L548" s="5" t="s">
        <v>32</v>
      </c>
      <c r="M548" s="5" t="s">
        <v>31</v>
      </c>
      <c r="N548" s="5" t="s">
        <v>31</v>
      </c>
      <c r="O548" s="5" t="s">
        <v>32</v>
      </c>
      <c r="P548" s="5" t="s">
        <v>33</v>
      </c>
      <c r="Q548" s="2">
        <v>45966</v>
      </c>
      <c r="V548" s="45">
        <f>IF(OR(ISNUMBER(SEARCH("unable to locate acct",G548)),ISNUMBER(SEARCH("unknown",G548)),ISNUMBER(SEARCH("inactive",G548)),H548=""),0,1)</f>
        <v>1</v>
      </c>
    </row>
    <row r="549" spans="1:22" hidden="1">
      <c r="A549" s="2">
        <v>45903</v>
      </c>
      <c r="B549" s="1" t="s">
        <v>1487</v>
      </c>
      <c r="C549" s="1" t="s">
        <v>129</v>
      </c>
      <c r="D549" s="1" t="s">
        <v>255</v>
      </c>
      <c r="E549" s="1">
        <v>86315</v>
      </c>
      <c r="F549" s="1" t="s">
        <v>25</v>
      </c>
      <c r="G549" s="1" t="s">
        <v>1436</v>
      </c>
      <c r="H549" s="21" t="s">
        <v>5640</v>
      </c>
      <c r="I549" s="5" t="s">
        <v>40</v>
      </c>
      <c r="J549" s="5" t="s">
        <v>31</v>
      </c>
      <c r="K549" s="5" t="s">
        <v>31</v>
      </c>
      <c r="L549" s="5" t="s">
        <v>32</v>
      </c>
      <c r="M549" s="5" t="s">
        <v>32</v>
      </c>
      <c r="N549" s="13">
        <v>105.18</v>
      </c>
      <c r="O549" s="5" t="s">
        <v>32</v>
      </c>
      <c r="P549" s="5" t="s">
        <v>33</v>
      </c>
      <c r="Q549" s="2">
        <v>45966</v>
      </c>
      <c r="V549" s="45">
        <f>IF(OR(ISNUMBER(SEARCH("unable to locate acct",G549)),ISNUMBER(SEARCH("unknown",G549)),ISNUMBER(SEARCH("inactive",G549)),H549=""),0,1)</f>
        <v>1</v>
      </c>
    </row>
    <row r="550" spans="1:22" hidden="1">
      <c r="A550" s="2">
        <v>45904</v>
      </c>
      <c r="B550" s="1" t="s">
        <v>1488</v>
      </c>
      <c r="C550" s="1" t="s">
        <v>1489</v>
      </c>
      <c r="D550" s="1" t="s">
        <v>119</v>
      </c>
      <c r="E550" s="1">
        <v>85251</v>
      </c>
      <c r="F550" s="1" t="s">
        <v>1443</v>
      </c>
      <c r="G550" s="1" t="s">
        <v>1436</v>
      </c>
      <c r="H550" s="21" t="s">
        <v>5641</v>
      </c>
      <c r="I550" s="5" t="s">
        <v>67</v>
      </c>
      <c r="J550" s="5" t="s">
        <v>31</v>
      </c>
      <c r="K550" s="5" t="s">
        <v>31</v>
      </c>
      <c r="L550" s="5" t="s">
        <v>32</v>
      </c>
      <c r="M550" s="5" t="s">
        <v>31</v>
      </c>
      <c r="N550" s="5" t="s">
        <v>31</v>
      </c>
      <c r="O550" s="5" t="s">
        <v>32</v>
      </c>
      <c r="P550" s="5" t="s">
        <v>33</v>
      </c>
      <c r="Q550" s="2">
        <v>45966</v>
      </c>
      <c r="V550" s="45">
        <f>IF(OR(ISNUMBER(SEARCH("unable to locate acct",G550)),ISNUMBER(SEARCH("unknown",G550)),ISNUMBER(SEARCH("inactive",G550)),H550=""),0,1)</f>
        <v>1</v>
      </c>
    </row>
    <row r="551" spans="1:22" hidden="1">
      <c r="A551" s="2">
        <v>45904</v>
      </c>
      <c r="B551" s="1" t="s">
        <v>1490</v>
      </c>
      <c r="C551" s="1" t="s">
        <v>1113</v>
      </c>
      <c r="D551" s="1" t="s">
        <v>106</v>
      </c>
      <c r="E551" s="1">
        <v>85387</v>
      </c>
      <c r="F551" s="1" t="s">
        <v>25</v>
      </c>
      <c r="G551" s="1" t="s">
        <v>1436</v>
      </c>
      <c r="H551" s="21" t="s">
        <v>5642</v>
      </c>
      <c r="I551" s="5" t="s">
        <v>532</v>
      </c>
      <c r="J551" s="5" t="s">
        <v>31</v>
      </c>
      <c r="K551" s="5" t="s">
        <v>31</v>
      </c>
      <c r="L551" s="5" t="s">
        <v>381</v>
      </c>
      <c r="M551" s="5" t="s">
        <v>31</v>
      </c>
      <c r="N551" s="5" t="s">
        <v>31</v>
      </c>
      <c r="O551" s="5" t="s">
        <v>32</v>
      </c>
      <c r="P551" s="5" t="s">
        <v>33</v>
      </c>
      <c r="Q551" s="2">
        <v>45966</v>
      </c>
      <c r="V551" s="45">
        <f>IF(OR(ISNUMBER(SEARCH("unable to locate acct",G551)),ISNUMBER(SEARCH("unknown",G551)),ISNUMBER(SEARCH("inactive",G551)),H551=""),0,1)</f>
        <v>1</v>
      </c>
    </row>
    <row r="552" spans="1:22" hidden="1">
      <c r="A552" s="2">
        <v>45904</v>
      </c>
      <c r="B552" s="1" t="s">
        <v>1491</v>
      </c>
      <c r="C552" s="1" t="s">
        <v>1492</v>
      </c>
      <c r="D552" s="1" t="s">
        <v>255</v>
      </c>
      <c r="E552" s="1">
        <v>86314</v>
      </c>
      <c r="F552" s="1" t="s">
        <v>304</v>
      </c>
      <c r="G552" s="1" t="s">
        <v>1436</v>
      </c>
      <c r="H552" s="4" t="s">
        <v>5136</v>
      </c>
      <c r="I552" s="5" t="s">
        <v>67</v>
      </c>
      <c r="J552" s="5" t="s">
        <v>31</v>
      </c>
      <c r="K552" s="5" t="s">
        <v>31</v>
      </c>
      <c r="L552" s="5" t="s">
        <v>32</v>
      </c>
      <c r="M552" s="5" t="s">
        <v>31</v>
      </c>
      <c r="N552" s="5" t="s">
        <v>31</v>
      </c>
      <c r="O552" s="5" t="s">
        <v>32</v>
      </c>
      <c r="P552" s="5" t="s">
        <v>33</v>
      </c>
      <c r="Q552" s="2">
        <v>45966</v>
      </c>
      <c r="V552" s="45">
        <f>IF(OR(ISNUMBER(SEARCH("unable to locate acct",G552)),ISNUMBER(SEARCH("unknown",G552)),ISNUMBER(SEARCH("inactive",G552)),H552=""),0,1)</f>
        <v>1</v>
      </c>
    </row>
    <row r="553" spans="1:22" hidden="1">
      <c r="A553" s="2">
        <v>45904</v>
      </c>
      <c r="B553" s="1" t="s">
        <v>1493</v>
      </c>
      <c r="C553" s="1" t="s">
        <v>1494</v>
      </c>
      <c r="D553" s="1" t="s">
        <v>57</v>
      </c>
      <c r="E553" s="1">
        <v>85085</v>
      </c>
      <c r="F553" s="1" t="s">
        <v>25</v>
      </c>
      <c r="G553" s="1" t="s">
        <v>1436</v>
      </c>
      <c r="H553" s="4" t="s">
        <v>21</v>
      </c>
      <c r="V553" s="45">
        <f>IF(OR(ISNUMBER(SEARCH("unable to locate acct",G553)),ISNUMBER(SEARCH("unknown",G553)),ISNUMBER(SEARCH("inactive",G553)),H553=""),0,1)</f>
        <v>1</v>
      </c>
    </row>
    <row r="554" spans="1:22" hidden="1">
      <c r="A554" s="2">
        <v>45904</v>
      </c>
      <c r="B554" s="1" t="s">
        <v>1495</v>
      </c>
      <c r="C554" s="1" t="s">
        <v>939</v>
      </c>
      <c r="D554" s="1" t="s">
        <v>234</v>
      </c>
      <c r="E554" s="1">
        <v>85340</v>
      </c>
      <c r="F554" s="1" t="s">
        <v>25</v>
      </c>
      <c r="G554" s="1" t="s">
        <v>1436</v>
      </c>
      <c r="H554" s="21" t="s">
        <v>5643</v>
      </c>
      <c r="I554" s="5" t="s">
        <v>532</v>
      </c>
      <c r="J554" s="5" t="s">
        <v>32</v>
      </c>
      <c r="K554" s="5" t="s">
        <v>31</v>
      </c>
      <c r="L554" s="5" t="s">
        <v>381</v>
      </c>
      <c r="M554" s="5" t="s">
        <v>32</v>
      </c>
      <c r="N554" s="15">
        <v>1106.1300000000001</v>
      </c>
      <c r="O554" s="5" t="s">
        <v>32</v>
      </c>
      <c r="P554" s="7"/>
      <c r="Q554" s="2">
        <v>45966</v>
      </c>
      <c r="R554" s="1" t="s">
        <v>1496</v>
      </c>
      <c r="V554" s="45">
        <f>IF(OR(ISNUMBER(SEARCH("unable to locate acct",G554)),ISNUMBER(SEARCH("unknown",G554)),ISNUMBER(SEARCH("inactive",G554)),H554=""),0,1)</f>
        <v>1</v>
      </c>
    </row>
    <row r="555" spans="1:22" hidden="1">
      <c r="A555" s="2">
        <v>45904</v>
      </c>
      <c r="B555" s="1" t="s">
        <v>1497</v>
      </c>
      <c r="C555" s="1" t="s">
        <v>412</v>
      </c>
      <c r="D555" s="1" t="s">
        <v>18</v>
      </c>
      <c r="E555" s="1">
        <v>85310</v>
      </c>
      <c r="F555" s="1" t="s">
        <v>25</v>
      </c>
      <c r="G555" s="1" t="s">
        <v>1436</v>
      </c>
      <c r="H555" s="4" t="s">
        <v>21</v>
      </c>
      <c r="V555" s="45">
        <f>IF(OR(ISNUMBER(SEARCH("unable to locate acct",G555)),ISNUMBER(SEARCH("unknown",G555)),ISNUMBER(SEARCH("inactive",G555)),H555=""),0,1)</f>
        <v>1</v>
      </c>
    </row>
    <row r="556" spans="1:22" hidden="1">
      <c r="A556" s="2">
        <v>45904</v>
      </c>
      <c r="B556" s="1" t="s">
        <v>1498</v>
      </c>
      <c r="C556" s="1" t="s">
        <v>188</v>
      </c>
      <c r="D556" s="1" t="s">
        <v>363</v>
      </c>
      <c r="E556" s="1">
        <v>85225</v>
      </c>
      <c r="F556" s="1" t="s">
        <v>304</v>
      </c>
      <c r="G556" s="1" t="s">
        <v>1436</v>
      </c>
      <c r="H556" s="4" t="s">
        <v>5483</v>
      </c>
      <c r="I556" s="5" t="s">
        <v>30</v>
      </c>
      <c r="J556" s="5" t="s">
        <v>31</v>
      </c>
      <c r="K556" s="5" t="s">
        <v>31</v>
      </c>
      <c r="L556" s="7" t="s">
        <v>1499</v>
      </c>
      <c r="M556" s="5" t="s">
        <v>31</v>
      </c>
      <c r="N556" s="5" t="s">
        <v>31</v>
      </c>
      <c r="O556" s="5" t="s">
        <v>32</v>
      </c>
      <c r="P556" s="2">
        <v>45936</v>
      </c>
      <c r="Q556" s="2">
        <v>45966</v>
      </c>
      <c r="R556" s="1" t="s">
        <v>1287</v>
      </c>
      <c r="V556" s="45">
        <f>IF(OR(ISNUMBER(SEARCH("unable to locate acct",G556)),ISNUMBER(SEARCH("unknown",G556)),ISNUMBER(SEARCH("inactive",G556)),H556=""),0,1)</f>
        <v>1</v>
      </c>
    </row>
    <row r="557" spans="1:22" hidden="1">
      <c r="A557" s="2">
        <v>45904</v>
      </c>
      <c r="B557" s="1" t="s">
        <v>1500</v>
      </c>
      <c r="C557" s="1" t="s">
        <v>494</v>
      </c>
      <c r="D557" s="1" t="s">
        <v>119</v>
      </c>
      <c r="E557" s="1">
        <v>85260</v>
      </c>
      <c r="F557" s="1" t="s">
        <v>25</v>
      </c>
      <c r="G557" s="1" t="s">
        <v>1436</v>
      </c>
      <c r="H557" s="4" t="s">
        <v>5137</v>
      </c>
      <c r="I557" s="5" t="s">
        <v>1501</v>
      </c>
      <c r="J557" s="5" t="s">
        <v>31</v>
      </c>
      <c r="K557" s="5" t="s">
        <v>31</v>
      </c>
      <c r="L557" s="5" t="s">
        <v>32</v>
      </c>
      <c r="M557" s="5" t="s">
        <v>31</v>
      </c>
      <c r="N557" s="5" t="s">
        <v>31</v>
      </c>
      <c r="O557" s="5" t="s">
        <v>32</v>
      </c>
      <c r="P557" s="5" t="s">
        <v>33</v>
      </c>
      <c r="Q557" s="2">
        <v>45966</v>
      </c>
      <c r="V557" s="45">
        <f>IF(OR(ISNUMBER(SEARCH("unable to locate acct",G557)),ISNUMBER(SEARCH("unknown",G557)),ISNUMBER(SEARCH("inactive",G557)),H557=""),0,1)</f>
        <v>1</v>
      </c>
    </row>
    <row r="558" spans="1:22" hidden="1">
      <c r="A558" s="2">
        <v>45904</v>
      </c>
      <c r="B558" s="1" t="s">
        <v>1502</v>
      </c>
      <c r="C558" s="1" t="s">
        <v>1503</v>
      </c>
      <c r="D558" s="1" t="s">
        <v>163</v>
      </c>
      <c r="E558" s="1">
        <v>85338</v>
      </c>
      <c r="F558" s="1" t="s">
        <v>25</v>
      </c>
      <c r="G558" s="1" t="s">
        <v>1436</v>
      </c>
      <c r="H558" s="4" t="s">
        <v>4959</v>
      </c>
      <c r="I558" s="5" t="s">
        <v>51</v>
      </c>
      <c r="J558" s="5" t="s">
        <v>31</v>
      </c>
      <c r="K558" s="5" t="s">
        <v>31</v>
      </c>
      <c r="L558" s="5" t="s">
        <v>1504</v>
      </c>
      <c r="M558" s="5" t="s">
        <v>31</v>
      </c>
      <c r="N558" s="5" t="s">
        <v>31</v>
      </c>
      <c r="O558" s="5" t="s">
        <v>32</v>
      </c>
      <c r="P558" s="5" t="s">
        <v>33</v>
      </c>
      <c r="Q558" s="2">
        <v>45966</v>
      </c>
      <c r="V558" s="45">
        <f>IF(OR(ISNUMBER(SEARCH("unable to locate acct",G558)),ISNUMBER(SEARCH("unknown",G558)),ISNUMBER(SEARCH("inactive",G558)),H558=""),0,1)</f>
        <v>1</v>
      </c>
    </row>
    <row r="559" spans="1:22" hidden="1">
      <c r="A559" s="2">
        <v>45904</v>
      </c>
      <c r="B559" s="1" t="s">
        <v>1505</v>
      </c>
      <c r="C559" s="1" t="s">
        <v>1506</v>
      </c>
      <c r="D559" s="1" t="s">
        <v>57</v>
      </c>
      <c r="E559" s="1">
        <v>85016</v>
      </c>
      <c r="F559" s="1" t="s">
        <v>304</v>
      </c>
      <c r="G559" s="1" t="s">
        <v>1436</v>
      </c>
      <c r="H559" s="4" t="s">
        <v>5138</v>
      </c>
      <c r="I559" s="5" t="s">
        <v>40</v>
      </c>
      <c r="J559" s="5" t="s">
        <v>31</v>
      </c>
      <c r="K559" s="5" t="s">
        <v>32</v>
      </c>
      <c r="L559" s="5" t="s">
        <v>32</v>
      </c>
      <c r="M559" s="5" t="s">
        <v>31</v>
      </c>
      <c r="N559" s="5" t="s">
        <v>31</v>
      </c>
      <c r="O559" s="5" t="s">
        <v>32</v>
      </c>
      <c r="P559" s="5" t="s">
        <v>33</v>
      </c>
      <c r="Q559" s="2">
        <v>45966</v>
      </c>
      <c r="V559" s="45">
        <f>IF(OR(ISNUMBER(SEARCH("unable to locate acct",G559)),ISNUMBER(SEARCH("unknown",G559)),ISNUMBER(SEARCH("inactive",G559)),H559=""),0,1)</f>
        <v>1</v>
      </c>
    </row>
    <row r="560" spans="1:22" hidden="1">
      <c r="A560" s="2">
        <v>45904</v>
      </c>
      <c r="B560" s="1" t="s">
        <v>1507</v>
      </c>
      <c r="C560" s="1" t="s">
        <v>1333</v>
      </c>
      <c r="D560" s="1" t="s">
        <v>1508</v>
      </c>
      <c r="E560" s="1">
        <v>85373</v>
      </c>
      <c r="F560" s="1" t="s">
        <v>304</v>
      </c>
      <c r="G560" s="1" t="s">
        <v>1436</v>
      </c>
      <c r="H560" s="4" t="s">
        <v>21</v>
      </c>
      <c r="V560" s="45">
        <f>IF(OR(ISNUMBER(SEARCH("unable to locate acct",G560)),ISNUMBER(SEARCH("unknown",G560)),ISNUMBER(SEARCH("inactive",G560)),H560=""),0,1)</f>
        <v>1</v>
      </c>
    </row>
    <row r="561" spans="1:22" hidden="1">
      <c r="A561" s="2">
        <v>45904</v>
      </c>
      <c r="B561" s="1" t="s">
        <v>1509</v>
      </c>
      <c r="C561" s="1" t="s">
        <v>1344</v>
      </c>
      <c r="D561" s="1" t="s">
        <v>57</v>
      </c>
      <c r="E561" s="1">
        <v>85020</v>
      </c>
      <c r="F561" s="1" t="s">
        <v>304</v>
      </c>
      <c r="G561" s="1" t="s">
        <v>1436</v>
      </c>
      <c r="H561" s="4" t="s">
        <v>5139</v>
      </c>
      <c r="I561" s="5" t="s">
        <v>67</v>
      </c>
      <c r="J561" s="5" t="s">
        <v>31</v>
      </c>
      <c r="K561" s="5" t="s">
        <v>31</v>
      </c>
      <c r="L561" s="5" t="s">
        <v>32</v>
      </c>
      <c r="M561" s="5" t="s">
        <v>31</v>
      </c>
      <c r="N561" s="5" t="s">
        <v>31</v>
      </c>
      <c r="O561" s="5" t="s">
        <v>32</v>
      </c>
      <c r="P561" s="5" t="s">
        <v>33</v>
      </c>
      <c r="Q561" s="2">
        <v>45966</v>
      </c>
      <c r="V561" s="45">
        <f>IF(OR(ISNUMBER(SEARCH("unable to locate acct",G561)),ISNUMBER(SEARCH("unknown",G561)),ISNUMBER(SEARCH("inactive",G561)),H561=""),0,1)</f>
        <v>1</v>
      </c>
    </row>
    <row r="562" spans="1:22" hidden="1">
      <c r="A562" s="2">
        <v>45904</v>
      </c>
      <c r="B562" s="1" t="s">
        <v>1510</v>
      </c>
      <c r="C562" s="1" t="s">
        <v>1503</v>
      </c>
      <c r="D562" s="1" t="s">
        <v>1508</v>
      </c>
      <c r="E562" s="1">
        <v>85373</v>
      </c>
      <c r="F562" s="1" t="s">
        <v>304</v>
      </c>
      <c r="G562" s="1" t="s">
        <v>1436</v>
      </c>
      <c r="H562" s="4" t="s">
        <v>5140</v>
      </c>
      <c r="I562" s="5" t="s">
        <v>410</v>
      </c>
      <c r="J562" s="5" t="s">
        <v>31</v>
      </c>
      <c r="K562" s="5" t="s">
        <v>31</v>
      </c>
      <c r="L562" s="5" t="s">
        <v>381</v>
      </c>
      <c r="M562" s="5" t="s">
        <v>31</v>
      </c>
      <c r="N562" s="5" t="s">
        <v>31</v>
      </c>
      <c r="O562" s="5" t="s">
        <v>32</v>
      </c>
      <c r="P562" s="5" t="s">
        <v>33</v>
      </c>
      <c r="Q562" s="2">
        <v>45966</v>
      </c>
      <c r="V562" s="45">
        <f>IF(OR(ISNUMBER(SEARCH("unable to locate acct",G562)),ISNUMBER(SEARCH("unknown",G562)),ISNUMBER(SEARCH("inactive",G562)),H562=""),0,1)</f>
        <v>1</v>
      </c>
    </row>
    <row r="563" spans="1:22" hidden="1">
      <c r="A563" s="2">
        <v>45904</v>
      </c>
      <c r="B563" s="1" t="s">
        <v>1085</v>
      </c>
      <c r="C563" s="1" t="s">
        <v>779</v>
      </c>
      <c r="D563" s="1" t="s">
        <v>18</v>
      </c>
      <c r="E563" s="1">
        <v>85306</v>
      </c>
      <c r="F563" s="1" t="s">
        <v>1511</v>
      </c>
      <c r="G563" s="1" t="s">
        <v>1436</v>
      </c>
      <c r="H563" s="4" t="s">
        <v>4960</v>
      </c>
      <c r="I563" s="5" t="s">
        <v>51</v>
      </c>
      <c r="J563" s="5" t="s">
        <v>31</v>
      </c>
      <c r="K563" s="5" t="s">
        <v>31</v>
      </c>
      <c r="L563" s="7" t="s">
        <v>1512</v>
      </c>
      <c r="M563" s="5" t="s">
        <v>31</v>
      </c>
      <c r="N563" s="5" t="s">
        <v>31</v>
      </c>
      <c r="O563" s="5" t="s">
        <v>32</v>
      </c>
      <c r="P563" s="2">
        <v>45936</v>
      </c>
      <c r="Q563" s="2">
        <v>45966</v>
      </c>
      <c r="R563" s="1" t="s">
        <v>1287</v>
      </c>
      <c r="V563" s="45">
        <f>IF(OR(ISNUMBER(SEARCH("unable to locate acct",G563)),ISNUMBER(SEARCH("unknown",G563)),ISNUMBER(SEARCH("inactive",G563)),H563=""),0,1)</f>
        <v>1</v>
      </c>
    </row>
    <row r="564" spans="1:22" hidden="1">
      <c r="A564" s="2">
        <v>45904</v>
      </c>
      <c r="B564" s="1" t="s">
        <v>1513</v>
      </c>
      <c r="C564" s="1" t="s">
        <v>816</v>
      </c>
      <c r="D564" s="1" t="s">
        <v>119</v>
      </c>
      <c r="E564" s="1">
        <v>85258</v>
      </c>
      <c r="F564" s="1" t="s">
        <v>25</v>
      </c>
      <c r="G564" s="1" t="s">
        <v>1514</v>
      </c>
      <c r="H564" s="21" t="s">
        <v>5141</v>
      </c>
      <c r="I564" s="5" t="s">
        <v>120</v>
      </c>
      <c r="J564" s="5" t="s">
        <v>31</v>
      </c>
      <c r="K564" s="5" t="s">
        <v>31</v>
      </c>
      <c r="L564" s="5" t="s">
        <v>32</v>
      </c>
      <c r="M564" s="5" t="s">
        <v>31</v>
      </c>
      <c r="N564" s="5" t="s">
        <v>31</v>
      </c>
      <c r="O564" s="5" t="s">
        <v>32</v>
      </c>
      <c r="P564" s="5" t="s">
        <v>33</v>
      </c>
      <c r="Q564" s="2">
        <v>45966</v>
      </c>
      <c r="V564" s="45">
        <f>IF(OR(ISNUMBER(SEARCH("unable to locate acct",G564)),ISNUMBER(SEARCH("unknown",G564)),ISNUMBER(SEARCH("inactive",G564)),H564=""),0,1)</f>
        <v>1</v>
      </c>
    </row>
    <row r="565" spans="1:22" hidden="1">
      <c r="A565" s="2">
        <v>55766</v>
      </c>
      <c r="B565" s="1" t="s">
        <v>1515</v>
      </c>
      <c r="C565" s="1" t="s">
        <v>1516</v>
      </c>
      <c r="D565" s="1" t="s">
        <v>18</v>
      </c>
      <c r="E565" s="1">
        <v>85310</v>
      </c>
      <c r="F565" s="1" t="s">
        <v>25</v>
      </c>
      <c r="G565" s="1" t="s">
        <v>1517</v>
      </c>
      <c r="H565" s="4" t="s">
        <v>21</v>
      </c>
      <c r="V565" s="45">
        <f>IF(OR(ISNUMBER(SEARCH("unable to locate acct",G565)),ISNUMBER(SEARCH("unknown",G565)),ISNUMBER(SEARCH("inactive",G565)),H565=""),0,1)</f>
        <v>1</v>
      </c>
    </row>
    <row r="566" spans="1:22" hidden="1">
      <c r="A566" s="2">
        <v>45904</v>
      </c>
      <c r="B566" s="1" t="s">
        <v>1518</v>
      </c>
      <c r="C566" s="1" t="s">
        <v>1519</v>
      </c>
      <c r="G566" s="1" t="s">
        <v>1517</v>
      </c>
      <c r="H566" s="4" t="s">
        <v>203</v>
      </c>
      <c r="V566" s="45">
        <f>IF(OR(ISNUMBER(SEARCH("unable to locate acct",G566)),ISNUMBER(SEARCH("unknown",G566)),ISNUMBER(SEARCH("inactive",G566)),H566=""),0,1)</f>
        <v>1</v>
      </c>
    </row>
    <row r="567" spans="1:22" hidden="1">
      <c r="A567" s="2">
        <v>45904</v>
      </c>
      <c r="B567" s="1" t="s">
        <v>1520</v>
      </c>
      <c r="C567" s="1" t="s">
        <v>1521</v>
      </c>
      <c r="D567" s="1" t="s">
        <v>57</v>
      </c>
      <c r="G567" s="1" t="s">
        <v>1517</v>
      </c>
      <c r="H567" s="4" t="s">
        <v>84</v>
      </c>
      <c r="V567" s="45">
        <f>IF(OR(ISNUMBER(SEARCH("unable to locate acct",G567)),ISNUMBER(SEARCH("unknown",G567)),ISNUMBER(SEARCH("inactive",G567)),H567=""),0,1)</f>
        <v>1</v>
      </c>
    </row>
    <row r="568" spans="1:22" hidden="1">
      <c r="A568" s="2">
        <v>45904</v>
      </c>
      <c r="B568" s="1" t="s">
        <v>1522</v>
      </c>
      <c r="C568" s="1" t="s">
        <v>1523</v>
      </c>
      <c r="D568" s="1" t="s">
        <v>119</v>
      </c>
      <c r="E568" s="1">
        <v>85258</v>
      </c>
      <c r="F568" s="1" t="s">
        <v>25</v>
      </c>
      <c r="G568" s="1" t="s">
        <v>1517</v>
      </c>
      <c r="H568" s="21" t="s">
        <v>4961</v>
      </c>
      <c r="I568" s="5" t="s">
        <v>190</v>
      </c>
      <c r="J568" s="5" t="s">
        <v>31</v>
      </c>
      <c r="K568" s="5" t="s">
        <v>31</v>
      </c>
      <c r="L568" s="7" t="s">
        <v>1524</v>
      </c>
      <c r="M568" s="5" t="s">
        <v>31</v>
      </c>
      <c r="N568" s="5" t="s">
        <v>31</v>
      </c>
      <c r="O568" s="5" t="s">
        <v>32</v>
      </c>
      <c r="P568" s="2">
        <v>45936</v>
      </c>
      <c r="Q568" s="2">
        <v>45966</v>
      </c>
      <c r="R568" s="1" t="s">
        <v>1287</v>
      </c>
      <c r="V568" s="45">
        <f>IF(OR(ISNUMBER(SEARCH("unable to locate acct",G568)),ISNUMBER(SEARCH("unknown",G568)),ISNUMBER(SEARCH("inactive",G568)),H568=""),0,1)</f>
        <v>1</v>
      </c>
    </row>
    <row r="569" spans="1:22" hidden="1">
      <c r="A569" s="2">
        <v>45904</v>
      </c>
      <c r="B569" s="1" t="s">
        <v>1525</v>
      </c>
      <c r="C569" s="1" t="s">
        <v>1526</v>
      </c>
      <c r="F569" s="1" t="s">
        <v>25</v>
      </c>
      <c r="G569" s="1" t="s">
        <v>1517</v>
      </c>
      <c r="H569" s="4" t="s">
        <v>203</v>
      </c>
      <c r="V569" s="45">
        <f>IF(OR(ISNUMBER(SEARCH("unable to locate acct",G569)),ISNUMBER(SEARCH("unknown",G569)),ISNUMBER(SEARCH("inactive",G569)),H569=""),0,1)</f>
        <v>1</v>
      </c>
    </row>
    <row r="570" spans="1:22" hidden="1">
      <c r="A570" s="2">
        <v>45904</v>
      </c>
      <c r="B570" s="1" t="s">
        <v>1527</v>
      </c>
      <c r="C570" s="1" t="s">
        <v>1528</v>
      </c>
      <c r="G570" s="1" t="s">
        <v>1517</v>
      </c>
      <c r="H570" s="4" t="s">
        <v>21</v>
      </c>
      <c r="U570" s="1" t="s">
        <v>1529</v>
      </c>
      <c r="V570" s="45">
        <f>IF(OR(ISNUMBER(SEARCH("unable to locate acct",G570)),ISNUMBER(SEARCH("unknown",G570)),ISNUMBER(SEARCH("inactive",G570)),H570=""),0,1)</f>
        <v>1</v>
      </c>
    </row>
    <row r="571" spans="1:22" hidden="1">
      <c r="A571" s="2">
        <v>45904</v>
      </c>
      <c r="B571" s="1" t="s">
        <v>1530</v>
      </c>
      <c r="C571" s="1" t="s">
        <v>641</v>
      </c>
      <c r="D571" s="1" t="s">
        <v>1531</v>
      </c>
      <c r="E571" s="1">
        <v>85615</v>
      </c>
      <c r="F571" s="1" t="s">
        <v>25</v>
      </c>
      <c r="G571" s="1" t="s">
        <v>1517</v>
      </c>
      <c r="H571" s="21" t="s">
        <v>5142</v>
      </c>
      <c r="I571" s="5" t="s">
        <v>532</v>
      </c>
      <c r="J571" s="5" t="s">
        <v>32</v>
      </c>
      <c r="K571" s="5" t="s">
        <v>31</v>
      </c>
      <c r="L571" s="5" t="s">
        <v>381</v>
      </c>
      <c r="M571" s="5" t="s">
        <v>31</v>
      </c>
      <c r="N571" s="5" t="s">
        <v>31</v>
      </c>
      <c r="O571" s="5" t="s">
        <v>32</v>
      </c>
      <c r="P571" s="5" t="s">
        <v>33</v>
      </c>
      <c r="Q571" s="2">
        <v>45966</v>
      </c>
      <c r="V571" s="45">
        <f>IF(OR(ISNUMBER(SEARCH("unable to locate acct",G571)),ISNUMBER(SEARCH("unknown",G571)),ISNUMBER(SEARCH("inactive",G571)),H571=""),0,1)</f>
        <v>1</v>
      </c>
    </row>
    <row r="572" spans="1:22" hidden="1">
      <c r="A572" s="2">
        <v>45905</v>
      </c>
      <c r="B572" s="1" t="s">
        <v>1532</v>
      </c>
      <c r="C572" s="1" t="s">
        <v>1302</v>
      </c>
      <c r="G572" s="1" t="s">
        <v>1533</v>
      </c>
      <c r="H572" s="4" t="s">
        <v>203</v>
      </c>
      <c r="V572" s="45">
        <f>IF(OR(ISNUMBER(SEARCH("unable to locate acct",G572)),ISNUMBER(SEARCH("unknown",G572)),ISNUMBER(SEARCH("inactive",G572)),H572=""),0,1)</f>
        <v>1</v>
      </c>
    </row>
    <row r="573" spans="1:22" hidden="1">
      <c r="A573" s="2">
        <v>45905</v>
      </c>
      <c r="B573" s="1" t="s">
        <v>1534</v>
      </c>
      <c r="C573" s="1" t="s">
        <v>188</v>
      </c>
      <c r="D573" s="1" t="s">
        <v>234</v>
      </c>
      <c r="E573" s="1">
        <v>85340</v>
      </c>
      <c r="F573" s="1" t="s">
        <v>25</v>
      </c>
      <c r="G573" s="1" t="s">
        <v>1535</v>
      </c>
      <c r="H573" s="4" t="s">
        <v>5127</v>
      </c>
      <c r="I573" s="5" t="s">
        <v>67</v>
      </c>
      <c r="J573" s="5" t="s">
        <v>31</v>
      </c>
      <c r="K573" s="5" t="s">
        <v>31</v>
      </c>
      <c r="L573" s="5" t="s">
        <v>32</v>
      </c>
      <c r="M573" s="5" t="s">
        <v>31</v>
      </c>
      <c r="N573" s="5" t="s">
        <v>31</v>
      </c>
      <c r="O573" s="5" t="s">
        <v>32</v>
      </c>
      <c r="P573" s="5" t="s">
        <v>33</v>
      </c>
      <c r="Q573" s="2">
        <v>45966</v>
      </c>
      <c r="V573" s="45">
        <f>IF(OR(ISNUMBER(SEARCH("unable to locate acct",G573)),ISNUMBER(SEARCH("unknown",G573)),ISNUMBER(SEARCH("inactive",G573)),H573=""),0,1)</f>
        <v>1</v>
      </c>
    </row>
    <row r="574" spans="1:22" hidden="1">
      <c r="A574" s="2">
        <v>45905</v>
      </c>
      <c r="B574" s="1" t="s">
        <v>1536</v>
      </c>
      <c r="C574" s="1" t="s">
        <v>470</v>
      </c>
      <c r="D574" s="1" t="s">
        <v>119</v>
      </c>
      <c r="E574" s="1">
        <v>85254</v>
      </c>
      <c r="F574" s="1" t="s">
        <v>304</v>
      </c>
      <c r="G574" s="1" t="s">
        <v>1535</v>
      </c>
      <c r="H574" s="4" t="s">
        <v>21</v>
      </c>
      <c r="V574" s="45">
        <f>IF(OR(ISNUMBER(SEARCH("unable to locate acct",G574)),ISNUMBER(SEARCH("unknown",G574)),ISNUMBER(SEARCH("inactive",G574)),H574=""),0,1)</f>
        <v>1</v>
      </c>
    </row>
    <row r="575" spans="1:22" hidden="1">
      <c r="A575" s="2">
        <v>45905</v>
      </c>
      <c r="B575" s="1" t="s">
        <v>1537</v>
      </c>
      <c r="C575" s="1" t="s">
        <v>1538</v>
      </c>
      <c r="D575" s="1" t="s">
        <v>163</v>
      </c>
      <c r="E575" s="1">
        <v>85395</v>
      </c>
      <c r="F575" s="1" t="s">
        <v>1539</v>
      </c>
      <c r="G575" s="1" t="s">
        <v>1535</v>
      </c>
      <c r="H575" s="4" t="s">
        <v>5143</v>
      </c>
      <c r="I575" s="5" t="s">
        <v>410</v>
      </c>
      <c r="J575" s="5" t="s">
        <v>31</v>
      </c>
      <c r="K575" s="5" t="s">
        <v>31</v>
      </c>
      <c r="L575" s="5" t="s">
        <v>381</v>
      </c>
      <c r="M575" s="5" t="s">
        <v>31</v>
      </c>
      <c r="N575" s="5" t="s">
        <v>31</v>
      </c>
      <c r="O575" s="5" t="s">
        <v>32</v>
      </c>
      <c r="P575" s="5" t="s">
        <v>33</v>
      </c>
      <c r="Q575" s="2">
        <v>45966</v>
      </c>
      <c r="V575" s="45">
        <f>IF(OR(ISNUMBER(SEARCH("unable to locate acct",G575)),ISNUMBER(SEARCH("unknown",G575)),ISNUMBER(SEARCH("inactive",G575)),H575=""),0,1)</f>
        <v>1</v>
      </c>
    </row>
    <row r="576" spans="1:22" hidden="1">
      <c r="A576" s="2">
        <v>45905</v>
      </c>
      <c r="B576" s="1" t="s">
        <v>1540</v>
      </c>
      <c r="C576" s="1" t="s">
        <v>171</v>
      </c>
      <c r="D576" s="1" t="s">
        <v>57</v>
      </c>
      <c r="E576" s="1">
        <v>85028</v>
      </c>
      <c r="F576" s="1" t="s">
        <v>304</v>
      </c>
      <c r="G576" s="1" t="s">
        <v>1535</v>
      </c>
      <c r="H576" s="4" t="s">
        <v>4962</v>
      </c>
      <c r="I576" s="5" t="s">
        <v>190</v>
      </c>
      <c r="J576" s="5" t="s">
        <v>31</v>
      </c>
      <c r="K576" s="5" t="s">
        <v>31</v>
      </c>
      <c r="L576" s="7" t="s">
        <v>1541</v>
      </c>
      <c r="M576" s="5" t="s">
        <v>31</v>
      </c>
      <c r="N576" s="5" t="s">
        <v>31</v>
      </c>
      <c r="O576" s="5" t="s">
        <v>32</v>
      </c>
      <c r="P576" s="2">
        <v>45936</v>
      </c>
      <c r="Q576" s="2">
        <v>45966</v>
      </c>
      <c r="R576" s="1" t="s">
        <v>1542</v>
      </c>
      <c r="V576" s="45">
        <f>IF(OR(ISNUMBER(SEARCH("unable to locate acct",G576)),ISNUMBER(SEARCH("unknown",G576)),ISNUMBER(SEARCH("inactive",G576)),H576=""),0,1)</f>
        <v>1</v>
      </c>
    </row>
    <row r="577" spans="1:22" hidden="1">
      <c r="A577" s="2">
        <v>45905</v>
      </c>
      <c r="B577" s="1" t="s">
        <v>1543</v>
      </c>
      <c r="C577" s="1" t="s">
        <v>322</v>
      </c>
      <c r="D577" s="1" t="s">
        <v>57</v>
      </c>
      <c r="E577" s="1">
        <v>85008</v>
      </c>
      <c r="F577" s="1" t="s">
        <v>304</v>
      </c>
      <c r="G577" s="1" t="s">
        <v>1535</v>
      </c>
      <c r="H577" s="4" t="s">
        <v>4942</v>
      </c>
      <c r="I577" s="5" t="s">
        <v>30</v>
      </c>
      <c r="J577" s="5" t="s">
        <v>32</v>
      </c>
      <c r="K577" s="5" t="s">
        <v>31</v>
      </c>
      <c r="L577" s="5" t="s">
        <v>1544</v>
      </c>
      <c r="M577" s="5" t="s">
        <v>32</v>
      </c>
      <c r="N577" s="15">
        <v>487.48</v>
      </c>
      <c r="O577" s="5" t="s">
        <v>32</v>
      </c>
      <c r="P577" s="7"/>
      <c r="Q577" s="2">
        <v>45966</v>
      </c>
      <c r="R577" s="1" t="s">
        <v>486</v>
      </c>
      <c r="V577" s="45">
        <f>IF(OR(ISNUMBER(SEARCH("unable to locate acct",G577)),ISNUMBER(SEARCH("unknown",G577)),ISNUMBER(SEARCH("inactive",G577)),H577=""),0,1)</f>
        <v>1</v>
      </c>
    </row>
    <row r="578" spans="1:22" hidden="1">
      <c r="A578" s="2">
        <v>45905</v>
      </c>
      <c r="B578" s="1" t="s">
        <v>1545</v>
      </c>
      <c r="C578" s="1" t="s">
        <v>1546</v>
      </c>
      <c r="D578" s="1" t="s">
        <v>119</v>
      </c>
      <c r="E578" s="1">
        <v>85260</v>
      </c>
      <c r="F578" s="1" t="s">
        <v>304</v>
      </c>
      <c r="G578" s="1" t="s">
        <v>1535</v>
      </c>
      <c r="H578" s="4" t="s">
        <v>4963</v>
      </c>
      <c r="I578" s="5" t="s">
        <v>190</v>
      </c>
      <c r="J578" s="5" t="s">
        <v>31</v>
      </c>
      <c r="K578" s="5" t="s">
        <v>31</v>
      </c>
      <c r="L578" s="5" t="s">
        <v>1547</v>
      </c>
      <c r="M578" s="5" t="s">
        <v>31</v>
      </c>
      <c r="N578" s="5" t="s">
        <v>31</v>
      </c>
      <c r="O578" s="5" t="s">
        <v>32</v>
      </c>
      <c r="P578" s="5" t="s">
        <v>33</v>
      </c>
      <c r="Q578" s="2">
        <v>45966</v>
      </c>
      <c r="V578" s="45">
        <f>IF(OR(ISNUMBER(SEARCH("unable to locate acct",G578)),ISNUMBER(SEARCH("unknown",G578)),ISNUMBER(SEARCH("inactive",G578)),H578=""),0,1)</f>
        <v>1</v>
      </c>
    </row>
    <row r="579" spans="1:22" hidden="1">
      <c r="A579" s="2">
        <v>45905</v>
      </c>
      <c r="B579" s="1" t="s">
        <v>1548</v>
      </c>
      <c r="C579" s="1" t="s">
        <v>1549</v>
      </c>
      <c r="D579" s="1" t="s">
        <v>57</v>
      </c>
      <c r="E579" s="1">
        <v>85013</v>
      </c>
      <c r="F579" s="1" t="s">
        <v>1550</v>
      </c>
      <c r="G579" s="1" t="s">
        <v>1535</v>
      </c>
      <c r="H579" s="4" t="s">
        <v>5144</v>
      </c>
      <c r="I579" s="5" t="s">
        <v>30</v>
      </c>
      <c r="J579" s="5" t="s">
        <v>31</v>
      </c>
      <c r="K579" s="5" t="s">
        <v>31</v>
      </c>
      <c r="L579" s="5" t="s">
        <v>32</v>
      </c>
      <c r="M579" s="5" t="s">
        <v>31</v>
      </c>
      <c r="N579" s="5" t="s">
        <v>31</v>
      </c>
      <c r="O579" s="5" t="s">
        <v>32</v>
      </c>
      <c r="P579" s="5" t="s">
        <v>33</v>
      </c>
      <c r="Q579" s="2">
        <v>45966</v>
      </c>
      <c r="V579" s="45">
        <f>IF(OR(ISNUMBER(SEARCH("unable to locate acct",G579)),ISNUMBER(SEARCH("unknown",G579)),ISNUMBER(SEARCH("inactive",G579)),H579=""),0,1)</f>
        <v>1</v>
      </c>
    </row>
    <row r="580" spans="1:22" hidden="1">
      <c r="A580" s="2">
        <v>45905</v>
      </c>
      <c r="B580" s="1" t="s">
        <v>1551</v>
      </c>
      <c r="C580" s="1" t="s">
        <v>1552</v>
      </c>
      <c r="D580" s="1" t="s">
        <v>626</v>
      </c>
      <c r="E580" s="1">
        <v>85281</v>
      </c>
      <c r="F580" s="1" t="s">
        <v>304</v>
      </c>
      <c r="G580" s="1" t="s">
        <v>1535</v>
      </c>
      <c r="H580" s="4" t="s">
        <v>1553</v>
      </c>
      <c r="I580" s="5" t="s">
        <v>190</v>
      </c>
      <c r="J580" s="5" t="s">
        <v>31</v>
      </c>
      <c r="K580" s="5" t="s">
        <v>31</v>
      </c>
      <c r="L580" s="5" t="s">
        <v>1554</v>
      </c>
      <c r="M580" s="5" t="s">
        <v>31</v>
      </c>
      <c r="N580" s="5" t="s">
        <v>31</v>
      </c>
      <c r="O580" s="5" t="s">
        <v>32</v>
      </c>
      <c r="P580" s="5" t="s">
        <v>33</v>
      </c>
      <c r="Q580" s="2">
        <v>45966</v>
      </c>
      <c r="V580" s="45">
        <f>IF(OR(ISNUMBER(SEARCH("unable to locate acct",G580)),ISNUMBER(SEARCH("unknown",G580)),ISNUMBER(SEARCH("inactive",G580)),H580=""),0,1)</f>
        <v>1</v>
      </c>
    </row>
    <row r="581" spans="1:22" hidden="1">
      <c r="A581" s="2">
        <v>45905</v>
      </c>
      <c r="B581" s="1" t="s">
        <v>1555</v>
      </c>
      <c r="C581" s="1" t="s">
        <v>1556</v>
      </c>
      <c r="D581" s="1" t="s">
        <v>57</v>
      </c>
      <c r="E581" s="1">
        <v>85083</v>
      </c>
      <c r="F581" s="1" t="s">
        <v>25</v>
      </c>
      <c r="G581" s="1" t="s">
        <v>1535</v>
      </c>
      <c r="H581" s="4" t="s">
        <v>5145</v>
      </c>
      <c r="I581" s="5" t="s">
        <v>244</v>
      </c>
      <c r="J581" s="5" t="s">
        <v>31</v>
      </c>
      <c r="K581" s="5" t="s">
        <v>31</v>
      </c>
      <c r="L581" s="5" t="s">
        <v>32</v>
      </c>
      <c r="M581" s="5" t="s">
        <v>31</v>
      </c>
      <c r="N581" s="5" t="s">
        <v>31</v>
      </c>
      <c r="O581" s="5" t="s">
        <v>32</v>
      </c>
      <c r="P581" s="5" t="s">
        <v>33</v>
      </c>
      <c r="Q581" s="2">
        <v>45966</v>
      </c>
      <c r="V581" s="45">
        <f>IF(OR(ISNUMBER(SEARCH("unable to locate acct",G581)),ISNUMBER(SEARCH("unknown",G581)),ISNUMBER(SEARCH("inactive",G581)),H581=""),0,1)</f>
        <v>1</v>
      </c>
    </row>
    <row r="582" spans="1:22" hidden="1">
      <c r="A582" s="2">
        <v>45905</v>
      </c>
      <c r="B582" s="1" t="s">
        <v>1515</v>
      </c>
      <c r="C582" s="1" t="s">
        <v>696</v>
      </c>
      <c r="D582" s="1" t="s">
        <v>57</v>
      </c>
      <c r="E582" s="1">
        <v>85032</v>
      </c>
      <c r="F582" s="1" t="s">
        <v>304</v>
      </c>
      <c r="G582" s="1" t="s">
        <v>1535</v>
      </c>
      <c r="H582" s="4" t="s">
        <v>5146</v>
      </c>
      <c r="I582" s="5" t="s">
        <v>190</v>
      </c>
      <c r="J582" s="5" t="s">
        <v>31</v>
      </c>
      <c r="K582" s="5" t="s">
        <v>31</v>
      </c>
      <c r="L582" s="5" t="s">
        <v>32</v>
      </c>
      <c r="M582" s="5" t="s">
        <v>31</v>
      </c>
      <c r="N582" s="5" t="s">
        <v>31</v>
      </c>
      <c r="O582" s="5" t="s">
        <v>32</v>
      </c>
      <c r="P582" s="5" t="s">
        <v>33</v>
      </c>
      <c r="Q582" s="2">
        <v>45966</v>
      </c>
      <c r="V582" s="45">
        <f>IF(OR(ISNUMBER(SEARCH("unable to locate acct",G582)),ISNUMBER(SEARCH("unknown",G582)),ISNUMBER(SEARCH("inactive",G582)),H582=""),0,1)</f>
        <v>1</v>
      </c>
    </row>
    <row r="583" spans="1:22" hidden="1">
      <c r="A583" s="2">
        <v>45905</v>
      </c>
      <c r="B583" s="1" t="s">
        <v>1557</v>
      </c>
      <c r="C583" s="1" t="s">
        <v>1558</v>
      </c>
      <c r="D583" s="1" t="s">
        <v>163</v>
      </c>
      <c r="E583" s="1">
        <v>85395</v>
      </c>
      <c r="F583" s="1" t="s">
        <v>19</v>
      </c>
      <c r="G583" s="1" t="s">
        <v>1535</v>
      </c>
      <c r="H583" s="4" t="s">
        <v>21</v>
      </c>
      <c r="V583" s="45">
        <f>IF(OR(ISNUMBER(SEARCH("unable to locate acct",G583)),ISNUMBER(SEARCH("unknown",G583)),ISNUMBER(SEARCH("inactive",G583)),H583=""),0,1)</f>
        <v>1</v>
      </c>
    </row>
    <row r="584" spans="1:22" hidden="1">
      <c r="A584" s="2">
        <v>45905</v>
      </c>
      <c r="B584" s="1" t="s">
        <v>1559</v>
      </c>
      <c r="C584" s="1" t="s">
        <v>1560</v>
      </c>
      <c r="D584" s="1" t="s">
        <v>106</v>
      </c>
      <c r="E584" s="1">
        <v>85388</v>
      </c>
      <c r="F584" s="1" t="s">
        <v>304</v>
      </c>
      <c r="G584" s="1" t="s">
        <v>1535</v>
      </c>
      <c r="H584" s="4" t="s">
        <v>5147</v>
      </c>
      <c r="I584" s="5" t="s">
        <v>30</v>
      </c>
      <c r="J584" s="5" t="s">
        <v>31</v>
      </c>
      <c r="K584" s="5" t="s">
        <v>31</v>
      </c>
      <c r="L584" s="5" t="s">
        <v>32</v>
      </c>
      <c r="M584" s="5" t="s">
        <v>31</v>
      </c>
      <c r="N584" s="5" t="s">
        <v>31</v>
      </c>
      <c r="O584" s="5" t="s">
        <v>32</v>
      </c>
      <c r="P584" s="5" t="s">
        <v>33</v>
      </c>
      <c r="Q584" s="2">
        <v>45966</v>
      </c>
      <c r="V584" s="45">
        <f>IF(OR(ISNUMBER(SEARCH("unable to locate acct",G584)),ISNUMBER(SEARCH("unknown",G584)),ISNUMBER(SEARCH("inactive",G584)),H584=""),0,1)</f>
        <v>1</v>
      </c>
    </row>
    <row r="585" spans="1:22" hidden="1">
      <c r="A585" s="2">
        <v>45905</v>
      </c>
      <c r="B585" s="1" t="s">
        <v>1561</v>
      </c>
      <c r="C585" s="1" t="s">
        <v>1562</v>
      </c>
      <c r="D585" s="1" t="s">
        <v>196</v>
      </c>
      <c r="E585" s="1">
        <v>85383</v>
      </c>
      <c r="F585" s="1" t="s">
        <v>304</v>
      </c>
      <c r="G585" s="1" t="s">
        <v>1535</v>
      </c>
      <c r="H585" s="4" t="s">
        <v>21</v>
      </c>
      <c r="V585" s="45">
        <f>IF(OR(ISNUMBER(SEARCH("unable to locate acct",G585)),ISNUMBER(SEARCH("unknown",G585)),ISNUMBER(SEARCH("inactive",G585)),H585=""),0,1)</f>
        <v>1</v>
      </c>
    </row>
    <row r="586" spans="1:22" hidden="1">
      <c r="A586" s="2">
        <v>45905</v>
      </c>
      <c r="B586" s="1" t="s">
        <v>1563</v>
      </c>
      <c r="C586" s="1" t="s">
        <v>1564</v>
      </c>
      <c r="D586" s="1" t="s">
        <v>123</v>
      </c>
      <c r="E586" s="1">
        <v>85233</v>
      </c>
      <c r="F586" s="1" t="s">
        <v>25</v>
      </c>
      <c r="G586" s="1" t="s">
        <v>1535</v>
      </c>
      <c r="H586" s="4" t="s">
        <v>5148</v>
      </c>
      <c r="I586" s="5" t="s">
        <v>30</v>
      </c>
      <c r="J586" s="5" t="s">
        <v>31</v>
      </c>
      <c r="K586" s="5" t="s">
        <v>31</v>
      </c>
      <c r="L586" s="5" t="s">
        <v>32</v>
      </c>
      <c r="M586" s="5" t="s">
        <v>31</v>
      </c>
      <c r="N586" s="5" t="s">
        <v>31</v>
      </c>
      <c r="O586" s="5" t="s">
        <v>32</v>
      </c>
      <c r="P586" s="5" t="s">
        <v>33</v>
      </c>
      <c r="Q586" s="2">
        <v>45966</v>
      </c>
      <c r="V586" s="45">
        <f>IF(OR(ISNUMBER(SEARCH("unable to locate acct",G586)),ISNUMBER(SEARCH("unknown",G586)),ISNUMBER(SEARCH("inactive",G586)),H586=""),0,1)</f>
        <v>1</v>
      </c>
    </row>
    <row r="587" spans="1:22" hidden="1">
      <c r="A587" s="2">
        <v>45905</v>
      </c>
      <c r="B587" s="1" t="s">
        <v>1565</v>
      </c>
      <c r="C587" s="1" t="s">
        <v>762</v>
      </c>
      <c r="D587" s="1" t="s">
        <v>57</v>
      </c>
      <c r="E587" s="1">
        <v>85020</v>
      </c>
      <c r="F587" s="1" t="s">
        <v>304</v>
      </c>
      <c r="G587" s="1" t="s">
        <v>1535</v>
      </c>
      <c r="H587" s="4" t="s">
        <v>4964</v>
      </c>
      <c r="I587" s="5" t="s">
        <v>190</v>
      </c>
      <c r="J587" s="5" t="s">
        <v>31</v>
      </c>
      <c r="K587" s="5" t="s">
        <v>31</v>
      </c>
      <c r="L587" s="5" t="s">
        <v>1566</v>
      </c>
      <c r="M587" s="5" t="s">
        <v>31</v>
      </c>
      <c r="N587" s="5" t="s">
        <v>31</v>
      </c>
      <c r="O587" s="5" t="s">
        <v>32</v>
      </c>
      <c r="P587" s="5" t="s">
        <v>33</v>
      </c>
      <c r="Q587" s="2">
        <v>45966</v>
      </c>
      <c r="V587" s="45">
        <f>IF(OR(ISNUMBER(SEARCH("unable to locate acct",G587)),ISNUMBER(SEARCH("unknown",G587)),ISNUMBER(SEARCH("inactive",G587)),H587=""),0,1)</f>
        <v>1</v>
      </c>
    </row>
    <row r="588" spans="1:22" hidden="1">
      <c r="A588" s="2">
        <v>45905</v>
      </c>
      <c r="B588" s="1" t="s">
        <v>1567</v>
      </c>
      <c r="C588" s="1" t="s">
        <v>36</v>
      </c>
      <c r="D588" s="1" t="s">
        <v>163</v>
      </c>
      <c r="E588" s="1">
        <v>85338</v>
      </c>
      <c r="F588" s="1" t="s">
        <v>25</v>
      </c>
      <c r="G588" s="1" t="s">
        <v>1535</v>
      </c>
      <c r="H588" s="4" t="s">
        <v>203</v>
      </c>
      <c r="V588" s="45">
        <f>IF(OR(ISNUMBER(SEARCH("unable to locate acct",G588)),ISNUMBER(SEARCH("unknown",G588)),ISNUMBER(SEARCH("inactive",G588)),H588=""),0,1)</f>
        <v>1</v>
      </c>
    </row>
    <row r="589" spans="1:22" hidden="1">
      <c r="A589" s="2">
        <v>45905</v>
      </c>
      <c r="B589" s="1" t="s">
        <v>1568</v>
      </c>
      <c r="C589" s="1" t="s">
        <v>541</v>
      </c>
      <c r="D589" s="1" t="s">
        <v>106</v>
      </c>
      <c r="E589" s="1">
        <v>85387</v>
      </c>
      <c r="F589" s="1" t="s">
        <v>304</v>
      </c>
      <c r="G589" s="1" t="s">
        <v>1535</v>
      </c>
      <c r="H589" s="4" t="s">
        <v>4965</v>
      </c>
      <c r="I589" s="5" t="s">
        <v>190</v>
      </c>
      <c r="J589" s="5" t="s">
        <v>31</v>
      </c>
      <c r="K589" s="5" t="s">
        <v>31</v>
      </c>
      <c r="L589" s="7" t="s">
        <v>1569</v>
      </c>
      <c r="M589" s="5" t="s">
        <v>31</v>
      </c>
      <c r="N589" s="5" t="s">
        <v>31</v>
      </c>
      <c r="O589" s="5" t="s">
        <v>32</v>
      </c>
      <c r="P589" s="2">
        <v>45936</v>
      </c>
      <c r="Q589" s="2">
        <v>45966</v>
      </c>
      <c r="R589" s="1" t="s">
        <v>1570</v>
      </c>
      <c r="V589" s="45">
        <f>IF(OR(ISNUMBER(SEARCH("unable to locate acct",G589)),ISNUMBER(SEARCH("unknown",G589)),ISNUMBER(SEARCH("inactive",G589)),H589=""),0,1)</f>
        <v>1</v>
      </c>
    </row>
    <row r="590" spans="1:22" hidden="1">
      <c r="A590" s="2">
        <v>45905</v>
      </c>
      <c r="B590" s="1" t="s">
        <v>1571</v>
      </c>
      <c r="C590" s="1" t="s">
        <v>879</v>
      </c>
      <c r="D590" s="1" t="s">
        <v>57</v>
      </c>
      <c r="E590" s="1">
        <v>85024</v>
      </c>
      <c r="F590" s="1" t="s">
        <v>304</v>
      </c>
      <c r="G590" s="1" t="s">
        <v>1535</v>
      </c>
      <c r="H590" s="4" t="s">
        <v>5149</v>
      </c>
      <c r="I590" s="5" t="s">
        <v>30</v>
      </c>
      <c r="J590" s="5" t="s">
        <v>31</v>
      </c>
      <c r="K590" s="5" t="s">
        <v>31</v>
      </c>
      <c r="L590" s="5" t="s">
        <v>32</v>
      </c>
      <c r="M590" s="5" t="s">
        <v>31</v>
      </c>
      <c r="N590" s="5" t="s">
        <v>31</v>
      </c>
      <c r="O590" s="5" t="s">
        <v>32</v>
      </c>
      <c r="P590" s="5" t="s">
        <v>33</v>
      </c>
      <c r="Q590" s="2">
        <v>45966</v>
      </c>
      <c r="V590" s="45">
        <f>IF(OR(ISNUMBER(SEARCH("unable to locate acct",G590)),ISNUMBER(SEARCH("unknown",G590)),ISNUMBER(SEARCH("inactive",G590)),H590=""),0,1)</f>
        <v>1</v>
      </c>
    </row>
    <row r="591" spans="1:22" hidden="1">
      <c r="A591" s="2">
        <v>45905</v>
      </c>
      <c r="B591" s="1" t="s">
        <v>1572</v>
      </c>
      <c r="C591" s="1" t="s">
        <v>588</v>
      </c>
      <c r="D591" s="1" t="s">
        <v>514</v>
      </c>
      <c r="E591" s="1">
        <v>85392</v>
      </c>
      <c r="F591" s="1" t="s">
        <v>25</v>
      </c>
      <c r="G591" s="1" t="s">
        <v>1535</v>
      </c>
      <c r="H591" s="21" t="s">
        <v>5644</v>
      </c>
      <c r="I591" s="5" t="s">
        <v>190</v>
      </c>
      <c r="J591" s="5" t="s">
        <v>31</v>
      </c>
      <c r="K591" s="5" t="s">
        <v>31</v>
      </c>
      <c r="L591" s="7" t="s">
        <v>1573</v>
      </c>
      <c r="M591" s="5" t="s">
        <v>31</v>
      </c>
      <c r="N591" s="5" t="s">
        <v>31</v>
      </c>
      <c r="O591" s="5" t="s">
        <v>32</v>
      </c>
      <c r="P591" s="2">
        <v>45936</v>
      </c>
      <c r="Q591" s="2">
        <v>45966</v>
      </c>
      <c r="R591" s="1" t="s">
        <v>1542</v>
      </c>
      <c r="V591" s="45">
        <f>IF(OR(ISNUMBER(SEARCH("unable to locate acct",G591)),ISNUMBER(SEARCH("unknown",G591)),ISNUMBER(SEARCH("inactive",G591)),H591=""),0,1)</f>
        <v>1</v>
      </c>
    </row>
    <row r="592" spans="1:22" hidden="1">
      <c r="A592" s="2">
        <v>45905</v>
      </c>
      <c r="B592" s="1" t="s">
        <v>1574</v>
      </c>
      <c r="C592" s="1" t="s">
        <v>871</v>
      </c>
      <c r="D592" s="1" t="s">
        <v>57</v>
      </c>
      <c r="E592" s="1">
        <v>85085</v>
      </c>
      <c r="F592" s="1" t="s">
        <v>304</v>
      </c>
      <c r="G592" s="1" t="s">
        <v>1535</v>
      </c>
      <c r="H592" s="4" t="s">
        <v>21</v>
      </c>
      <c r="V592" s="45">
        <f>IF(OR(ISNUMBER(SEARCH("unable to locate acct",G592)),ISNUMBER(SEARCH("unknown",G592)),ISNUMBER(SEARCH("inactive",G592)),H592=""),0,1)</f>
        <v>1</v>
      </c>
    </row>
    <row r="593" spans="1:22" hidden="1">
      <c r="A593" s="2">
        <v>45905</v>
      </c>
      <c r="B593" s="1" t="s">
        <v>1575</v>
      </c>
      <c r="C593" s="1" t="s">
        <v>804</v>
      </c>
      <c r="D593" s="1" t="s">
        <v>163</v>
      </c>
      <c r="E593" s="1">
        <v>85338</v>
      </c>
      <c r="F593" s="1" t="s">
        <v>1576</v>
      </c>
      <c r="G593" s="1" t="s">
        <v>1535</v>
      </c>
      <c r="H593" s="4" t="s">
        <v>5150</v>
      </c>
      <c r="I593" s="5" t="s">
        <v>30</v>
      </c>
      <c r="J593" s="5" t="s">
        <v>31</v>
      </c>
      <c r="K593" s="5" t="s">
        <v>31</v>
      </c>
      <c r="L593" s="5" t="s">
        <v>32</v>
      </c>
      <c r="M593" s="5" t="s">
        <v>31</v>
      </c>
      <c r="N593" s="5" t="s">
        <v>31</v>
      </c>
      <c r="O593" s="5" t="s">
        <v>32</v>
      </c>
      <c r="P593" s="5" t="s">
        <v>33</v>
      </c>
      <c r="Q593" s="2">
        <v>45966</v>
      </c>
      <c r="V593" s="45">
        <f>IF(OR(ISNUMBER(SEARCH("unable to locate acct",G593)),ISNUMBER(SEARCH("unknown",G593)),ISNUMBER(SEARCH("inactive",G593)),H593=""),0,1)</f>
        <v>1</v>
      </c>
    </row>
    <row r="594" spans="1:22" hidden="1">
      <c r="A594" s="2">
        <v>45905</v>
      </c>
      <c r="B594" s="1" t="s">
        <v>1577</v>
      </c>
      <c r="C594" s="1" t="s">
        <v>1578</v>
      </c>
      <c r="D594" s="1" t="s">
        <v>163</v>
      </c>
      <c r="E594" s="1">
        <v>85338</v>
      </c>
      <c r="F594" s="1" t="s">
        <v>1407</v>
      </c>
      <c r="G594" s="1" t="s">
        <v>1535</v>
      </c>
      <c r="H594" s="4" t="s">
        <v>5151</v>
      </c>
      <c r="I594" s="5" t="s">
        <v>410</v>
      </c>
      <c r="J594" s="5" t="s">
        <v>31</v>
      </c>
      <c r="K594" s="5" t="s">
        <v>31</v>
      </c>
      <c r="L594" s="5" t="s">
        <v>381</v>
      </c>
      <c r="M594" s="5" t="s">
        <v>31</v>
      </c>
      <c r="N594" s="5" t="s">
        <v>31</v>
      </c>
      <c r="O594" s="5" t="s">
        <v>32</v>
      </c>
      <c r="P594" s="5" t="s">
        <v>33</v>
      </c>
      <c r="Q594" s="2">
        <v>45966</v>
      </c>
      <c r="V594" s="45">
        <f>IF(OR(ISNUMBER(SEARCH("unable to locate acct",G594)),ISNUMBER(SEARCH("unknown",G594)),ISNUMBER(SEARCH("inactive",G594)),H594=""),0,1)</f>
        <v>1</v>
      </c>
    </row>
    <row r="595" spans="1:22" hidden="1">
      <c r="A595" s="2">
        <v>45905</v>
      </c>
      <c r="B595" s="1" t="s">
        <v>1579</v>
      </c>
      <c r="C595" s="1" t="s">
        <v>1419</v>
      </c>
      <c r="D595" s="1" t="s">
        <v>363</v>
      </c>
      <c r="E595" s="1">
        <v>85225</v>
      </c>
      <c r="F595" s="1" t="s">
        <v>304</v>
      </c>
      <c r="G595" s="1" t="s">
        <v>1535</v>
      </c>
      <c r="H595" s="21" t="s">
        <v>1580</v>
      </c>
      <c r="I595" s="5" t="s">
        <v>30</v>
      </c>
      <c r="J595" s="5" t="s">
        <v>32</v>
      </c>
      <c r="K595" s="5" t="s">
        <v>31</v>
      </c>
      <c r="L595" s="5" t="s">
        <v>1581</v>
      </c>
      <c r="M595" s="5" t="s">
        <v>31</v>
      </c>
      <c r="N595" s="5" t="s">
        <v>31</v>
      </c>
      <c r="O595" s="5" t="s">
        <v>32</v>
      </c>
      <c r="P595" s="5" t="s">
        <v>33</v>
      </c>
      <c r="Q595" s="2">
        <v>45966</v>
      </c>
      <c r="V595" s="45">
        <f>IF(OR(ISNUMBER(SEARCH("unable to locate acct",G595)),ISNUMBER(SEARCH("unknown",G595)),ISNUMBER(SEARCH("inactive",G595)),H595=""),0,1)</f>
        <v>1</v>
      </c>
    </row>
    <row r="596" spans="1:22" hidden="1">
      <c r="A596" s="2">
        <v>45905</v>
      </c>
      <c r="B596" s="1" t="s">
        <v>851</v>
      </c>
      <c r="C596" s="1" t="s">
        <v>1582</v>
      </c>
      <c r="D596" s="1" t="s">
        <v>57</v>
      </c>
      <c r="E596" s="1">
        <v>85029</v>
      </c>
      <c r="F596" s="1" t="s">
        <v>25</v>
      </c>
      <c r="G596" s="1" t="s">
        <v>1535</v>
      </c>
      <c r="H596" s="4" t="s">
        <v>21</v>
      </c>
      <c r="V596" s="45">
        <f>IF(OR(ISNUMBER(SEARCH("unable to locate acct",G596)),ISNUMBER(SEARCH("unknown",G596)),ISNUMBER(SEARCH("inactive",G596)),H596=""),0,1)</f>
        <v>1</v>
      </c>
    </row>
    <row r="597" spans="1:22" hidden="1">
      <c r="A597" s="2">
        <v>45905</v>
      </c>
      <c r="B597" s="1" t="s">
        <v>1515</v>
      </c>
      <c r="C597" s="1" t="s">
        <v>1302</v>
      </c>
      <c r="D597" s="1" t="s">
        <v>119</v>
      </c>
      <c r="E597" s="1">
        <v>85254</v>
      </c>
      <c r="F597" s="1" t="s">
        <v>304</v>
      </c>
      <c r="G597" s="1" t="s">
        <v>1535</v>
      </c>
      <c r="H597" s="21" t="s">
        <v>5645</v>
      </c>
      <c r="I597" s="5" t="s">
        <v>30</v>
      </c>
      <c r="J597" s="5" t="s">
        <v>31</v>
      </c>
      <c r="K597" s="5" t="s">
        <v>31</v>
      </c>
      <c r="L597" s="5" t="s">
        <v>32</v>
      </c>
      <c r="M597" s="5" t="s">
        <v>31</v>
      </c>
      <c r="N597" s="5" t="s">
        <v>31</v>
      </c>
      <c r="O597" s="5" t="s">
        <v>32</v>
      </c>
      <c r="P597" s="5" t="s">
        <v>33</v>
      </c>
      <c r="Q597" s="2">
        <v>45966</v>
      </c>
      <c r="V597" s="45">
        <f>IF(OR(ISNUMBER(SEARCH("unable to locate acct",G597)),ISNUMBER(SEARCH("unknown",G597)),ISNUMBER(SEARCH("inactive",G597)),H597=""),0,1)</f>
        <v>1</v>
      </c>
    </row>
    <row r="598" spans="1:22" hidden="1">
      <c r="A598" s="2">
        <v>45905</v>
      </c>
      <c r="B598" s="1" t="s">
        <v>1583</v>
      </c>
      <c r="C598" s="1" t="s">
        <v>482</v>
      </c>
      <c r="D598" s="1" t="s">
        <v>163</v>
      </c>
      <c r="E598" s="1">
        <v>85395</v>
      </c>
      <c r="F598" s="1" t="s">
        <v>25</v>
      </c>
      <c r="G598" s="1" t="s">
        <v>1535</v>
      </c>
      <c r="H598" s="4" t="s">
        <v>5152</v>
      </c>
      <c r="I598" s="5" t="s">
        <v>67</v>
      </c>
      <c r="J598" s="5" t="s">
        <v>31</v>
      </c>
      <c r="K598" s="5" t="s">
        <v>31</v>
      </c>
      <c r="L598" s="5" t="s">
        <v>32</v>
      </c>
      <c r="M598" s="5" t="s">
        <v>31</v>
      </c>
      <c r="N598" s="5" t="s">
        <v>31</v>
      </c>
      <c r="O598" s="5" t="s">
        <v>32</v>
      </c>
      <c r="P598" s="5" t="s">
        <v>33</v>
      </c>
      <c r="Q598" s="2">
        <v>45966</v>
      </c>
      <c r="V598" s="45">
        <f>IF(OR(ISNUMBER(SEARCH("unable to locate acct",G598)),ISNUMBER(SEARCH("unknown",G598)),ISNUMBER(SEARCH("inactive",G598)),H598=""),0,1)</f>
        <v>1</v>
      </c>
    </row>
    <row r="599" spans="1:22" hidden="1">
      <c r="A599" s="2">
        <v>45905</v>
      </c>
      <c r="B599" s="1" t="s">
        <v>1584</v>
      </c>
      <c r="C599" s="1" t="s">
        <v>907</v>
      </c>
      <c r="D599" s="1" t="s">
        <v>57</v>
      </c>
      <c r="E599" s="1">
        <v>85028</v>
      </c>
      <c r="F599" s="1" t="s">
        <v>1585</v>
      </c>
      <c r="G599" s="1" t="s">
        <v>1535</v>
      </c>
      <c r="H599" s="4" t="s">
        <v>5091</v>
      </c>
      <c r="I599" s="5" t="s">
        <v>30</v>
      </c>
      <c r="J599" s="5" t="s">
        <v>32</v>
      </c>
      <c r="K599" s="5" t="s">
        <v>31</v>
      </c>
      <c r="L599" s="5" t="s">
        <v>32</v>
      </c>
      <c r="M599" s="5" t="s">
        <v>32</v>
      </c>
      <c r="N599" s="15">
        <v>414.43</v>
      </c>
      <c r="O599" s="5" t="s">
        <v>32</v>
      </c>
      <c r="P599" s="7"/>
      <c r="Q599" s="2">
        <v>45966</v>
      </c>
      <c r="R599" s="1" t="s">
        <v>486</v>
      </c>
      <c r="V599" s="45">
        <f>IF(OR(ISNUMBER(SEARCH("unable to locate acct",G599)),ISNUMBER(SEARCH("unknown",G599)),ISNUMBER(SEARCH("inactive",G599)),H599=""),0,1)</f>
        <v>1</v>
      </c>
    </row>
    <row r="600" spans="1:22" hidden="1">
      <c r="A600" s="2">
        <v>45905</v>
      </c>
      <c r="B600" s="1" t="s">
        <v>1586</v>
      </c>
      <c r="C600" s="1" t="s">
        <v>1587</v>
      </c>
      <c r="D600" s="1" t="s">
        <v>163</v>
      </c>
      <c r="E600" s="1">
        <v>85395</v>
      </c>
      <c r="F600" s="1" t="s">
        <v>1588</v>
      </c>
      <c r="G600" s="1" t="s">
        <v>1535</v>
      </c>
      <c r="H600" s="4" t="s">
        <v>5153</v>
      </c>
      <c r="I600" s="5" t="s">
        <v>190</v>
      </c>
      <c r="J600" s="5" t="s">
        <v>31</v>
      </c>
      <c r="K600" s="5" t="s">
        <v>31</v>
      </c>
      <c r="L600" s="5" t="s">
        <v>32</v>
      </c>
      <c r="M600" s="5" t="s">
        <v>31</v>
      </c>
      <c r="N600" s="5" t="s">
        <v>31</v>
      </c>
      <c r="O600" s="5" t="s">
        <v>32</v>
      </c>
      <c r="P600" s="5" t="s">
        <v>33</v>
      </c>
      <c r="Q600" s="2">
        <v>45966</v>
      </c>
      <c r="V600" s="45">
        <f>IF(OR(ISNUMBER(SEARCH("unable to locate acct",G600)),ISNUMBER(SEARCH("unknown",G600)),ISNUMBER(SEARCH("inactive",G600)),H600=""),0,1)</f>
        <v>1</v>
      </c>
    </row>
    <row r="601" spans="1:22" hidden="1">
      <c r="A601" s="2">
        <v>45905</v>
      </c>
      <c r="B601" s="1" t="s">
        <v>1589</v>
      </c>
      <c r="C601" s="1" t="s">
        <v>1590</v>
      </c>
      <c r="D601" s="1" t="s">
        <v>57</v>
      </c>
      <c r="E601" s="1">
        <v>85032</v>
      </c>
      <c r="F601" s="1" t="s">
        <v>304</v>
      </c>
      <c r="G601" s="1" t="s">
        <v>1535</v>
      </c>
      <c r="H601" s="4" t="s">
        <v>5154</v>
      </c>
      <c r="I601" s="5" t="s">
        <v>30</v>
      </c>
      <c r="J601" s="5" t="s">
        <v>31</v>
      </c>
      <c r="K601" s="5" t="s">
        <v>31</v>
      </c>
      <c r="L601" s="5" t="s">
        <v>32</v>
      </c>
      <c r="M601" s="5" t="s">
        <v>31</v>
      </c>
      <c r="N601" s="5" t="s">
        <v>31</v>
      </c>
      <c r="O601" s="5" t="s">
        <v>32</v>
      </c>
      <c r="P601" s="5" t="s">
        <v>33</v>
      </c>
      <c r="Q601" s="2">
        <v>45966</v>
      </c>
      <c r="V601" s="45">
        <f>IF(OR(ISNUMBER(SEARCH("unable to locate acct",G601)),ISNUMBER(SEARCH("unknown",G601)),ISNUMBER(SEARCH("inactive",G601)),H601=""),0,1)</f>
        <v>1</v>
      </c>
    </row>
    <row r="602" spans="1:22" hidden="1">
      <c r="A602" s="2">
        <v>45905</v>
      </c>
      <c r="B602" s="1" t="s">
        <v>1591</v>
      </c>
      <c r="C602" s="1" t="s">
        <v>681</v>
      </c>
      <c r="D602" s="1" t="s">
        <v>163</v>
      </c>
      <c r="E602" s="1">
        <v>85395</v>
      </c>
      <c r="F602" s="1" t="s">
        <v>25</v>
      </c>
      <c r="G602" s="1" t="s">
        <v>1535</v>
      </c>
      <c r="H602" s="4" t="s">
        <v>5155</v>
      </c>
      <c r="I602" s="5" t="s">
        <v>30</v>
      </c>
      <c r="J602" s="5" t="s">
        <v>31</v>
      </c>
      <c r="K602" s="5" t="s">
        <v>31</v>
      </c>
      <c r="L602" s="5" t="s">
        <v>32</v>
      </c>
      <c r="M602" s="5" t="s">
        <v>31</v>
      </c>
      <c r="N602" s="5" t="s">
        <v>31</v>
      </c>
      <c r="O602" s="5" t="s">
        <v>32</v>
      </c>
      <c r="P602" s="5" t="s">
        <v>33</v>
      </c>
      <c r="Q602" s="2">
        <v>45966</v>
      </c>
      <c r="V602" s="45">
        <f>IF(OR(ISNUMBER(SEARCH("unable to locate acct",G602)),ISNUMBER(SEARCH("unknown",G602)),ISNUMBER(SEARCH("inactive",G602)),H602=""),0,1)</f>
        <v>1</v>
      </c>
    </row>
    <row r="603" spans="1:22" hidden="1">
      <c r="A603" s="2">
        <v>45905</v>
      </c>
      <c r="B603" s="1" t="s">
        <v>677</v>
      </c>
      <c r="C603" s="1" t="s">
        <v>240</v>
      </c>
      <c r="D603" s="1" t="s">
        <v>163</v>
      </c>
      <c r="E603" s="1">
        <v>85395</v>
      </c>
      <c r="F603" s="1" t="s">
        <v>25</v>
      </c>
      <c r="G603" s="1" t="s">
        <v>1535</v>
      </c>
      <c r="H603" s="4" t="s">
        <v>203</v>
      </c>
      <c r="V603" s="45">
        <f>IF(OR(ISNUMBER(SEARCH("unable to locate acct",G603)),ISNUMBER(SEARCH("unknown",G603)),ISNUMBER(SEARCH("inactive",G603)),H603=""),0,1)</f>
        <v>1</v>
      </c>
    </row>
    <row r="604" spans="1:22" hidden="1">
      <c r="A604" s="2">
        <v>45905</v>
      </c>
      <c r="B604" s="1" t="s">
        <v>1592</v>
      </c>
      <c r="C604" s="1" t="s">
        <v>1593</v>
      </c>
      <c r="D604" s="1" t="s">
        <v>57</v>
      </c>
      <c r="E604" s="1">
        <v>85024</v>
      </c>
      <c r="F604" s="1" t="s">
        <v>304</v>
      </c>
      <c r="G604" s="1" t="s">
        <v>1535</v>
      </c>
      <c r="H604" s="4" t="s">
        <v>21</v>
      </c>
      <c r="V604" s="45">
        <f>IF(OR(ISNUMBER(SEARCH("unable to locate acct",G604)),ISNUMBER(SEARCH("unknown",G604)),ISNUMBER(SEARCH("inactive",G604)),H604=""),0,1)</f>
        <v>1</v>
      </c>
    </row>
    <row r="605" spans="1:22" hidden="1">
      <c r="A605" s="2">
        <v>45905</v>
      </c>
      <c r="B605" s="1" t="s">
        <v>1594</v>
      </c>
      <c r="C605" s="1" t="s">
        <v>1595</v>
      </c>
      <c r="D605" s="1" t="s">
        <v>119</v>
      </c>
      <c r="E605" s="1">
        <v>85254</v>
      </c>
      <c r="F605" s="1" t="s">
        <v>25</v>
      </c>
      <c r="G605" s="1" t="s">
        <v>1535</v>
      </c>
      <c r="H605" s="4" t="s">
        <v>5156</v>
      </c>
      <c r="I605" s="5" t="s">
        <v>30</v>
      </c>
      <c r="J605" s="5" t="s">
        <v>31</v>
      </c>
      <c r="K605" s="5" t="s">
        <v>31</v>
      </c>
      <c r="L605" s="5" t="s">
        <v>32</v>
      </c>
      <c r="M605" s="5" t="s">
        <v>31</v>
      </c>
      <c r="N605" s="5" t="s">
        <v>31</v>
      </c>
      <c r="O605" s="5" t="s">
        <v>32</v>
      </c>
      <c r="P605" s="5" t="s">
        <v>33</v>
      </c>
      <c r="Q605" s="2">
        <v>45966</v>
      </c>
      <c r="V605" s="45">
        <f>IF(OR(ISNUMBER(SEARCH("unable to locate acct",G605)),ISNUMBER(SEARCH("unknown",G605)),ISNUMBER(SEARCH("inactive",G605)),H605=""),0,1)</f>
        <v>1</v>
      </c>
    </row>
    <row r="606" spans="1:22" hidden="1">
      <c r="A606" s="2">
        <v>45905</v>
      </c>
      <c r="B606" s="1" t="s">
        <v>595</v>
      </c>
      <c r="C606" s="1" t="s">
        <v>1596</v>
      </c>
      <c r="D606" s="1" t="s">
        <v>163</v>
      </c>
      <c r="E606" s="1">
        <v>85395</v>
      </c>
      <c r="F606" s="1" t="s">
        <v>25</v>
      </c>
      <c r="G606" s="1" t="s">
        <v>1535</v>
      </c>
      <c r="H606" s="4" t="s">
        <v>5157</v>
      </c>
      <c r="I606" s="5" t="s">
        <v>75</v>
      </c>
      <c r="J606" s="5" t="s">
        <v>31</v>
      </c>
      <c r="K606" s="5" t="s">
        <v>31</v>
      </c>
      <c r="L606" s="5" t="s">
        <v>381</v>
      </c>
      <c r="M606" s="5" t="s">
        <v>31</v>
      </c>
      <c r="N606" s="5" t="s">
        <v>31</v>
      </c>
      <c r="O606" s="5" t="s">
        <v>32</v>
      </c>
      <c r="P606" s="5" t="s">
        <v>33</v>
      </c>
      <c r="Q606" s="2">
        <v>45966</v>
      </c>
      <c r="V606" s="45">
        <f>IF(OR(ISNUMBER(SEARCH("unable to locate acct",G606)),ISNUMBER(SEARCH("unknown",G606)),ISNUMBER(SEARCH("inactive",G606)),H606=""),0,1)</f>
        <v>1</v>
      </c>
    </row>
    <row r="607" spans="1:22" hidden="1">
      <c r="A607" s="2">
        <v>45905</v>
      </c>
      <c r="B607" s="1" t="s">
        <v>1597</v>
      </c>
      <c r="C607" s="1" t="s">
        <v>1598</v>
      </c>
      <c r="D607" s="1" t="s">
        <v>119</v>
      </c>
      <c r="E607" s="1">
        <v>85255</v>
      </c>
      <c r="F607" s="1" t="s">
        <v>25</v>
      </c>
      <c r="G607" s="1" t="s">
        <v>1535</v>
      </c>
      <c r="H607" s="4" t="s">
        <v>5158</v>
      </c>
      <c r="I607" s="5" t="s">
        <v>30</v>
      </c>
      <c r="J607" s="5" t="s">
        <v>31</v>
      </c>
      <c r="K607" s="5" t="s">
        <v>31</v>
      </c>
      <c r="L607" s="5" t="s">
        <v>32</v>
      </c>
      <c r="M607" s="5" t="s">
        <v>31</v>
      </c>
      <c r="N607" s="5" t="s">
        <v>31</v>
      </c>
      <c r="O607" s="5" t="s">
        <v>32</v>
      </c>
      <c r="P607" s="5" t="s">
        <v>33</v>
      </c>
      <c r="Q607" s="2">
        <v>45966</v>
      </c>
      <c r="V607" s="45">
        <f>IF(OR(ISNUMBER(SEARCH("unable to locate acct",G607)),ISNUMBER(SEARCH("unknown",G607)),ISNUMBER(SEARCH("inactive",G607)),H607=""),0,1)</f>
        <v>1</v>
      </c>
    </row>
    <row r="608" spans="1:22" hidden="1">
      <c r="A608" s="2">
        <v>45905</v>
      </c>
      <c r="B608" s="1" t="s">
        <v>1599</v>
      </c>
      <c r="C608" s="1" t="s">
        <v>724</v>
      </c>
      <c r="D608" s="1" t="s">
        <v>57</v>
      </c>
      <c r="E608" s="1">
        <v>85054</v>
      </c>
      <c r="F608" s="1" t="s">
        <v>304</v>
      </c>
      <c r="G608" s="1" t="s">
        <v>1535</v>
      </c>
      <c r="H608" s="4" t="s">
        <v>21</v>
      </c>
      <c r="V608" s="45">
        <f>IF(OR(ISNUMBER(SEARCH("unable to locate acct",G608)),ISNUMBER(SEARCH("unknown",G608)),ISNUMBER(SEARCH("inactive",G608)),H608=""),0,1)</f>
        <v>1</v>
      </c>
    </row>
    <row r="609" spans="1:22" hidden="1">
      <c r="A609" s="2">
        <v>45905</v>
      </c>
      <c r="B609" s="1" t="s">
        <v>1600</v>
      </c>
      <c r="C609" s="1" t="s">
        <v>1601</v>
      </c>
      <c r="D609" s="1" t="s">
        <v>57</v>
      </c>
      <c r="E609" s="1">
        <v>85018</v>
      </c>
      <c r="F609" s="1" t="s">
        <v>304</v>
      </c>
      <c r="G609" s="1" t="s">
        <v>1535</v>
      </c>
      <c r="H609" s="4" t="s">
        <v>5159</v>
      </c>
      <c r="I609" s="5" t="s">
        <v>30</v>
      </c>
      <c r="J609" s="5" t="s">
        <v>31</v>
      </c>
      <c r="K609" s="5" t="s">
        <v>31</v>
      </c>
      <c r="L609" s="5" t="s">
        <v>32</v>
      </c>
      <c r="M609" s="5" t="s">
        <v>31</v>
      </c>
      <c r="N609" s="5" t="s">
        <v>31</v>
      </c>
      <c r="O609" s="5" t="s">
        <v>32</v>
      </c>
      <c r="P609" s="5" t="s">
        <v>33</v>
      </c>
      <c r="Q609" s="2">
        <v>45966</v>
      </c>
      <c r="V609" s="45">
        <f>IF(OR(ISNUMBER(SEARCH("unable to locate acct",G609)),ISNUMBER(SEARCH("unknown",G609)),ISNUMBER(SEARCH("inactive",G609)),H609=""),0,1)</f>
        <v>1</v>
      </c>
    </row>
    <row r="610" spans="1:22" hidden="1">
      <c r="A610" s="2">
        <v>45905</v>
      </c>
      <c r="B610" s="1" t="s">
        <v>351</v>
      </c>
      <c r="C610" s="1" t="s">
        <v>1602</v>
      </c>
      <c r="D610" s="1" t="s">
        <v>57</v>
      </c>
      <c r="E610" s="1">
        <v>85007</v>
      </c>
      <c r="F610" s="1" t="s">
        <v>304</v>
      </c>
      <c r="G610" s="1" t="s">
        <v>1535</v>
      </c>
      <c r="H610" s="4" t="s">
        <v>4966</v>
      </c>
      <c r="I610" s="5" t="s">
        <v>190</v>
      </c>
      <c r="J610" s="5" t="s">
        <v>31</v>
      </c>
      <c r="K610" s="5" t="s">
        <v>31</v>
      </c>
      <c r="L610" s="5" t="s">
        <v>1603</v>
      </c>
      <c r="M610" s="5" t="s">
        <v>31</v>
      </c>
      <c r="N610" s="5" t="s">
        <v>31</v>
      </c>
      <c r="O610" s="5" t="s">
        <v>32</v>
      </c>
      <c r="P610" s="5" t="s">
        <v>33</v>
      </c>
      <c r="Q610" s="2">
        <v>45966</v>
      </c>
      <c r="V610" s="45">
        <f>IF(OR(ISNUMBER(SEARCH("unable to locate acct",G610)),ISNUMBER(SEARCH("unknown",G610)),ISNUMBER(SEARCH("inactive",G610)),H610=""),0,1)</f>
        <v>1</v>
      </c>
    </row>
    <row r="611" spans="1:22" hidden="1">
      <c r="A611" s="2">
        <v>45905</v>
      </c>
      <c r="B611" s="1" t="s">
        <v>1604</v>
      </c>
      <c r="C611" s="1" t="s">
        <v>1605</v>
      </c>
      <c r="D611" s="1" t="s">
        <v>610</v>
      </c>
      <c r="E611" s="1">
        <v>85365</v>
      </c>
      <c r="F611" s="1" t="s">
        <v>304</v>
      </c>
      <c r="G611" s="1" t="s">
        <v>1535</v>
      </c>
      <c r="H611" s="4" t="s">
        <v>5160</v>
      </c>
      <c r="I611" s="5" t="s">
        <v>120</v>
      </c>
      <c r="J611" s="5" t="s">
        <v>31</v>
      </c>
      <c r="K611" s="5" t="s">
        <v>31</v>
      </c>
      <c r="L611" s="5" t="s">
        <v>32</v>
      </c>
      <c r="M611" s="5" t="s">
        <v>31</v>
      </c>
      <c r="N611" s="5" t="s">
        <v>31</v>
      </c>
      <c r="O611" s="5" t="s">
        <v>32</v>
      </c>
      <c r="P611" s="5" t="s">
        <v>33</v>
      </c>
      <c r="Q611" s="2">
        <v>45966</v>
      </c>
      <c r="V611" s="45">
        <f>IF(OR(ISNUMBER(SEARCH("unable to locate acct",G611)),ISNUMBER(SEARCH("unknown",G611)),ISNUMBER(SEARCH("inactive",G611)),H611=""),0,1)</f>
        <v>1</v>
      </c>
    </row>
    <row r="612" spans="1:22" hidden="1">
      <c r="A612" s="2">
        <v>45905</v>
      </c>
      <c r="B612" s="1" t="s">
        <v>202</v>
      </c>
      <c r="C612" s="1" t="s">
        <v>1005</v>
      </c>
      <c r="D612" s="1" t="s">
        <v>258</v>
      </c>
      <c r="E612" s="1">
        <v>85541</v>
      </c>
      <c r="F612" s="1" t="s">
        <v>25</v>
      </c>
      <c r="G612" s="1" t="s">
        <v>1535</v>
      </c>
      <c r="H612" s="4" t="s">
        <v>4967</v>
      </c>
      <c r="I612" s="5" t="s">
        <v>190</v>
      </c>
      <c r="J612" s="5" t="s">
        <v>31</v>
      </c>
      <c r="K612" s="5" t="s">
        <v>31</v>
      </c>
      <c r="L612" s="5" t="s">
        <v>1606</v>
      </c>
      <c r="M612" s="5" t="s">
        <v>31</v>
      </c>
      <c r="N612" s="5" t="s">
        <v>31</v>
      </c>
      <c r="O612" s="5" t="s">
        <v>32</v>
      </c>
      <c r="P612" s="5" t="s">
        <v>33</v>
      </c>
      <c r="Q612" s="2">
        <v>45966</v>
      </c>
      <c r="V612" s="45">
        <f>IF(OR(ISNUMBER(SEARCH("unable to locate acct",G612)),ISNUMBER(SEARCH("unknown",G612)),ISNUMBER(SEARCH("inactive",G612)),H612=""),0,1)</f>
        <v>1</v>
      </c>
    </row>
    <row r="613" spans="1:22" hidden="1">
      <c r="A613" s="2">
        <v>45905</v>
      </c>
      <c r="B613" s="1" t="s">
        <v>1607</v>
      </c>
      <c r="C613" s="1" t="s">
        <v>1608</v>
      </c>
      <c r="D613" s="1" t="s">
        <v>57</v>
      </c>
      <c r="E613" s="1">
        <v>85028</v>
      </c>
      <c r="F613" s="1" t="s">
        <v>304</v>
      </c>
      <c r="G613" s="1" t="s">
        <v>1535</v>
      </c>
      <c r="H613" s="4" t="s">
        <v>5161</v>
      </c>
      <c r="I613" s="5" t="s">
        <v>532</v>
      </c>
      <c r="J613" s="5" t="s">
        <v>31</v>
      </c>
      <c r="K613" s="5" t="s">
        <v>31</v>
      </c>
      <c r="L613" s="5" t="s">
        <v>381</v>
      </c>
      <c r="M613" s="5" t="s">
        <v>31</v>
      </c>
      <c r="N613" s="5" t="s">
        <v>31</v>
      </c>
      <c r="O613" s="5" t="s">
        <v>32</v>
      </c>
      <c r="P613" s="5" t="s">
        <v>33</v>
      </c>
      <c r="Q613" s="2">
        <v>45966</v>
      </c>
      <c r="V613" s="45">
        <f>IF(OR(ISNUMBER(SEARCH("unable to locate acct",G613)),ISNUMBER(SEARCH("unknown",G613)),ISNUMBER(SEARCH("inactive",G613)),H613=""),0,1)</f>
        <v>1</v>
      </c>
    </row>
    <row r="614" spans="1:22" hidden="1">
      <c r="A614" s="2">
        <v>45905</v>
      </c>
      <c r="B614" s="1" t="s">
        <v>1609</v>
      </c>
      <c r="C614" s="1" t="s">
        <v>877</v>
      </c>
      <c r="D614" s="1" t="s">
        <v>57</v>
      </c>
      <c r="E614" s="1">
        <v>85083</v>
      </c>
      <c r="F614" s="1" t="s">
        <v>304</v>
      </c>
      <c r="G614" s="1" t="s">
        <v>1535</v>
      </c>
      <c r="H614" s="4" t="s">
        <v>5162</v>
      </c>
      <c r="I614" s="5" t="s">
        <v>51</v>
      </c>
      <c r="J614" s="5" t="s">
        <v>31</v>
      </c>
      <c r="K614" s="5" t="s">
        <v>31</v>
      </c>
      <c r="L614" s="5" t="s">
        <v>32</v>
      </c>
      <c r="M614" s="5" t="s">
        <v>31</v>
      </c>
      <c r="N614" s="5" t="s">
        <v>31</v>
      </c>
      <c r="O614" s="5" t="s">
        <v>32</v>
      </c>
      <c r="P614" s="5" t="s">
        <v>33</v>
      </c>
      <c r="Q614" s="2">
        <v>45966</v>
      </c>
      <c r="V614" s="45">
        <f>IF(OR(ISNUMBER(SEARCH("unable to locate acct",G614)),ISNUMBER(SEARCH("unknown",G614)),ISNUMBER(SEARCH("inactive",G614)),H614=""),0,1)</f>
        <v>1</v>
      </c>
    </row>
    <row r="615" spans="1:22" hidden="1">
      <c r="A615" s="2">
        <v>45905</v>
      </c>
      <c r="B615" s="1" t="s">
        <v>1610</v>
      </c>
      <c r="C615" s="1" t="s">
        <v>1611</v>
      </c>
      <c r="D615" s="1" t="s">
        <v>57</v>
      </c>
      <c r="E615" s="1">
        <v>85032</v>
      </c>
      <c r="F615" s="1" t="s">
        <v>25</v>
      </c>
      <c r="G615" s="1" t="s">
        <v>1535</v>
      </c>
      <c r="H615" s="21" t="s">
        <v>5646</v>
      </c>
      <c r="I615" s="5" t="s">
        <v>120</v>
      </c>
      <c r="J615" s="5" t="s">
        <v>31</v>
      </c>
      <c r="K615" s="5" t="s">
        <v>31</v>
      </c>
      <c r="L615" s="5" t="s">
        <v>32</v>
      </c>
      <c r="M615" s="5" t="s">
        <v>31</v>
      </c>
      <c r="N615" s="5" t="s">
        <v>31</v>
      </c>
      <c r="O615" s="5" t="s">
        <v>32</v>
      </c>
      <c r="P615" s="5" t="s">
        <v>33</v>
      </c>
      <c r="Q615" s="2">
        <v>45966</v>
      </c>
      <c r="V615" s="45">
        <f>IF(OR(ISNUMBER(SEARCH("unable to locate acct",G615)),ISNUMBER(SEARCH("unknown",G615)),ISNUMBER(SEARCH("inactive",G615)),H615=""),0,1)</f>
        <v>1</v>
      </c>
    </row>
    <row r="616" spans="1:22" hidden="1">
      <c r="A616" s="2">
        <v>45905</v>
      </c>
      <c r="B616" s="1" t="s">
        <v>1612</v>
      </c>
      <c r="C616" s="1" t="s">
        <v>1613</v>
      </c>
      <c r="D616" s="1" t="s">
        <v>163</v>
      </c>
      <c r="E616" s="1">
        <v>85395</v>
      </c>
      <c r="F616" s="1" t="s">
        <v>25</v>
      </c>
      <c r="G616" s="1" t="s">
        <v>1535</v>
      </c>
      <c r="H616" s="21" t="s">
        <v>5647</v>
      </c>
      <c r="I616" s="5" t="s">
        <v>410</v>
      </c>
      <c r="J616" s="5" t="s">
        <v>31</v>
      </c>
      <c r="K616" s="5" t="s">
        <v>31</v>
      </c>
      <c r="L616" s="5" t="s">
        <v>381</v>
      </c>
      <c r="M616" s="5" t="s">
        <v>31</v>
      </c>
      <c r="N616" s="5" t="s">
        <v>31</v>
      </c>
      <c r="O616" s="5" t="s">
        <v>32</v>
      </c>
      <c r="P616" s="5" t="s">
        <v>33</v>
      </c>
      <c r="Q616" s="2">
        <v>45966</v>
      </c>
      <c r="V616" s="45">
        <f>IF(OR(ISNUMBER(SEARCH("unable to locate acct",G616)),ISNUMBER(SEARCH("unknown",G616)),ISNUMBER(SEARCH("inactive",G616)),H616=""),0,1)</f>
        <v>1</v>
      </c>
    </row>
    <row r="617" spans="1:22" hidden="1">
      <c r="A617" s="2">
        <v>45905</v>
      </c>
      <c r="B617" s="1" t="s">
        <v>1614</v>
      </c>
      <c r="C617" s="1" t="s">
        <v>770</v>
      </c>
      <c r="D617" s="1" t="s">
        <v>363</v>
      </c>
      <c r="E617" s="1">
        <v>85225</v>
      </c>
      <c r="F617" s="1" t="s">
        <v>304</v>
      </c>
      <c r="G617" s="1" t="s">
        <v>1535</v>
      </c>
      <c r="H617" s="4" t="s">
        <v>5163</v>
      </c>
      <c r="I617" s="5" t="s">
        <v>67</v>
      </c>
      <c r="J617" s="5" t="s">
        <v>31</v>
      </c>
      <c r="K617" s="5" t="s">
        <v>31</v>
      </c>
      <c r="L617" s="5" t="s">
        <v>32</v>
      </c>
      <c r="M617" s="5" t="s">
        <v>31</v>
      </c>
      <c r="N617" s="5" t="s">
        <v>31</v>
      </c>
      <c r="O617" s="5" t="s">
        <v>32</v>
      </c>
      <c r="P617" s="5" t="s">
        <v>33</v>
      </c>
      <c r="Q617" s="2">
        <v>45966</v>
      </c>
      <c r="V617" s="45">
        <f>IF(OR(ISNUMBER(SEARCH("unable to locate acct",G617)),ISNUMBER(SEARCH("unknown",G617)),ISNUMBER(SEARCH("inactive",G617)),H617=""),0,1)</f>
        <v>1</v>
      </c>
    </row>
    <row r="618" spans="1:22" hidden="1">
      <c r="A618" s="2">
        <v>45905</v>
      </c>
      <c r="B618" s="1" t="s">
        <v>1615</v>
      </c>
      <c r="C618" s="1" t="s">
        <v>69</v>
      </c>
      <c r="D618" s="1" t="s">
        <v>530</v>
      </c>
      <c r="E618" s="1">
        <v>85194</v>
      </c>
      <c r="F618" s="1" t="s">
        <v>19</v>
      </c>
      <c r="G618" s="1" t="s">
        <v>1535</v>
      </c>
      <c r="H618" s="4" t="s">
        <v>5164</v>
      </c>
      <c r="I618" s="5" t="s">
        <v>30</v>
      </c>
      <c r="J618" s="5" t="s">
        <v>31</v>
      </c>
      <c r="K618" s="5" t="s">
        <v>31</v>
      </c>
      <c r="L618" s="5" t="s">
        <v>32</v>
      </c>
      <c r="M618" s="5" t="s">
        <v>31</v>
      </c>
      <c r="N618" s="5" t="s">
        <v>31</v>
      </c>
      <c r="O618" s="5" t="s">
        <v>32</v>
      </c>
      <c r="P618" s="5" t="s">
        <v>33</v>
      </c>
      <c r="Q618" s="2">
        <v>45966</v>
      </c>
      <c r="V618" s="45">
        <f>IF(OR(ISNUMBER(SEARCH("unable to locate acct",G618)),ISNUMBER(SEARCH("unknown",G618)),ISNUMBER(SEARCH("inactive",G618)),H618=""),0,1)</f>
        <v>1</v>
      </c>
    </row>
    <row r="619" spans="1:22" hidden="1">
      <c r="A619" s="2">
        <v>45905</v>
      </c>
      <c r="B619" s="1" t="s">
        <v>1616</v>
      </c>
      <c r="C619" s="1" t="s">
        <v>340</v>
      </c>
      <c r="D619" s="1" t="s">
        <v>57</v>
      </c>
      <c r="E619" s="1">
        <v>85087</v>
      </c>
      <c r="F619" s="1" t="s">
        <v>304</v>
      </c>
      <c r="G619" s="1" t="s">
        <v>1535</v>
      </c>
      <c r="H619" s="4" t="s">
        <v>21</v>
      </c>
      <c r="V619" s="45">
        <f>IF(OR(ISNUMBER(SEARCH("unable to locate acct",G619)),ISNUMBER(SEARCH("unknown",G619)),ISNUMBER(SEARCH("inactive",G619)),H619=""),0,1)</f>
        <v>1</v>
      </c>
    </row>
    <row r="620" spans="1:22" hidden="1">
      <c r="A620" s="2">
        <v>45905</v>
      </c>
      <c r="B620" s="1" t="s">
        <v>1617</v>
      </c>
      <c r="C620" s="1" t="s">
        <v>1618</v>
      </c>
      <c r="D620" s="1" t="s">
        <v>57</v>
      </c>
      <c r="E620" s="1">
        <v>85024</v>
      </c>
      <c r="F620" s="1" t="s">
        <v>1619</v>
      </c>
      <c r="G620" s="1" t="s">
        <v>1535</v>
      </c>
      <c r="H620" s="4" t="s">
        <v>5165</v>
      </c>
      <c r="I620" s="5" t="s">
        <v>30</v>
      </c>
      <c r="J620" s="5" t="s">
        <v>31</v>
      </c>
      <c r="K620" s="5" t="s">
        <v>31</v>
      </c>
      <c r="L620" s="5" t="s">
        <v>32</v>
      </c>
      <c r="M620" s="5" t="s">
        <v>31</v>
      </c>
      <c r="N620" s="5" t="s">
        <v>31</v>
      </c>
      <c r="O620" s="5" t="s">
        <v>32</v>
      </c>
      <c r="P620" s="5" t="s">
        <v>33</v>
      </c>
      <c r="Q620" s="2">
        <v>45966</v>
      </c>
      <c r="V620" s="45">
        <f>IF(OR(ISNUMBER(SEARCH("unable to locate acct",G620)),ISNUMBER(SEARCH("unknown",G620)),ISNUMBER(SEARCH("inactive",G620)),H620=""),0,1)</f>
        <v>1</v>
      </c>
    </row>
    <row r="621" spans="1:22" hidden="1">
      <c r="A621" s="2">
        <v>45905</v>
      </c>
      <c r="B621" s="1" t="s">
        <v>1620</v>
      </c>
      <c r="C621" s="1" t="s">
        <v>1621</v>
      </c>
      <c r="D621" s="1" t="s">
        <v>57</v>
      </c>
      <c r="E621" s="1">
        <v>85028</v>
      </c>
      <c r="F621" s="1" t="s">
        <v>1622</v>
      </c>
      <c r="G621" s="1" t="s">
        <v>1535</v>
      </c>
      <c r="H621" s="4" t="s">
        <v>84</v>
      </c>
      <c r="V621" s="45">
        <f>IF(OR(ISNUMBER(SEARCH("unable to locate acct",G621)),ISNUMBER(SEARCH("unknown",G621)),ISNUMBER(SEARCH("inactive",G621)),H621=""),0,1)</f>
        <v>1</v>
      </c>
    </row>
    <row r="622" spans="1:22" hidden="1">
      <c r="A622" s="2">
        <v>45905</v>
      </c>
      <c r="B622" s="1" t="s">
        <v>1623</v>
      </c>
      <c r="C622" s="1" t="s">
        <v>1624</v>
      </c>
      <c r="D622" s="1" t="s">
        <v>57</v>
      </c>
      <c r="E622" s="1">
        <v>85022</v>
      </c>
      <c r="F622" s="1" t="s">
        <v>304</v>
      </c>
      <c r="G622" s="1" t="s">
        <v>1535</v>
      </c>
      <c r="H622" s="4" t="s">
        <v>5166</v>
      </c>
      <c r="I622" s="5" t="s">
        <v>30</v>
      </c>
      <c r="J622" s="5" t="s">
        <v>31</v>
      </c>
      <c r="K622" s="5" t="s">
        <v>31</v>
      </c>
      <c r="L622" s="5" t="s">
        <v>32</v>
      </c>
      <c r="M622" s="5" t="s">
        <v>31</v>
      </c>
      <c r="N622" s="5" t="s">
        <v>31</v>
      </c>
      <c r="O622" s="5" t="s">
        <v>32</v>
      </c>
      <c r="P622" s="5" t="s">
        <v>33</v>
      </c>
      <c r="Q622" s="2">
        <v>45966</v>
      </c>
      <c r="V622" s="45">
        <f>IF(OR(ISNUMBER(SEARCH("unable to locate acct",G622)),ISNUMBER(SEARCH("unknown",G622)),ISNUMBER(SEARCH("inactive",G622)),H622=""),0,1)</f>
        <v>1</v>
      </c>
    </row>
    <row r="623" spans="1:22" hidden="1">
      <c r="A623" s="2">
        <v>45905</v>
      </c>
      <c r="B623" s="1" t="s">
        <v>1625</v>
      </c>
      <c r="C623" s="1" t="s">
        <v>1626</v>
      </c>
      <c r="D623" s="1" t="s">
        <v>196</v>
      </c>
      <c r="E623" s="1">
        <v>85383</v>
      </c>
      <c r="F623" s="1" t="s">
        <v>304</v>
      </c>
      <c r="G623" s="1" t="s">
        <v>1535</v>
      </c>
      <c r="H623" s="4" t="s">
        <v>5167</v>
      </c>
      <c r="I623" s="5" t="s">
        <v>190</v>
      </c>
      <c r="J623" s="5" t="s">
        <v>31</v>
      </c>
      <c r="K623" s="5" t="s">
        <v>31</v>
      </c>
      <c r="L623" s="5" t="s">
        <v>32</v>
      </c>
      <c r="M623" s="5" t="s">
        <v>31</v>
      </c>
      <c r="N623" s="5" t="s">
        <v>31</v>
      </c>
      <c r="O623" s="5" t="s">
        <v>32</v>
      </c>
      <c r="P623" s="5" t="s">
        <v>33</v>
      </c>
      <c r="Q623" s="2">
        <v>45966</v>
      </c>
      <c r="V623" s="45">
        <f>IF(OR(ISNUMBER(SEARCH("unable to locate acct",G623)),ISNUMBER(SEARCH("unknown",G623)),ISNUMBER(SEARCH("inactive",G623)),H623=""),0,1)</f>
        <v>1</v>
      </c>
    </row>
    <row r="624" spans="1:22" hidden="1">
      <c r="A624" s="2">
        <v>45905</v>
      </c>
      <c r="B624" s="1" t="s">
        <v>1035</v>
      </c>
      <c r="C624" s="1" t="s">
        <v>1627</v>
      </c>
      <c r="D624" s="1" t="s">
        <v>57</v>
      </c>
      <c r="E624" s="1">
        <v>85007</v>
      </c>
      <c r="F624" s="1" t="s">
        <v>304</v>
      </c>
      <c r="G624" s="1" t="s">
        <v>1535</v>
      </c>
      <c r="H624" s="4" t="s">
        <v>5168</v>
      </c>
      <c r="I624" s="5" t="s">
        <v>30</v>
      </c>
      <c r="J624" s="5" t="s">
        <v>31</v>
      </c>
      <c r="K624" s="5" t="s">
        <v>31</v>
      </c>
      <c r="L624" s="5" t="s">
        <v>32</v>
      </c>
      <c r="M624" s="5" t="s">
        <v>31</v>
      </c>
      <c r="N624" s="5" t="s">
        <v>31</v>
      </c>
      <c r="O624" s="5" t="s">
        <v>32</v>
      </c>
      <c r="P624" s="5" t="s">
        <v>33</v>
      </c>
      <c r="Q624" s="2">
        <v>45966</v>
      </c>
      <c r="V624" s="45">
        <f>IF(OR(ISNUMBER(SEARCH("unable to locate acct",G624)),ISNUMBER(SEARCH("unknown",G624)),ISNUMBER(SEARCH("inactive",G624)),H624=""),0,1)</f>
        <v>1</v>
      </c>
    </row>
    <row r="625" spans="1:22" hidden="1">
      <c r="A625" s="2">
        <v>45905</v>
      </c>
      <c r="B625" s="1" t="s">
        <v>1628</v>
      </c>
      <c r="C625" s="1" t="s">
        <v>1629</v>
      </c>
      <c r="D625" s="1" t="s">
        <v>106</v>
      </c>
      <c r="E625" s="1">
        <v>85379</v>
      </c>
      <c r="F625" s="1" t="s">
        <v>304</v>
      </c>
      <c r="G625" s="1" t="s">
        <v>1535</v>
      </c>
      <c r="H625" s="4" t="s">
        <v>5092</v>
      </c>
      <c r="I625" s="5" t="s">
        <v>190</v>
      </c>
      <c r="J625" s="5" t="s">
        <v>31</v>
      </c>
      <c r="K625" s="5" t="s">
        <v>31</v>
      </c>
      <c r="L625" s="5" t="s">
        <v>32</v>
      </c>
      <c r="M625" s="5" t="s">
        <v>32</v>
      </c>
      <c r="N625" s="13">
        <v>436.03</v>
      </c>
      <c r="O625" s="5" t="s">
        <v>32</v>
      </c>
      <c r="P625" s="5" t="s">
        <v>33</v>
      </c>
      <c r="Q625" s="2">
        <v>45966</v>
      </c>
      <c r="V625" s="45">
        <f>IF(OR(ISNUMBER(SEARCH("unable to locate acct",G625)),ISNUMBER(SEARCH("unknown",G625)),ISNUMBER(SEARCH("inactive",G625)),H625=""),0,1)</f>
        <v>1</v>
      </c>
    </row>
    <row r="626" spans="1:22" hidden="1">
      <c r="A626" s="2">
        <v>45905</v>
      </c>
      <c r="B626" s="1" t="s">
        <v>1630</v>
      </c>
      <c r="C626" s="1" t="s">
        <v>205</v>
      </c>
      <c r="D626" s="1" t="s">
        <v>163</v>
      </c>
      <c r="E626" s="1">
        <v>85395</v>
      </c>
      <c r="F626" s="1" t="s">
        <v>25</v>
      </c>
      <c r="G626" s="1" t="s">
        <v>1535</v>
      </c>
      <c r="H626" s="4" t="s">
        <v>5169</v>
      </c>
      <c r="I626" s="5" t="s">
        <v>30</v>
      </c>
      <c r="J626" s="5" t="s">
        <v>31</v>
      </c>
      <c r="K626" s="5" t="s">
        <v>31</v>
      </c>
      <c r="L626" s="5" t="s">
        <v>32</v>
      </c>
      <c r="M626" s="5" t="s">
        <v>31</v>
      </c>
      <c r="N626" s="5" t="s">
        <v>31</v>
      </c>
      <c r="O626" s="5" t="s">
        <v>32</v>
      </c>
      <c r="P626" s="5" t="s">
        <v>33</v>
      </c>
      <c r="Q626" s="2">
        <v>45966</v>
      </c>
      <c r="V626" s="45">
        <f>IF(OR(ISNUMBER(SEARCH("unable to locate acct",G626)),ISNUMBER(SEARCH("unknown",G626)),ISNUMBER(SEARCH("inactive",G626)),H626=""),0,1)</f>
        <v>1</v>
      </c>
    </row>
    <row r="627" spans="1:22" hidden="1">
      <c r="A627" s="2">
        <v>45905</v>
      </c>
      <c r="B627" s="1" t="s">
        <v>1631</v>
      </c>
      <c r="C627" s="1" t="s">
        <v>541</v>
      </c>
      <c r="D627" s="1" t="s">
        <v>626</v>
      </c>
      <c r="E627" s="1">
        <v>85288</v>
      </c>
      <c r="F627" s="1" t="s">
        <v>304</v>
      </c>
      <c r="G627" s="1" t="s">
        <v>1535</v>
      </c>
      <c r="H627" s="4" t="s">
        <v>5170</v>
      </c>
      <c r="I627" s="5" t="s">
        <v>67</v>
      </c>
      <c r="J627" s="5" t="s">
        <v>31</v>
      </c>
      <c r="K627" s="5" t="s">
        <v>31</v>
      </c>
      <c r="L627" s="5" t="s">
        <v>32</v>
      </c>
      <c r="M627" s="5" t="s">
        <v>31</v>
      </c>
      <c r="N627" s="5" t="s">
        <v>31</v>
      </c>
      <c r="O627" s="5" t="s">
        <v>32</v>
      </c>
      <c r="P627" s="5" t="s">
        <v>33</v>
      </c>
      <c r="Q627" s="2">
        <v>45966</v>
      </c>
      <c r="V627" s="45">
        <f>IF(OR(ISNUMBER(SEARCH("unable to locate acct",G627)),ISNUMBER(SEARCH("unknown",G627)),ISNUMBER(SEARCH("inactive",G627)),H627=""),0,1)</f>
        <v>1</v>
      </c>
    </row>
    <row r="628" spans="1:22" hidden="1">
      <c r="A628" s="2">
        <v>45905</v>
      </c>
      <c r="B628" s="1" t="s">
        <v>1632</v>
      </c>
      <c r="C628" s="1" t="s">
        <v>1633</v>
      </c>
      <c r="D628" s="1" t="s">
        <v>57</v>
      </c>
      <c r="E628" s="1">
        <v>85053</v>
      </c>
      <c r="F628" s="1" t="s">
        <v>304</v>
      </c>
      <c r="G628" s="1" t="s">
        <v>1535</v>
      </c>
      <c r="H628" s="4" t="s">
        <v>5171</v>
      </c>
      <c r="I628" s="5" t="s">
        <v>67</v>
      </c>
      <c r="J628" s="5" t="s">
        <v>31</v>
      </c>
      <c r="K628" s="5" t="s">
        <v>31</v>
      </c>
      <c r="L628" s="5" t="s">
        <v>32</v>
      </c>
      <c r="M628" s="5" t="s">
        <v>31</v>
      </c>
      <c r="N628" s="5" t="s">
        <v>31</v>
      </c>
      <c r="O628" s="5" t="s">
        <v>32</v>
      </c>
      <c r="P628" s="5" t="s">
        <v>33</v>
      </c>
      <c r="Q628" s="2">
        <v>45966</v>
      </c>
      <c r="V628" s="45">
        <f>IF(OR(ISNUMBER(SEARCH("unable to locate acct",G628)),ISNUMBER(SEARCH("unknown",G628)),ISNUMBER(SEARCH("inactive",G628)),H628=""),0,1)</f>
        <v>1</v>
      </c>
    </row>
    <row r="629" spans="1:22" hidden="1">
      <c r="A629" s="2">
        <v>45905</v>
      </c>
      <c r="B629" s="1" t="s">
        <v>1634</v>
      </c>
      <c r="C629" s="1" t="s">
        <v>1635</v>
      </c>
      <c r="D629" s="1" t="s">
        <v>728</v>
      </c>
      <c r="E629" s="1">
        <v>86326</v>
      </c>
      <c r="F629" s="1" t="s">
        <v>1636</v>
      </c>
      <c r="G629" s="1" t="s">
        <v>1535</v>
      </c>
      <c r="H629" s="4" t="s">
        <v>5172</v>
      </c>
      <c r="I629" s="5" t="s">
        <v>67</v>
      </c>
      <c r="J629" s="5" t="s">
        <v>32</v>
      </c>
      <c r="K629" s="5" t="s">
        <v>31</v>
      </c>
      <c r="L629" s="5" t="s">
        <v>32</v>
      </c>
      <c r="M629" s="5" t="s">
        <v>31</v>
      </c>
      <c r="N629" s="5" t="s">
        <v>31</v>
      </c>
      <c r="O629" s="5" t="s">
        <v>32</v>
      </c>
      <c r="P629" s="5" t="s">
        <v>33</v>
      </c>
      <c r="Q629" s="2">
        <v>45966</v>
      </c>
      <c r="V629" s="45">
        <f>IF(OR(ISNUMBER(SEARCH("unable to locate acct",G629)),ISNUMBER(SEARCH("unknown",G629)),ISNUMBER(SEARCH("inactive",G629)),H629=""),0,1)</f>
        <v>1</v>
      </c>
    </row>
    <row r="630" spans="1:22" hidden="1">
      <c r="A630" s="2">
        <v>45905</v>
      </c>
      <c r="B630" s="1" t="s">
        <v>1074</v>
      </c>
      <c r="C630" s="1" t="s">
        <v>1637</v>
      </c>
      <c r="D630" s="1" t="s">
        <v>57</v>
      </c>
      <c r="E630" s="1">
        <v>85054</v>
      </c>
      <c r="F630" s="1" t="s">
        <v>25</v>
      </c>
      <c r="G630" s="1" t="s">
        <v>1535</v>
      </c>
      <c r="H630" s="4" t="s">
        <v>21</v>
      </c>
      <c r="V630" s="45">
        <f>IF(OR(ISNUMBER(SEARCH("unable to locate acct",G630)),ISNUMBER(SEARCH("unknown",G630)),ISNUMBER(SEARCH("inactive",G630)),H630=""),0,1)</f>
        <v>1</v>
      </c>
    </row>
    <row r="631" spans="1:22" hidden="1">
      <c r="A631" s="2">
        <v>45905</v>
      </c>
      <c r="B631" s="1" t="s">
        <v>1638</v>
      </c>
      <c r="C631" s="1" t="s">
        <v>1639</v>
      </c>
      <c r="D631" s="1" t="s">
        <v>610</v>
      </c>
      <c r="E631" s="1">
        <v>85365</v>
      </c>
      <c r="F631" s="1" t="s">
        <v>304</v>
      </c>
      <c r="G631" s="1" t="s">
        <v>1535</v>
      </c>
      <c r="H631" s="4" t="s">
        <v>21</v>
      </c>
      <c r="V631" s="45">
        <f>IF(OR(ISNUMBER(SEARCH("unable to locate acct",G631)),ISNUMBER(SEARCH("unknown",G631)),ISNUMBER(SEARCH("inactive",G631)),H631=""),0,1)</f>
        <v>1</v>
      </c>
    </row>
    <row r="632" spans="1:22" hidden="1">
      <c r="A632" s="2">
        <v>45905</v>
      </c>
      <c r="B632" s="1" t="s">
        <v>1426</v>
      </c>
      <c r="C632" s="1" t="s">
        <v>681</v>
      </c>
      <c r="D632" s="1" t="s">
        <v>163</v>
      </c>
      <c r="E632" s="1">
        <v>85338</v>
      </c>
      <c r="F632" s="1" t="s">
        <v>1640</v>
      </c>
      <c r="G632" s="1" t="s">
        <v>1535</v>
      </c>
      <c r="H632" s="4" t="s">
        <v>710</v>
      </c>
      <c r="I632" s="5" t="s">
        <v>1501</v>
      </c>
      <c r="J632" s="5" t="s">
        <v>31</v>
      </c>
      <c r="K632" s="5" t="s">
        <v>31</v>
      </c>
      <c r="L632" s="5" t="s">
        <v>381</v>
      </c>
      <c r="M632" s="5" t="s">
        <v>31</v>
      </c>
      <c r="N632" s="5" t="s">
        <v>31</v>
      </c>
      <c r="O632" s="5" t="s">
        <v>32</v>
      </c>
      <c r="P632" s="5" t="s">
        <v>33</v>
      </c>
      <c r="Q632" s="2">
        <v>45966</v>
      </c>
      <c r="V632" s="45">
        <f>IF(OR(ISNUMBER(SEARCH("unable to locate acct",G632)),ISNUMBER(SEARCH("unknown",G632)),ISNUMBER(SEARCH("inactive",G632)),H632=""),0,1)</f>
        <v>1</v>
      </c>
    </row>
    <row r="633" spans="1:22" hidden="1">
      <c r="A633" s="2">
        <v>45905</v>
      </c>
      <c r="B633" s="1" t="s">
        <v>1641</v>
      </c>
      <c r="C633" s="1" t="s">
        <v>1642</v>
      </c>
      <c r="D633" s="1" t="s">
        <v>57</v>
      </c>
      <c r="E633" s="1">
        <v>85083</v>
      </c>
      <c r="F633" s="1" t="s">
        <v>304</v>
      </c>
      <c r="G633" s="1" t="s">
        <v>1535</v>
      </c>
      <c r="H633" s="21" t="s">
        <v>4968</v>
      </c>
      <c r="I633" s="5" t="s">
        <v>190</v>
      </c>
      <c r="J633" s="5" t="s">
        <v>31</v>
      </c>
      <c r="K633" s="5" t="s">
        <v>31</v>
      </c>
      <c r="L633" s="5" t="s">
        <v>1643</v>
      </c>
      <c r="M633" s="5" t="s">
        <v>31</v>
      </c>
      <c r="N633" s="5" t="s">
        <v>31</v>
      </c>
      <c r="O633" s="5" t="s">
        <v>32</v>
      </c>
      <c r="P633" s="5" t="s">
        <v>33</v>
      </c>
      <c r="Q633" s="2">
        <v>45966</v>
      </c>
      <c r="V633" s="45">
        <f>IF(OR(ISNUMBER(SEARCH("unable to locate acct",G633)),ISNUMBER(SEARCH("unknown",G633)),ISNUMBER(SEARCH("inactive",G633)),H633=""),0,1)</f>
        <v>1</v>
      </c>
    </row>
    <row r="634" spans="1:22" hidden="1">
      <c r="A634" s="2">
        <v>45905</v>
      </c>
      <c r="B634" s="1" t="s">
        <v>1644</v>
      </c>
      <c r="C634" s="1" t="s">
        <v>1645</v>
      </c>
      <c r="D634" s="1" t="s">
        <v>163</v>
      </c>
      <c r="E634" s="1">
        <v>85395</v>
      </c>
      <c r="F634" s="1" t="s">
        <v>1646</v>
      </c>
      <c r="G634" s="1" t="s">
        <v>1535</v>
      </c>
      <c r="H634" s="4" t="s">
        <v>5173</v>
      </c>
      <c r="I634" s="5" t="s">
        <v>1501</v>
      </c>
      <c r="J634" s="5" t="s">
        <v>31</v>
      </c>
      <c r="K634" s="5" t="s">
        <v>31</v>
      </c>
      <c r="L634" s="5" t="s">
        <v>32</v>
      </c>
      <c r="M634" s="5" t="s">
        <v>31</v>
      </c>
      <c r="N634" s="5" t="s">
        <v>31</v>
      </c>
      <c r="O634" s="5" t="s">
        <v>32</v>
      </c>
      <c r="P634" s="5" t="s">
        <v>33</v>
      </c>
      <c r="Q634" s="2">
        <v>45966</v>
      </c>
      <c r="V634" s="45">
        <f>IF(OR(ISNUMBER(SEARCH("unable to locate acct",G634)),ISNUMBER(SEARCH("unknown",G634)),ISNUMBER(SEARCH("inactive",G634)),H634=""),0,1)</f>
        <v>1</v>
      </c>
    </row>
    <row r="635" spans="1:22" hidden="1">
      <c r="A635" s="2">
        <v>45905</v>
      </c>
      <c r="B635" s="1" t="s">
        <v>1647</v>
      </c>
      <c r="C635" s="1" t="s">
        <v>1173</v>
      </c>
      <c r="D635" s="1" t="s">
        <v>163</v>
      </c>
      <c r="E635" s="1">
        <v>85395</v>
      </c>
      <c r="F635" s="1" t="s">
        <v>25</v>
      </c>
      <c r="G635" s="1" t="s">
        <v>1535</v>
      </c>
      <c r="H635" s="4" t="s">
        <v>5174</v>
      </c>
      <c r="I635" s="5" t="s">
        <v>237</v>
      </c>
      <c r="J635" s="5" t="s">
        <v>31</v>
      </c>
      <c r="K635" s="5" t="s">
        <v>31</v>
      </c>
      <c r="L635" s="5" t="s">
        <v>381</v>
      </c>
      <c r="M635" s="5" t="s">
        <v>31</v>
      </c>
      <c r="N635" s="5" t="s">
        <v>31</v>
      </c>
      <c r="O635" s="5" t="s">
        <v>32</v>
      </c>
      <c r="P635" s="5" t="s">
        <v>33</v>
      </c>
      <c r="Q635" s="2">
        <v>45966</v>
      </c>
      <c r="V635" s="45">
        <f>IF(OR(ISNUMBER(SEARCH("unable to locate acct",G635)),ISNUMBER(SEARCH("unknown",G635)),ISNUMBER(SEARCH("inactive",G635)),H635=""),0,1)</f>
        <v>1</v>
      </c>
    </row>
    <row r="636" spans="1:22" hidden="1">
      <c r="A636" s="2">
        <v>45905</v>
      </c>
      <c r="B636" s="1" t="s">
        <v>1648</v>
      </c>
      <c r="C636" s="1" t="s">
        <v>1560</v>
      </c>
      <c r="D636" s="1" t="s">
        <v>18</v>
      </c>
      <c r="E636" s="1">
        <v>85308</v>
      </c>
      <c r="F636" s="1" t="s">
        <v>304</v>
      </c>
      <c r="G636" s="1" t="s">
        <v>1535</v>
      </c>
      <c r="H636" s="4" t="s">
        <v>4969</v>
      </c>
      <c r="I636" s="5" t="s">
        <v>190</v>
      </c>
      <c r="J636" s="5" t="s">
        <v>31</v>
      </c>
      <c r="K636" s="5" t="s">
        <v>31</v>
      </c>
      <c r="L636" s="5" t="s">
        <v>1649</v>
      </c>
      <c r="M636" s="5" t="s">
        <v>31</v>
      </c>
      <c r="N636" s="5" t="s">
        <v>31</v>
      </c>
      <c r="O636" s="5" t="s">
        <v>32</v>
      </c>
      <c r="P636" s="5" t="s">
        <v>33</v>
      </c>
      <c r="Q636" s="2">
        <v>45966</v>
      </c>
      <c r="V636" s="45">
        <f>IF(OR(ISNUMBER(SEARCH("unable to locate acct",G636)),ISNUMBER(SEARCH("unknown",G636)),ISNUMBER(SEARCH("inactive",G636)),H636=""),0,1)</f>
        <v>1</v>
      </c>
    </row>
    <row r="637" spans="1:22" hidden="1">
      <c r="A637" s="2">
        <v>45905</v>
      </c>
      <c r="B637" s="1" t="s">
        <v>1650</v>
      </c>
      <c r="C637" s="1" t="s">
        <v>1489</v>
      </c>
      <c r="D637" s="1" t="s">
        <v>610</v>
      </c>
      <c r="E637" s="1">
        <v>85365</v>
      </c>
      <c r="F637" s="1" t="s">
        <v>1407</v>
      </c>
      <c r="G637" s="1" t="s">
        <v>1535</v>
      </c>
      <c r="H637" s="4" t="s">
        <v>4970</v>
      </c>
      <c r="I637" s="5" t="s">
        <v>51</v>
      </c>
      <c r="J637" s="5" t="s">
        <v>31</v>
      </c>
      <c r="K637" s="5" t="s">
        <v>31</v>
      </c>
      <c r="L637" s="7" t="s">
        <v>1651</v>
      </c>
      <c r="M637" s="5" t="s">
        <v>31</v>
      </c>
      <c r="N637" s="5" t="s">
        <v>31</v>
      </c>
      <c r="O637" s="5" t="s">
        <v>32</v>
      </c>
      <c r="Q637" s="2">
        <v>45966</v>
      </c>
      <c r="R637" s="20" t="s">
        <v>1652</v>
      </c>
      <c r="V637" s="45">
        <f>IF(OR(ISNUMBER(SEARCH("unable to locate acct",G637)),ISNUMBER(SEARCH("unknown",G637)),ISNUMBER(SEARCH("inactive",G637)),H637=""),0,1)</f>
        <v>1</v>
      </c>
    </row>
    <row r="638" spans="1:22" hidden="1">
      <c r="A638" s="2">
        <v>45905</v>
      </c>
      <c r="B638" s="1" t="s">
        <v>1653</v>
      </c>
      <c r="C638" s="1" t="s">
        <v>1654</v>
      </c>
      <c r="D638" s="1" t="s">
        <v>119</v>
      </c>
      <c r="E638" s="1">
        <v>85254</v>
      </c>
      <c r="F638" s="1" t="s">
        <v>25</v>
      </c>
      <c r="G638" s="1" t="s">
        <v>1535</v>
      </c>
      <c r="H638" s="4" t="s">
        <v>21</v>
      </c>
      <c r="V638" s="45">
        <f>IF(OR(ISNUMBER(SEARCH("unable to locate acct",G638)),ISNUMBER(SEARCH("unknown",G638)),ISNUMBER(SEARCH("inactive",G638)),H638=""),0,1)</f>
        <v>1</v>
      </c>
    </row>
    <row r="639" spans="1:22" hidden="1">
      <c r="A639" s="2">
        <v>45905</v>
      </c>
      <c r="B639" s="1" t="s">
        <v>1655</v>
      </c>
      <c r="C639" s="1" t="s">
        <v>738</v>
      </c>
      <c r="D639" s="1" t="s">
        <v>196</v>
      </c>
      <c r="E639" s="1">
        <v>85383</v>
      </c>
      <c r="F639" s="1" t="s">
        <v>25</v>
      </c>
      <c r="G639" s="1" t="s">
        <v>1535</v>
      </c>
      <c r="H639" s="4" t="s">
        <v>5175</v>
      </c>
      <c r="I639" s="5" t="s">
        <v>1656</v>
      </c>
      <c r="J639" s="5" t="s">
        <v>31</v>
      </c>
      <c r="K639" s="5" t="s">
        <v>31</v>
      </c>
      <c r="L639" s="5" t="s">
        <v>32</v>
      </c>
      <c r="M639" s="5" t="s">
        <v>31</v>
      </c>
      <c r="N639" s="5" t="s">
        <v>31</v>
      </c>
      <c r="O639" s="5" t="s">
        <v>32</v>
      </c>
      <c r="P639" s="5" t="s">
        <v>33</v>
      </c>
      <c r="Q639" s="2">
        <v>45966</v>
      </c>
      <c r="V639" s="45">
        <f>IF(OR(ISNUMBER(SEARCH("unable to locate acct",G639)),ISNUMBER(SEARCH("unknown",G639)),ISNUMBER(SEARCH("inactive",G639)),H639=""),0,1)</f>
        <v>1</v>
      </c>
    </row>
    <row r="640" spans="1:22" hidden="1">
      <c r="A640" s="2">
        <v>45905</v>
      </c>
      <c r="B640" s="1" t="s">
        <v>1657</v>
      </c>
      <c r="C640" s="1" t="s">
        <v>1658</v>
      </c>
      <c r="D640" s="1" t="s">
        <v>57</v>
      </c>
      <c r="E640" s="1">
        <v>85024</v>
      </c>
      <c r="F640" s="1" t="s">
        <v>1659</v>
      </c>
      <c r="G640" s="1" t="s">
        <v>1535</v>
      </c>
      <c r="H640" s="4" t="s">
        <v>5176</v>
      </c>
      <c r="I640" s="5" t="s">
        <v>40</v>
      </c>
      <c r="J640" s="5" t="s">
        <v>31</v>
      </c>
      <c r="K640" s="5" t="s">
        <v>31</v>
      </c>
      <c r="L640" s="5" t="s">
        <v>32</v>
      </c>
      <c r="M640" s="5" t="s">
        <v>31</v>
      </c>
      <c r="N640" s="5" t="s">
        <v>31</v>
      </c>
      <c r="O640" s="5" t="s">
        <v>32</v>
      </c>
      <c r="P640" s="5" t="s">
        <v>33</v>
      </c>
      <c r="Q640" s="2">
        <v>45966</v>
      </c>
      <c r="V640" s="45">
        <f>IF(OR(ISNUMBER(SEARCH("unable to locate acct",G640)),ISNUMBER(SEARCH("unknown",G640)),ISNUMBER(SEARCH("inactive",G640)),H640=""),0,1)</f>
        <v>1</v>
      </c>
    </row>
    <row r="641" spans="1:22" hidden="1">
      <c r="A641" s="2">
        <v>45905</v>
      </c>
      <c r="B641" s="1" t="s">
        <v>1660</v>
      </c>
      <c r="C641" s="1" t="s">
        <v>1661</v>
      </c>
      <c r="D641" s="1" t="s">
        <v>163</v>
      </c>
      <c r="E641" s="1">
        <v>85395</v>
      </c>
      <c r="F641" s="1" t="s">
        <v>1662</v>
      </c>
      <c r="G641" s="1" t="s">
        <v>1535</v>
      </c>
      <c r="H641" s="4" t="s">
        <v>5177</v>
      </c>
      <c r="I641" s="5" t="s">
        <v>532</v>
      </c>
      <c r="J641" s="5" t="s">
        <v>31</v>
      </c>
      <c r="K641" s="5" t="s">
        <v>31</v>
      </c>
      <c r="L641" s="5" t="s">
        <v>381</v>
      </c>
      <c r="M641" s="5" t="s">
        <v>31</v>
      </c>
      <c r="N641" s="5" t="s">
        <v>31</v>
      </c>
      <c r="O641" s="5" t="s">
        <v>32</v>
      </c>
      <c r="P641" s="5" t="s">
        <v>33</v>
      </c>
      <c r="Q641" s="2">
        <v>45966</v>
      </c>
      <c r="V641" s="45">
        <f>IF(OR(ISNUMBER(SEARCH("unable to locate acct",G641)),ISNUMBER(SEARCH("unknown",G641)),ISNUMBER(SEARCH("inactive",G641)),H641=""),0,1)</f>
        <v>1</v>
      </c>
    </row>
    <row r="642" spans="1:22" hidden="1">
      <c r="A642" s="2">
        <v>45905</v>
      </c>
      <c r="B642" s="1" t="s">
        <v>1663</v>
      </c>
      <c r="C642" s="1" t="s">
        <v>780</v>
      </c>
      <c r="D642" s="1" t="s">
        <v>626</v>
      </c>
      <c r="E642" s="1">
        <v>85281</v>
      </c>
      <c r="F642" s="1" t="s">
        <v>304</v>
      </c>
      <c r="G642" s="1" t="s">
        <v>1535</v>
      </c>
      <c r="H642" s="4" t="s">
        <v>4971</v>
      </c>
      <c r="I642" s="5" t="s">
        <v>120</v>
      </c>
      <c r="J642" s="5" t="s">
        <v>31</v>
      </c>
      <c r="K642" s="5" t="s">
        <v>31</v>
      </c>
      <c r="L642" s="5" t="s">
        <v>1664</v>
      </c>
      <c r="M642" s="5" t="s">
        <v>31</v>
      </c>
      <c r="N642" s="5" t="s">
        <v>31</v>
      </c>
      <c r="O642" s="5" t="s">
        <v>32</v>
      </c>
      <c r="P642" s="5" t="s">
        <v>33</v>
      </c>
      <c r="Q642" s="2">
        <v>45966</v>
      </c>
      <c r="V642" s="45">
        <f>IF(OR(ISNUMBER(SEARCH("unable to locate acct",G642)),ISNUMBER(SEARCH("unknown",G642)),ISNUMBER(SEARCH("inactive",G642)),H642=""),0,1)</f>
        <v>1</v>
      </c>
    </row>
    <row r="643" spans="1:22" hidden="1">
      <c r="A643" s="2">
        <v>45905</v>
      </c>
      <c r="B643" s="1" t="s">
        <v>1665</v>
      </c>
      <c r="C643" s="1" t="s">
        <v>1666</v>
      </c>
      <c r="D643" s="1" t="s">
        <v>57</v>
      </c>
      <c r="E643" s="1">
        <v>85007</v>
      </c>
      <c r="F643" s="1" t="s">
        <v>25</v>
      </c>
      <c r="G643" s="1" t="s">
        <v>1535</v>
      </c>
      <c r="H643" s="4" t="s">
        <v>5178</v>
      </c>
      <c r="I643" s="5" t="s">
        <v>30</v>
      </c>
      <c r="J643" s="5" t="s">
        <v>31</v>
      </c>
      <c r="K643" s="5" t="s">
        <v>31</v>
      </c>
      <c r="L643" s="5" t="s">
        <v>32</v>
      </c>
      <c r="M643" s="5" t="s">
        <v>31</v>
      </c>
      <c r="N643" s="5" t="s">
        <v>31</v>
      </c>
      <c r="O643" s="5" t="s">
        <v>32</v>
      </c>
      <c r="P643" s="5" t="s">
        <v>33</v>
      </c>
      <c r="Q643" s="2">
        <v>45966</v>
      </c>
      <c r="V643" s="45">
        <f>IF(OR(ISNUMBER(SEARCH("unable to locate acct",G643)),ISNUMBER(SEARCH("unknown",G643)),ISNUMBER(SEARCH("inactive",G643)),H643=""),0,1)</f>
        <v>1</v>
      </c>
    </row>
    <row r="644" spans="1:22" hidden="1">
      <c r="A644" s="2">
        <v>45905</v>
      </c>
      <c r="B644" s="1" t="s">
        <v>1667</v>
      </c>
      <c r="C644" s="1" t="s">
        <v>125</v>
      </c>
      <c r="D644" s="1" t="s">
        <v>626</v>
      </c>
      <c r="E644" s="1">
        <v>85288</v>
      </c>
      <c r="F644" s="1" t="s">
        <v>25</v>
      </c>
      <c r="G644" s="1" t="s">
        <v>1535</v>
      </c>
      <c r="H644" s="4" t="s">
        <v>4972</v>
      </c>
      <c r="I644" s="5" t="s">
        <v>190</v>
      </c>
      <c r="J644" s="5" t="s">
        <v>31</v>
      </c>
      <c r="K644" s="5" t="s">
        <v>31</v>
      </c>
      <c r="L644" s="7" t="s">
        <v>1668</v>
      </c>
      <c r="M644" s="5" t="s">
        <v>31</v>
      </c>
      <c r="N644" s="5" t="s">
        <v>31</v>
      </c>
      <c r="O644" s="5" t="s">
        <v>32</v>
      </c>
      <c r="P644" s="2">
        <v>45936</v>
      </c>
      <c r="Q644" s="2">
        <v>45966</v>
      </c>
      <c r="R644" s="1" t="s">
        <v>1542</v>
      </c>
      <c r="V644" s="45">
        <f>IF(OR(ISNUMBER(SEARCH("unable to locate acct",G644)),ISNUMBER(SEARCH("unknown",G644)),ISNUMBER(SEARCH("inactive",G644)),H644=""),0,1)</f>
        <v>1</v>
      </c>
    </row>
    <row r="645" spans="1:22" hidden="1">
      <c r="A645" s="2">
        <v>45905</v>
      </c>
      <c r="B645" s="1" t="s">
        <v>1669</v>
      </c>
      <c r="C645" s="1" t="s">
        <v>133</v>
      </c>
      <c r="D645" s="1" t="s">
        <v>57</v>
      </c>
      <c r="E645" s="1">
        <v>85032</v>
      </c>
      <c r="F645" s="1" t="s">
        <v>1670</v>
      </c>
      <c r="G645" s="1" t="s">
        <v>1535</v>
      </c>
      <c r="H645" s="4" t="s">
        <v>5482</v>
      </c>
      <c r="I645" s="5" t="s">
        <v>67</v>
      </c>
      <c r="J645" s="5" t="s">
        <v>31</v>
      </c>
      <c r="K645" s="5" t="s">
        <v>31</v>
      </c>
      <c r="L645" s="5" t="s">
        <v>32</v>
      </c>
      <c r="M645" s="5" t="s">
        <v>31</v>
      </c>
      <c r="N645" s="5" t="s">
        <v>31</v>
      </c>
      <c r="O645" s="5" t="s">
        <v>32</v>
      </c>
      <c r="P645" s="5" t="s">
        <v>33</v>
      </c>
      <c r="Q645" s="2">
        <v>45966</v>
      </c>
      <c r="V645" s="45">
        <f>IF(OR(ISNUMBER(SEARCH("unable to locate acct",G645)),ISNUMBER(SEARCH("unknown",G645)),ISNUMBER(SEARCH("inactive",G645)),H645=""),0,1)</f>
        <v>1</v>
      </c>
    </row>
    <row r="646" spans="1:22" hidden="1">
      <c r="A646" s="2">
        <v>45905</v>
      </c>
      <c r="B646" s="1" t="s">
        <v>1671</v>
      </c>
      <c r="C646" s="1" t="s">
        <v>1672</v>
      </c>
      <c r="D646" s="1" t="s">
        <v>163</v>
      </c>
      <c r="E646" s="1">
        <v>85338</v>
      </c>
      <c r="F646" s="1" t="s">
        <v>304</v>
      </c>
      <c r="G646" s="1" t="s">
        <v>1535</v>
      </c>
      <c r="H646" s="4" t="s">
        <v>21</v>
      </c>
      <c r="V646" s="45">
        <f>IF(OR(ISNUMBER(SEARCH("unable to locate acct",G646)),ISNUMBER(SEARCH("unknown",G646)),ISNUMBER(SEARCH("inactive",G646)),H646=""),0,1)</f>
        <v>1</v>
      </c>
    </row>
    <row r="647" spans="1:22" hidden="1">
      <c r="A647" s="2">
        <v>45905</v>
      </c>
      <c r="B647" s="1" t="s">
        <v>383</v>
      </c>
      <c r="C647" s="1" t="s">
        <v>877</v>
      </c>
      <c r="D647" s="1" t="s">
        <v>79</v>
      </c>
      <c r="E647" s="1">
        <v>86323</v>
      </c>
      <c r="F647" s="1" t="s">
        <v>25</v>
      </c>
      <c r="G647" s="1" t="s">
        <v>1535</v>
      </c>
      <c r="H647" s="4" t="s">
        <v>5179</v>
      </c>
      <c r="I647" s="5" t="s">
        <v>30</v>
      </c>
      <c r="J647" s="5" t="s">
        <v>31</v>
      </c>
      <c r="K647" s="5" t="s">
        <v>31</v>
      </c>
      <c r="L647" s="5" t="s">
        <v>32</v>
      </c>
      <c r="M647" s="5" t="s">
        <v>31</v>
      </c>
      <c r="N647" s="5" t="s">
        <v>31</v>
      </c>
      <c r="O647" s="5" t="s">
        <v>32</v>
      </c>
      <c r="P647" s="5" t="s">
        <v>33</v>
      </c>
      <c r="Q647" s="2">
        <v>45966</v>
      </c>
      <c r="V647" s="45">
        <f>IF(OR(ISNUMBER(SEARCH("unable to locate acct",G647)),ISNUMBER(SEARCH("unknown",G647)),ISNUMBER(SEARCH("inactive",G647)),H647=""),0,1)</f>
        <v>1</v>
      </c>
    </row>
    <row r="648" spans="1:22" hidden="1">
      <c r="A648" s="2">
        <v>45905</v>
      </c>
      <c r="B648" s="1" t="s">
        <v>423</v>
      </c>
      <c r="C648" s="1" t="s">
        <v>323</v>
      </c>
      <c r="D648" s="1" t="s">
        <v>57</v>
      </c>
      <c r="E648" s="1">
        <v>85032</v>
      </c>
      <c r="F648" s="1" t="s">
        <v>304</v>
      </c>
      <c r="G648" s="1" t="s">
        <v>1535</v>
      </c>
      <c r="H648" s="4" t="s">
        <v>5180</v>
      </c>
      <c r="I648" s="5" t="s">
        <v>67</v>
      </c>
      <c r="J648" s="5" t="s">
        <v>31</v>
      </c>
      <c r="K648" s="5" t="s">
        <v>31</v>
      </c>
      <c r="L648" s="5" t="s">
        <v>32</v>
      </c>
      <c r="M648" s="5" t="s">
        <v>31</v>
      </c>
      <c r="N648" s="5" t="s">
        <v>31</v>
      </c>
      <c r="O648" s="5" t="s">
        <v>32</v>
      </c>
      <c r="P648" s="5" t="s">
        <v>33</v>
      </c>
      <c r="Q648" s="2">
        <v>45966</v>
      </c>
      <c r="V648" s="45">
        <f>IF(OR(ISNUMBER(SEARCH("unable to locate acct",G648)),ISNUMBER(SEARCH("unknown",G648)),ISNUMBER(SEARCH("inactive",G648)),H648=""),0,1)</f>
        <v>1</v>
      </c>
    </row>
    <row r="649" spans="1:22" hidden="1">
      <c r="A649" s="2">
        <v>45905</v>
      </c>
      <c r="B649" s="1" t="s">
        <v>1673</v>
      </c>
      <c r="C649" s="1" t="s">
        <v>1674</v>
      </c>
      <c r="D649" s="1" t="s">
        <v>1675</v>
      </c>
      <c r="E649" s="1">
        <v>85202</v>
      </c>
      <c r="F649" s="1" t="s">
        <v>25</v>
      </c>
      <c r="G649" s="1" t="s">
        <v>1535</v>
      </c>
      <c r="H649" s="4" t="s">
        <v>84</v>
      </c>
      <c r="V649" s="45">
        <f>IF(OR(ISNUMBER(SEARCH("unable to locate acct",G649)),ISNUMBER(SEARCH("unknown",G649)),ISNUMBER(SEARCH("inactive",G649)),H649=""),0,1)</f>
        <v>1</v>
      </c>
    </row>
    <row r="650" spans="1:22" hidden="1">
      <c r="A650" s="2">
        <v>45905</v>
      </c>
      <c r="B650" s="1" t="s">
        <v>1676</v>
      </c>
      <c r="C650" s="1" t="s">
        <v>1677</v>
      </c>
      <c r="D650" s="1" t="s">
        <v>57</v>
      </c>
      <c r="E650" s="1">
        <v>85012</v>
      </c>
      <c r="F650" s="1" t="s">
        <v>304</v>
      </c>
      <c r="G650" s="1" t="s">
        <v>1535</v>
      </c>
      <c r="H650" s="4" t="s">
        <v>5181</v>
      </c>
      <c r="I650" s="5" t="s">
        <v>67</v>
      </c>
      <c r="J650" s="5" t="s">
        <v>31</v>
      </c>
      <c r="K650" s="5" t="s">
        <v>31</v>
      </c>
      <c r="L650" s="5" t="s">
        <v>32</v>
      </c>
      <c r="M650" s="5" t="s">
        <v>31</v>
      </c>
      <c r="N650" s="5" t="s">
        <v>31</v>
      </c>
      <c r="O650" s="5" t="s">
        <v>32</v>
      </c>
      <c r="P650" s="5" t="s">
        <v>33</v>
      </c>
      <c r="Q650" s="2">
        <v>45966</v>
      </c>
      <c r="V650" s="45">
        <f>IF(OR(ISNUMBER(SEARCH("unable to locate acct",G650)),ISNUMBER(SEARCH("unknown",G650)),ISNUMBER(SEARCH("inactive",G650)),H650=""),0,1)</f>
        <v>1</v>
      </c>
    </row>
    <row r="651" spans="1:22" hidden="1">
      <c r="A651" s="2">
        <v>45905</v>
      </c>
      <c r="B651" s="1" t="s">
        <v>1678</v>
      </c>
      <c r="C651" s="1" t="s">
        <v>1679</v>
      </c>
      <c r="D651" s="1" t="s">
        <v>57</v>
      </c>
      <c r="E651" s="1">
        <v>85086</v>
      </c>
      <c r="F651" s="1" t="s">
        <v>25</v>
      </c>
      <c r="G651" s="1" t="s">
        <v>1535</v>
      </c>
      <c r="H651" s="4" t="s">
        <v>5182</v>
      </c>
      <c r="I651" s="5" t="s">
        <v>30</v>
      </c>
      <c r="J651" s="5" t="s">
        <v>31</v>
      </c>
      <c r="K651" s="5" t="s">
        <v>31</v>
      </c>
      <c r="L651" s="5" t="s">
        <v>32</v>
      </c>
      <c r="M651" s="5" t="s">
        <v>31</v>
      </c>
      <c r="N651" s="5" t="s">
        <v>31</v>
      </c>
      <c r="O651" s="5" t="s">
        <v>32</v>
      </c>
      <c r="P651" s="5" t="s">
        <v>33</v>
      </c>
      <c r="Q651" s="2">
        <v>45966</v>
      </c>
      <c r="V651" s="45">
        <f>IF(OR(ISNUMBER(SEARCH("unable to locate acct",G651)),ISNUMBER(SEARCH("unknown",G651)),ISNUMBER(SEARCH("inactive",G651)),H651=""),0,1)</f>
        <v>1</v>
      </c>
    </row>
    <row r="652" spans="1:22" hidden="1">
      <c r="A652" s="2">
        <v>45905</v>
      </c>
      <c r="B652" s="1" t="s">
        <v>1680</v>
      </c>
      <c r="C652" s="1" t="s">
        <v>391</v>
      </c>
      <c r="D652" s="1" t="s">
        <v>495</v>
      </c>
      <c r="E652" s="1">
        <v>86001</v>
      </c>
      <c r="F652" s="1" t="s">
        <v>25</v>
      </c>
      <c r="G652" s="1" t="s">
        <v>1535</v>
      </c>
      <c r="H652" s="4" t="s">
        <v>4973</v>
      </c>
      <c r="I652" s="5" t="s">
        <v>190</v>
      </c>
      <c r="J652" s="5" t="s">
        <v>31</v>
      </c>
      <c r="K652" s="5" t="s">
        <v>31</v>
      </c>
      <c r="L652" s="5" t="s">
        <v>1681</v>
      </c>
      <c r="M652" s="5" t="s">
        <v>31</v>
      </c>
      <c r="N652" s="5" t="s">
        <v>31</v>
      </c>
      <c r="O652" s="5" t="s">
        <v>32</v>
      </c>
      <c r="P652" s="5" t="s">
        <v>33</v>
      </c>
      <c r="Q652" s="2">
        <v>45966</v>
      </c>
      <c r="V652" s="45">
        <f>IF(OR(ISNUMBER(SEARCH("unable to locate acct",G652)),ISNUMBER(SEARCH("unknown",G652)),ISNUMBER(SEARCH("inactive",G652)),H652=""),0,1)</f>
        <v>1</v>
      </c>
    </row>
    <row r="653" spans="1:22" hidden="1">
      <c r="A653" s="2">
        <v>45905</v>
      </c>
      <c r="B653" s="1" t="s">
        <v>1682</v>
      </c>
      <c r="C653" s="1" t="s">
        <v>1683</v>
      </c>
      <c r="D653" s="1" t="s">
        <v>57</v>
      </c>
      <c r="E653" s="1">
        <v>85020</v>
      </c>
      <c r="F653" s="1" t="s">
        <v>304</v>
      </c>
      <c r="G653" s="1" t="s">
        <v>1535</v>
      </c>
      <c r="H653" s="4" t="s">
        <v>5183</v>
      </c>
      <c r="I653" s="5" t="s">
        <v>67</v>
      </c>
      <c r="J653" s="5" t="s">
        <v>31</v>
      </c>
      <c r="K653" s="5" t="s">
        <v>31</v>
      </c>
      <c r="L653" s="5" t="s">
        <v>32</v>
      </c>
      <c r="M653" s="5" t="s">
        <v>31</v>
      </c>
      <c r="N653" s="5" t="s">
        <v>31</v>
      </c>
      <c r="O653" s="5" t="s">
        <v>32</v>
      </c>
      <c r="P653" s="5" t="s">
        <v>33</v>
      </c>
      <c r="Q653" s="2">
        <v>45966</v>
      </c>
      <c r="V653" s="45">
        <f>IF(OR(ISNUMBER(SEARCH("unable to locate acct",G653)),ISNUMBER(SEARCH("unknown",G653)),ISNUMBER(SEARCH("inactive",G653)),H653=""),0,1)</f>
        <v>1</v>
      </c>
    </row>
    <row r="654" spans="1:22" hidden="1">
      <c r="A654" s="2">
        <v>45905</v>
      </c>
      <c r="B654" s="1" t="s">
        <v>1684</v>
      </c>
      <c r="C654" s="1" t="s">
        <v>1450</v>
      </c>
      <c r="D654" s="1" t="s">
        <v>57</v>
      </c>
      <c r="E654" s="1">
        <v>85020</v>
      </c>
      <c r="F654" s="1" t="s">
        <v>1685</v>
      </c>
      <c r="G654" s="1" t="s">
        <v>1535</v>
      </c>
      <c r="H654" s="4" t="s">
        <v>4974</v>
      </c>
      <c r="I654" s="5" t="s">
        <v>30</v>
      </c>
      <c r="J654" s="5" t="s">
        <v>31</v>
      </c>
      <c r="K654" s="5" t="s">
        <v>31</v>
      </c>
      <c r="L654" s="7" t="s">
        <v>1686</v>
      </c>
      <c r="M654" s="5" t="s">
        <v>31</v>
      </c>
      <c r="N654" s="5" t="s">
        <v>31</v>
      </c>
      <c r="O654" s="5" t="s">
        <v>32</v>
      </c>
      <c r="P654" s="5" t="s">
        <v>33</v>
      </c>
      <c r="Q654" s="2">
        <v>45966</v>
      </c>
      <c r="R654" s="1" t="s">
        <v>1687</v>
      </c>
      <c r="V654" s="45">
        <f>IF(OR(ISNUMBER(SEARCH("unable to locate acct",G654)),ISNUMBER(SEARCH("unknown",G654)),ISNUMBER(SEARCH("inactive",G654)),H654=""),0,1)</f>
        <v>1</v>
      </c>
    </row>
    <row r="655" spans="1:22" hidden="1">
      <c r="A655" s="2">
        <v>45905</v>
      </c>
      <c r="B655" s="1" t="s">
        <v>1688</v>
      </c>
      <c r="C655" s="1" t="s">
        <v>188</v>
      </c>
      <c r="D655" s="1" t="s">
        <v>57</v>
      </c>
      <c r="E655" s="1">
        <v>85023</v>
      </c>
      <c r="F655" s="1" t="s">
        <v>1689</v>
      </c>
      <c r="G655" s="1" t="s">
        <v>1535</v>
      </c>
      <c r="H655" s="4" t="s">
        <v>5184</v>
      </c>
      <c r="I655" s="5" t="s">
        <v>237</v>
      </c>
      <c r="J655" s="5" t="s">
        <v>31</v>
      </c>
      <c r="K655" s="5" t="s">
        <v>31</v>
      </c>
      <c r="L655" s="5" t="s">
        <v>381</v>
      </c>
      <c r="M655" s="5" t="s">
        <v>31</v>
      </c>
      <c r="N655" s="5" t="s">
        <v>31</v>
      </c>
      <c r="O655" s="5" t="s">
        <v>32</v>
      </c>
      <c r="P655" s="5" t="s">
        <v>33</v>
      </c>
      <c r="Q655" s="2">
        <v>45966</v>
      </c>
      <c r="V655" s="45">
        <f>IF(OR(ISNUMBER(SEARCH("unable to locate acct",G655)),ISNUMBER(SEARCH("unknown",G655)),ISNUMBER(SEARCH("inactive",G655)),H655=""),0,1)</f>
        <v>1</v>
      </c>
    </row>
    <row r="656" spans="1:22" hidden="1">
      <c r="A656" s="2">
        <v>45905</v>
      </c>
      <c r="B656" s="1" t="s">
        <v>1690</v>
      </c>
      <c r="C656" s="1" t="s">
        <v>1691</v>
      </c>
      <c r="D656" s="1" t="s">
        <v>57</v>
      </c>
      <c r="E656" s="1">
        <v>85020</v>
      </c>
      <c r="F656" s="1" t="s">
        <v>304</v>
      </c>
      <c r="G656" s="1" t="s">
        <v>1535</v>
      </c>
      <c r="H656" s="4" t="s">
        <v>4975</v>
      </c>
      <c r="I656" s="5" t="s">
        <v>190</v>
      </c>
      <c r="J656" s="5" t="s">
        <v>31</v>
      </c>
      <c r="K656" s="5" t="s">
        <v>31</v>
      </c>
      <c r="L656" s="7" t="s">
        <v>1692</v>
      </c>
      <c r="M656" s="5" t="s">
        <v>31</v>
      </c>
      <c r="N656" s="5" t="s">
        <v>31</v>
      </c>
      <c r="O656" s="5" t="s">
        <v>32</v>
      </c>
      <c r="P656" s="5" t="s">
        <v>33</v>
      </c>
      <c r="Q656" s="2">
        <v>45966</v>
      </c>
      <c r="R656" s="1" t="s">
        <v>1693</v>
      </c>
      <c r="V656" s="45">
        <f>IF(OR(ISNUMBER(SEARCH("unable to locate acct",G656)),ISNUMBER(SEARCH("unknown",G656)),ISNUMBER(SEARCH("inactive",G656)),H656=""),0,1)</f>
        <v>1</v>
      </c>
    </row>
    <row r="657" spans="1:22" hidden="1">
      <c r="A657" s="2">
        <v>45905</v>
      </c>
      <c r="B657" s="1" t="s">
        <v>1694</v>
      </c>
      <c r="C657" s="1" t="s">
        <v>278</v>
      </c>
      <c r="D657" s="1" t="s">
        <v>163</v>
      </c>
      <c r="E657" s="1">
        <v>85395</v>
      </c>
      <c r="F657" s="1" t="s">
        <v>25</v>
      </c>
      <c r="G657" s="1" t="s">
        <v>1535</v>
      </c>
      <c r="H657" s="4" t="s">
        <v>5185</v>
      </c>
      <c r="I657" s="5" t="s">
        <v>120</v>
      </c>
      <c r="J657" s="5" t="s">
        <v>31</v>
      </c>
      <c r="K657" s="5" t="s">
        <v>31</v>
      </c>
      <c r="L657" s="5" t="s">
        <v>32</v>
      </c>
      <c r="M657" s="5" t="s">
        <v>31</v>
      </c>
      <c r="N657" s="5" t="s">
        <v>31</v>
      </c>
      <c r="O657" s="5" t="s">
        <v>32</v>
      </c>
      <c r="P657" s="5" t="s">
        <v>33</v>
      </c>
      <c r="Q657" s="2">
        <v>45966</v>
      </c>
      <c r="V657" s="45">
        <f>IF(OR(ISNUMBER(SEARCH("unable to locate acct",G657)),ISNUMBER(SEARCH("unknown",G657)),ISNUMBER(SEARCH("inactive",G657)),H657=""),0,1)</f>
        <v>1</v>
      </c>
    </row>
    <row r="658" spans="1:22" hidden="1">
      <c r="A658" s="2">
        <v>45905</v>
      </c>
      <c r="B658" s="1" t="s">
        <v>1695</v>
      </c>
      <c r="C658" s="1" t="s">
        <v>139</v>
      </c>
      <c r="D658" s="1" t="s">
        <v>1451</v>
      </c>
      <c r="E658" s="1">
        <v>85131</v>
      </c>
      <c r="F658" s="1" t="s">
        <v>304</v>
      </c>
      <c r="G658" s="1" t="s">
        <v>1535</v>
      </c>
      <c r="H658" s="4" t="s">
        <v>5186</v>
      </c>
      <c r="I658" s="5" t="s">
        <v>532</v>
      </c>
      <c r="J658" s="5" t="s">
        <v>31</v>
      </c>
      <c r="K658" s="5" t="s">
        <v>31</v>
      </c>
      <c r="L658" s="5" t="s">
        <v>381</v>
      </c>
      <c r="M658" s="5" t="s">
        <v>31</v>
      </c>
      <c r="N658" s="5" t="s">
        <v>31</v>
      </c>
      <c r="O658" s="5" t="s">
        <v>32</v>
      </c>
      <c r="P658" s="5" t="s">
        <v>33</v>
      </c>
      <c r="Q658" s="2">
        <v>45966</v>
      </c>
      <c r="V658" s="45">
        <f>IF(OR(ISNUMBER(SEARCH("unable to locate acct",G658)),ISNUMBER(SEARCH("unknown",G658)),ISNUMBER(SEARCH("inactive",G658)),H658=""),0,1)</f>
        <v>1</v>
      </c>
    </row>
    <row r="659" spans="1:22" hidden="1">
      <c r="A659" s="2">
        <v>45905</v>
      </c>
      <c r="B659" s="1" t="s">
        <v>1696</v>
      </c>
      <c r="C659" s="1" t="s">
        <v>1697</v>
      </c>
      <c r="D659" s="1" t="s">
        <v>119</v>
      </c>
      <c r="E659" s="1">
        <v>85254</v>
      </c>
      <c r="F659" s="1" t="s">
        <v>304</v>
      </c>
      <c r="G659" s="1" t="s">
        <v>1535</v>
      </c>
      <c r="H659" s="4" t="s">
        <v>5187</v>
      </c>
      <c r="I659" s="5" t="s">
        <v>30</v>
      </c>
      <c r="J659" s="5" t="s">
        <v>31</v>
      </c>
      <c r="K659" s="5" t="s">
        <v>31</v>
      </c>
      <c r="L659" s="5" t="s">
        <v>32</v>
      </c>
      <c r="M659" s="5" t="s">
        <v>31</v>
      </c>
      <c r="N659" s="5" t="s">
        <v>31</v>
      </c>
      <c r="O659" s="5" t="s">
        <v>32</v>
      </c>
      <c r="P659" s="5" t="s">
        <v>33</v>
      </c>
      <c r="Q659" s="2">
        <v>45966</v>
      </c>
      <c r="V659" s="45">
        <f>IF(OR(ISNUMBER(SEARCH("unable to locate acct",G659)),ISNUMBER(SEARCH("unknown",G659)),ISNUMBER(SEARCH("inactive",G659)),H659=""),0,1)</f>
        <v>1</v>
      </c>
    </row>
    <row r="660" spans="1:22" hidden="1">
      <c r="A660" s="2">
        <v>45905</v>
      </c>
      <c r="B660" s="1" t="s">
        <v>1698</v>
      </c>
      <c r="C660" s="1" t="s">
        <v>1699</v>
      </c>
      <c r="D660" s="1" t="s">
        <v>57</v>
      </c>
      <c r="E660" s="1">
        <v>85022</v>
      </c>
      <c r="F660" s="1" t="s">
        <v>25</v>
      </c>
      <c r="G660" s="1" t="s">
        <v>1535</v>
      </c>
      <c r="H660" s="4" t="s">
        <v>5188</v>
      </c>
      <c r="I660" s="5" t="s">
        <v>30</v>
      </c>
      <c r="J660" s="5" t="s">
        <v>31</v>
      </c>
      <c r="K660" s="5" t="s">
        <v>31</v>
      </c>
      <c r="L660" s="5" t="s">
        <v>32</v>
      </c>
      <c r="M660" s="5" t="s">
        <v>31</v>
      </c>
      <c r="N660" s="5" t="s">
        <v>31</v>
      </c>
      <c r="O660" s="5" t="s">
        <v>32</v>
      </c>
      <c r="P660" s="5" t="s">
        <v>33</v>
      </c>
      <c r="Q660" s="2">
        <v>45966</v>
      </c>
      <c r="V660" s="45">
        <f>IF(OR(ISNUMBER(SEARCH("unable to locate acct",G660)),ISNUMBER(SEARCH("unknown",G660)),ISNUMBER(SEARCH("inactive",G660)),H660=""),0,1)</f>
        <v>1</v>
      </c>
    </row>
    <row r="661" spans="1:22" hidden="1">
      <c r="A661" s="2">
        <v>45905</v>
      </c>
      <c r="B661" s="1" t="s">
        <v>1700</v>
      </c>
      <c r="C661" s="1" t="s">
        <v>1701</v>
      </c>
      <c r="D661" s="1" t="s">
        <v>163</v>
      </c>
      <c r="E661" s="1">
        <v>85338</v>
      </c>
      <c r="F661" s="1" t="s">
        <v>1702</v>
      </c>
      <c r="G661" s="1" t="s">
        <v>1535</v>
      </c>
      <c r="H661" s="4" t="s">
        <v>5189</v>
      </c>
      <c r="I661" s="5" t="s">
        <v>30</v>
      </c>
      <c r="J661" s="5" t="s">
        <v>31</v>
      </c>
      <c r="K661" s="5" t="s">
        <v>31</v>
      </c>
      <c r="L661" s="5" t="s">
        <v>32</v>
      </c>
      <c r="M661" s="5" t="s">
        <v>31</v>
      </c>
      <c r="N661" s="5" t="s">
        <v>31</v>
      </c>
      <c r="O661" s="5" t="s">
        <v>32</v>
      </c>
      <c r="P661" s="5" t="s">
        <v>33</v>
      </c>
      <c r="Q661" s="2">
        <v>45966</v>
      </c>
      <c r="V661" s="45">
        <f>IF(OR(ISNUMBER(SEARCH("unable to locate acct",G661)),ISNUMBER(SEARCH("unknown",G661)),ISNUMBER(SEARCH("inactive",G661)),H661=""),0,1)</f>
        <v>1</v>
      </c>
    </row>
    <row r="662" spans="1:22" hidden="1">
      <c r="A662" s="2">
        <v>45905</v>
      </c>
      <c r="B662" s="1" t="s">
        <v>1703</v>
      </c>
      <c r="C662" s="1" t="s">
        <v>200</v>
      </c>
      <c r="D662" s="1" t="s">
        <v>163</v>
      </c>
      <c r="E662" s="1">
        <v>85395</v>
      </c>
      <c r="F662" s="1" t="s">
        <v>1704</v>
      </c>
      <c r="G662" s="1" t="s">
        <v>1535</v>
      </c>
      <c r="H662" s="4" t="s">
        <v>5190</v>
      </c>
      <c r="I662" s="5" t="s">
        <v>30</v>
      </c>
      <c r="J662" s="5" t="s">
        <v>31</v>
      </c>
      <c r="K662" s="5" t="s">
        <v>31</v>
      </c>
      <c r="L662" s="5" t="s">
        <v>32</v>
      </c>
      <c r="M662" s="5" t="s">
        <v>31</v>
      </c>
      <c r="N662" s="5" t="s">
        <v>31</v>
      </c>
      <c r="O662" s="5" t="s">
        <v>32</v>
      </c>
      <c r="P662" s="5" t="s">
        <v>33</v>
      </c>
      <c r="Q662" s="2">
        <v>45966</v>
      </c>
      <c r="V662" s="45">
        <f>IF(OR(ISNUMBER(SEARCH("unable to locate acct",G662)),ISNUMBER(SEARCH("unknown",G662)),ISNUMBER(SEARCH("inactive",G662)),H662=""),0,1)</f>
        <v>1</v>
      </c>
    </row>
    <row r="663" spans="1:22" hidden="1">
      <c r="A663" s="2">
        <v>45905</v>
      </c>
      <c r="B663" s="1" t="s">
        <v>738</v>
      </c>
      <c r="C663" s="1" t="s">
        <v>1705</v>
      </c>
      <c r="D663" s="1" t="s">
        <v>57</v>
      </c>
      <c r="E663" s="1">
        <v>85027</v>
      </c>
      <c r="F663" s="1" t="s">
        <v>1702</v>
      </c>
      <c r="G663" s="1" t="s">
        <v>1535</v>
      </c>
      <c r="H663" s="4" t="s">
        <v>5093</v>
      </c>
      <c r="I663" s="5" t="s">
        <v>120</v>
      </c>
      <c r="J663" s="5" t="s">
        <v>32</v>
      </c>
      <c r="K663" s="5" t="s">
        <v>31</v>
      </c>
      <c r="L663" s="5" t="s">
        <v>32</v>
      </c>
      <c r="M663" s="5" t="s">
        <v>32</v>
      </c>
      <c r="N663" s="15">
        <v>349.29</v>
      </c>
      <c r="O663" s="5" t="s">
        <v>32</v>
      </c>
      <c r="P663" s="5" t="s">
        <v>33</v>
      </c>
      <c r="Q663" s="2">
        <v>45966</v>
      </c>
      <c r="R663" s="1" t="s">
        <v>486</v>
      </c>
      <c r="V663" s="45">
        <f>IF(OR(ISNUMBER(SEARCH("unable to locate acct",G663)),ISNUMBER(SEARCH("unknown",G663)),ISNUMBER(SEARCH("inactive",G663)),H663=""),0,1)</f>
        <v>1</v>
      </c>
    </row>
    <row r="664" spans="1:22" hidden="1">
      <c r="A664" s="2">
        <v>45905</v>
      </c>
      <c r="B664" s="1" t="s">
        <v>43</v>
      </c>
      <c r="C664" s="1" t="s">
        <v>615</v>
      </c>
      <c r="D664" s="1" t="s">
        <v>57</v>
      </c>
      <c r="E664" s="1">
        <v>85027</v>
      </c>
      <c r="F664" s="1" t="s">
        <v>25</v>
      </c>
      <c r="G664" s="1" t="s">
        <v>1535</v>
      </c>
      <c r="H664" s="4" t="s">
        <v>5191</v>
      </c>
      <c r="I664" s="5" t="s">
        <v>67</v>
      </c>
      <c r="J664" s="5" t="s">
        <v>31</v>
      </c>
      <c r="K664" s="5" t="s">
        <v>31</v>
      </c>
      <c r="L664" s="5" t="s">
        <v>32</v>
      </c>
      <c r="M664" s="5" t="s">
        <v>31</v>
      </c>
      <c r="N664" s="5" t="s">
        <v>31</v>
      </c>
      <c r="O664" s="5" t="s">
        <v>32</v>
      </c>
      <c r="P664" s="5" t="s">
        <v>33</v>
      </c>
      <c r="Q664" s="2">
        <v>45966</v>
      </c>
      <c r="V664" s="45">
        <f>IF(OR(ISNUMBER(SEARCH("unable to locate acct",G664)),ISNUMBER(SEARCH("unknown",G664)),ISNUMBER(SEARCH("inactive",G664)),H664=""),0,1)</f>
        <v>1</v>
      </c>
    </row>
    <row r="665" spans="1:22" hidden="1">
      <c r="A665" s="2">
        <v>45905</v>
      </c>
      <c r="B665" s="1" t="s">
        <v>1033</v>
      </c>
      <c r="C665" s="1" t="s">
        <v>943</v>
      </c>
      <c r="D665" s="1" t="s">
        <v>196</v>
      </c>
      <c r="E665" s="1">
        <v>85383</v>
      </c>
      <c r="F665" s="1" t="s">
        <v>1706</v>
      </c>
      <c r="G665" s="1" t="s">
        <v>1535</v>
      </c>
      <c r="H665" s="4" t="s">
        <v>203</v>
      </c>
      <c r="V665" s="45">
        <f>IF(OR(ISNUMBER(SEARCH("unable to locate acct",G665)),ISNUMBER(SEARCH("unknown",G665)),ISNUMBER(SEARCH("inactive",G665)),H665=""),0,1)</f>
        <v>1</v>
      </c>
    </row>
    <row r="666" spans="1:22" hidden="1">
      <c r="A666" s="2">
        <v>45905</v>
      </c>
      <c r="B666" s="1" t="s">
        <v>1094</v>
      </c>
      <c r="C666" s="1" t="s">
        <v>1095</v>
      </c>
      <c r="D666" s="1" t="s">
        <v>196</v>
      </c>
      <c r="E666" s="1">
        <v>85383</v>
      </c>
      <c r="F666" s="1" t="s">
        <v>1707</v>
      </c>
      <c r="G666" s="1" t="s">
        <v>1535</v>
      </c>
      <c r="H666" s="4" t="s">
        <v>84</v>
      </c>
      <c r="V666" s="45">
        <f>IF(OR(ISNUMBER(SEARCH("unable to locate acct",G666)),ISNUMBER(SEARCH("unknown",G666)),ISNUMBER(SEARCH("inactive",G666)),H666=""),0,1)</f>
        <v>1</v>
      </c>
    </row>
    <row r="667" spans="1:22" hidden="1">
      <c r="A667" s="2">
        <v>45905</v>
      </c>
      <c r="B667" s="1" t="s">
        <v>1708</v>
      </c>
      <c r="C667" s="1" t="s">
        <v>1709</v>
      </c>
      <c r="D667" s="1" t="s">
        <v>168</v>
      </c>
      <c r="E667" s="1">
        <v>85396</v>
      </c>
      <c r="F667" s="1" t="s">
        <v>25</v>
      </c>
      <c r="G667" s="1" t="s">
        <v>1535</v>
      </c>
      <c r="H667" s="4" t="s">
        <v>5192</v>
      </c>
      <c r="I667" s="5" t="s">
        <v>190</v>
      </c>
      <c r="J667" s="5" t="s">
        <v>31</v>
      </c>
      <c r="K667" s="5" t="s">
        <v>31</v>
      </c>
      <c r="L667" s="5" t="s">
        <v>32</v>
      </c>
      <c r="M667" s="5" t="s">
        <v>31</v>
      </c>
      <c r="N667" s="5" t="s">
        <v>31</v>
      </c>
      <c r="O667" s="5" t="s">
        <v>32</v>
      </c>
      <c r="P667" s="5" t="s">
        <v>33</v>
      </c>
      <c r="Q667" s="2">
        <v>45966</v>
      </c>
      <c r="V667" s="45">
        <f>IF(OR(ISNUMBER(SEARCH("unable to locate acct",G667)),ISNUMBER(SEARCH("unknown",G667)),ISNUMBER(SEARCH("inactive",G667)),H667=""),0,1)</f>
        <v>1</v>
      </c>
    </row>
    <row r="668" spans="1:22" hidden="1">
      <c r="A668" s="2">
        <v>45905</v>
      </c>
      <c r="B668" s="1" t="s">
        <v>1710</v>
      </c>
      <c r="C668" s="1" t="s">
        <v>1711</v>
      </c>
      <c r="D668" s="1" t="s">
        <v>57</v>
      </c>
      <c r="E668" s="1">
        <v>85083</v>
      </c>
      <c r="F668" s="1" t="s">
        <v>304</v>
      </c>
      <c r="G668" s="1" t="s">
        <v>1535</v>
      </c>
      <c r="H668" s="4" t="s">
        <v>5193</v>
      </c>
      <c r="I668" s="5" t="s">
        <v>40</v>
      </c>
      <c r="J668" s="5" t="s">
        <v>31</v>
      </c>
      <c r="K668" s="5" t="s">
        <v>31</v>
      </c>
      <c r="L668" s="5" t="s">
        <v>32</v>
      </c>
      <c r="M668" s="5" t="s">
        <v>31</v>
      </c>
      <c r="N668" s="5" t="s">
        <v>31</v>
      </c>
      <c r="O668" s="5" t="s">
        <v>32</v>
      </c>
      <c r="P668" s="5" t="s">
        <v>33</v>
      </c>
      <c r="Q668" s="2">
        <v>45966</v>
      </c>
      <c r="V668" s="45">
        <f>IF(OR(ISNUMBER(SEARCH("unable to locate acct",G668)),ISNUMBER(SEARCH("unknown",G668)),ISNUMBER(SEARCH("inactive",G668)),H668=""),0,1)</f>
        <v>1</v>
      </c>
    </row>
    <row r="669" spans="1:22" hidden="1">
      <c r="A669" s="2">
        <v>45905</v>
      </c>
      <c r="B669" s="1" t="s">
        <v>1712</v>
      </c>
      <c r="C669" s="1" t="s">
        <v>588</v>
      </c>
      <c r="D669" s="1" t="s">
        <v>57</v>
      </c>
      <c r="E669" s="1">
        <v>85083</v>
      </c>
      <c r="F669" s="1" t="s">
        <v>25</v>
      </c>
      <c r="G669" s="1" t="s">
        <v>1535</v>
      </c>
      <c r="H669" s="4" t="s">
        <v>4976</v>
      </c>
      <c r="I669" s="5" t="s">
        <v>30</v>
      </c>
      <c r="J669" s="5" t="s">
        <v>31</v>
      </c>
      <c r="K669" s="5" t="s">
        <v>31</v>
      </c>
      <c r="L669" s="7" t="s">
        <v>1713</v>
      </c>
      <c r="M669" s="5" t="s">
        <v>31</v>
      </c>
      <c r="N669" s="5" t="s">
        <v>31</v>
      </c>
      <c r="O669" s="5" t="s">
        <v>32</v>
      </c>
      <c r="P669" s="5" t="s">
        <v>33</v>
      </c>
      <c r="Q669" s="2">
        <v>45966</v>
      </c>
      <c r="R669" s="1" t="s">
        <v>1714</v>
      </c>
      <c r="V669" s="45">
        <f>IF(OR(ISNUMBER(SEARCH("unable to locate acct",G669)),ISNUMBER(SEARCH("unknown",G669)),ISNUMBER(SEARCH("inactive",G669)),H669=""),0,1)</f>
        <v>1</v>
      </c>
    </row>
    <row r="670" spans="1:22" hidden="1">
      <c r="A670" s="2">
        <v>45905</v>
      </c>
      <c r="B670" s="1" t="s">
        <v>1715</v>
      </c>
      <c r="C670" s="1" t="s">
        <v>1608</v>
      </c>
      <c r="D670" s="1" t="s">
        <v>57</v>
      </c>
      <c r="E670" s="1">
        <v>85028</v>
      </c>
      <c r="F670" s="1" t="s">
        <v>1716</v>
      </c>
      <c r="G670" s="1" t="s">
        <v>1535</v>
      </c>
      <c r="H670" s="4" t="s">
        <v>5194</v>
      </c>
      <c r="I670" s="5" t="s">
        <v>120</v>
      </c>
      <c r="J670" s="5" t="s">
        <v>31</v>
      </c>
      <c r="K670" s="5" t="s">
        <v>31</v>
      </c>
      <c r="L670" s="5" t="s">
        <v>32</v>
      </c>
      <c r="M670" s="5" t="s">
        <v>31</v>
      </c>
      <c r="N670" s="5" t="s">
        <v>31</v>
      </c>
      <c r="O670" s="5" t="s">
        <v>32</v>
      </c>
      <c r="P670" s="5" t="s">
        <v>33</v>
      </c>
      <c r="Q670" s="2">
        <v>45966</v>
      </c>
      <c r="V670" s="45">
        <f>IF(OR(ISNUMBER(SEARCH("unable to locate acct",G670)),ISNUMBER(SEARCH("unknown",G670)),ISNUMBER(SEARCH("inactive",G670)),H670=""),0,1)</f>
        <v>1</v>
      </c>
    </row>
    <row r="671" spans="1:22" hidden="1">
      <c r="A671" s="2">
        <v>45905</v>
      </c>
      <c r="B671" s="1" t="s">
        <v>416</v>
      </c>
      <c r="C671" s="1" t="s">
        <v>488</v>
      </c>
      <c r="D671" s="1" t="s">
        <v>57</v>
      </c>
      <c r="E671" s="1">
        <v>85022</v>
      </c>
      <c r="F671" s="1" t="s">
        <v>1717</v>
      </c>
      <c r="G671" s="1" t="s">
        <v>1535</v>
      </c>
      <c r="H671" s="4" t="s">
        <v>1718</v>
      </c>
      <c r="I671" s="5" t="s">
        <v>190</v>
      </c>
      <c r="J671" s="5" t="s">
        <v>31</v>
      </c>
      <c r="K671" s="5" t="s">
        <v>31</v>
      </c>
      <c r="L671" s="7" t="s">
        <v>1719</v>
      </c>
      <c r="M671" s="5" t="s">
        <v>31</v>
      </c>
      <c r="N671" s="5" t="s">
        <v>31</v>
      </c>
      <c r="O671" s="5" t="s">
        <v>32</v>
      </c>
      <c r="P671" s="2">
        <v>45936</v>
      </c>
      <c r="Q671" s="2">
        <v>45966</v>
      </c>
      <c r="R671" s="1" t="s">
        <v>1720</v>
      </c>
      <c r="V671" s="45">
        <f>IF(OR(ISNUMBER(SEARCH("unable to locate acct",G671)),ISNUMBER(SEARCH("unknown",G671)),ISNUMBER(SEARCH("inactive",G671)),H671=""),0,1)</f>
        <v>1</v>
      </c>
    </row>
    <row r="672" spans="1:22" hidden="1">
      <c r="A672" s="2">
        <v>45905</v>
      </c>
      <c r="B672" s="1" t="s">
        <v>1721</v>
      </c>
      <c r="C672" s="1" t="s">
        <v>1722</v>
      </c>
      <c r="D672" s="1" t="s">
        <v>196</v>
      </c>
      <c r="E672" s="1">
        <v>85383</v>
      </c>
      <c r="F672" s="1" t="s">
        <v>304</v>
      </c>
      <c r="G672" s="1" t="s">
        <v>1535</v>
      </c>
      <c r="H672" s="4" t="s">
        <v>21</v>
      </c>
      <c r="V672" s="45">
        <f>IF(OR(ISNUMBER(SEARCH("unable to locate acct",G672)),ISNUMBER(SEARCH("unknown",G672)),ISNUMBER(SEARCH("inactive",G672)),H672=""),0,1)</f>
        <v>1</v>
      </c>
    </row>
    <row r="673" spans="1:22" hidden="1">
      <c r="A673" s="2">
        <v>45905</v>
      </c>
      <c r="B673" s="1" t="s">
        <v>1723</v>
      </c>
      <c r="C673" s="1" t="s">
        <v>1724</v>
      </c>
      <c r="D673" s="1" t="s">
        <v>196</v>
      </c>
      <c r="E673" s="1">
        <v>85383</v>
      </c>
      <c r="F673" s="1" t="s">
        <v>304</v>
      </c>
      <c r="G673" s="1" t="s">
        <v>1535</v>
      </c>
      <c r="H673" s="4" t="s">
        <v>5195</v>
      </c>
      <c r="I673" s="5" t="s">
        <v>410</v>
      </c>
      <c r="J673" s="5" t="s">
        <v>31</v>
      </c>
      <c r="K673" s="5" t="s">
        <v>31</v>
      </c>
      <c r="L673" s="5" t="s">
        <v>381</v>
      </c>
      <c r="M673" s="5" t="s">
        <v>31</v>
      </c>
      <c r="N673" s="5" t="s">
        <v>31</v>
      </c>
      <c r="O673" s="5" t="s">
        <v>32</v>
      </c>
      <c r="P673" s="5" t="s">
        <v>33</v>
      </c>
      <c r="Q673" s="2">
        <v>45966</v>
      </c>
      <c r="V673" s="45">
        <f>IF(OR(ISNUMBER(SEARCH("unable to locate acct",G673)),ISNUMBER(SEARCH("unknown",G673)),ISNUMBER(SEARCH("inactive",G673)),H673=""),0,1)</f>
        <v>1</v>
      </c>
    </row>
    <row r="674" spans="1:22" hidden="1">
      <c r="A674" s="2">
        <v>45905</v>
      </c>
      <c r="B674" s="1" t="s">
        <v>1725</v>
      </c>
      <c r="C674" s="1" t="s">
        <v>1028</v>
      </c>
      <c r="D674" s="1" t="s">
        <v>106</v>
      </c>
      <c r="E674" s="1">
        <v>85388</v>
      </c>
      <c r="F674" s="1" t="s">
        <v>1726</v>
      </c>
      <c r="G674" s="1" t="s">
        <v>1535</v>
      </c>
      <c r="H674" s="4" t="s">
        <v>4977</v>
      </c>
      <c r="I674" s="5" t="s">
        <v>190</v>
      </c>
      <c r="J674" s="5" t="s">
        <v>31</v>
      </c>
      <c r="K674" s="5" t="s">
        <v>31</v>
      </c>
      <c r="L674" s="7" t="s">
        <v>1727</v>
      </c>
      <c r="M674" s="5" t="s">
        <v>31</v>
      </c>
      <c r="N674" s="5" t="s">
        <v>31</v>
      </c>
      <c r="O674" s="5" t="s">
        <v>32</v>
      </c>
      <c r="P674" s="2">
        <v>45936</v>
      </c>
      <c r="Q674" s="2">
        <v>45966</v>
      </c>
      <c r="R674" s="22" t="s">
        <v>1728</v>
      </c>
      <c r="V674" s="45">
        <f>IF(OR(ISNUMBER(SEARCH("unable to locate acct",G674)),ISNUMBER(SEARCH("unknown",G674)),ISNUMBER(SEARCH("inactive",G674)),H674=""),0,1)</f>
        <v>1</v>
      </c>
    </row>
    <row r="675" spans="1:22" hidden="1">
      <c r="A675" s="2">
        <v>45905</v>
      </c>
      <c r="B675" s="1" t="s">
        <v>1729</v>
      </c>
      <c r="C675" s="1" t="s">
        <v>1730</v>
      </c>
      <c r="D675" s="1" t="s">
        <v>57</v>
      </c>
      <c r="E675" s="1">
        <v>85021</v>
      </c>
      <c r="F675" s="1" t="s">
        <v>1731</v>
      </c>
      <c r="G675" s="1" t="s">
        <v>1535</v>
      </c>
      <c r="H675" s="4" t="s">
        <v>5196</v>
      </c>
      <c r="I675" s="5" t="s">
        <v>40</v>
      </c>
      <c r="J675" s="5" t="s">
        <v>31</v>
      </c>
      <c r="K675" s="5" t="s">
        <v>31</v>
      </c>
      <c r="L675" s="5" t="s">
        <v>32</v>
      </c>
      <c r="M675" s="5" t="s">
        <v>31</v>
      </c>
      <c r="N675" s="5" t="s">
        <v>31</v>
      </c>
      <c r="O675" s="5" t="s">
        <v>32</v>
      </c>
      <c r="P675" s="5" t="s">
        <v>33</v>
      </c>
      <c r="Q675" s="2">
        <v>45966</v>
      </c>
      <c r="V675" s="45">
        <f>IF(OR(ISNUMBER(SEARCH("unable to locate acct",G675)),ISNUMBER(SEARCH("unknown",G675)),ISNUMBER(SEARCH("inactive",G675)),H675=""),0,1)</f>
        <v>1</v>
      </c>
    </row>
    <row r="676" spans="1:22" hidden="1">
      <c r="A676" s="2">
        <v>45905</v>
      </c>
      <c r="B676" s="1" t="s">
        <v>1732</v>
      </c>
      <c r="C676" s="1" t="s">
        <v>306</v>
      </c>
      <c r="D676" s="1" t="s">
        <v>119</v>
      </c>
      <c r="E676" s="1">
        <v>85255</v>
      </c>
      <c r="F676" s="1" t="s">
        <v>304</v>
      </c>
      <c r="G676" s="1" t="s">
        <v>1535</v>
      </c>
      <c r="H676" s="4" t="s">
        <v>4978</v>
      </c>
      <c r="I676" s="5" t="s">
        <v>190</v>
      </c>
      <c r="J676" s="5" t="s">
        <v>31</v>
      </c>
      <c r="K676" s="5" t="s">
        <v>31</v>
      </c>
      <c r="L676" s="7" t="s">
        <v>1733</v>
      </c>
      <c r="M676" s="5" t="s">
        <v>31</v>
      </c>
      <c r="N676" s="5" t="s">
        <v>31</v>
      </c>
      <c r="O676" s="5" t="s">
        <v>32</v>
      </c>
      <c r="P676" s="2">
        <v>45936</v>
      </c>
      <c r="Q676" s="2">
        <v>45966</v>
      </c>
      <c r="R676" s="1" t="s">
        <v>1734</v>
      </c>
      <c r="V676" s="45">
        <f>IF(OR(ISNUMBER(SEARCH("unable to locate acct",G676)),ISNUMBER(SEARCH("unknown",G676)),ISNUMBER(SEARCH("inactive",G676)),H676=""),0,1)</f>
        <v>1</v>
      </c>
    </row>
    <row r="677" spans="1:22" hidden="1">
      <c r="A677" s="2">
        <v>45905</v>
      </c>
      <c r="B677" s="1" t="s">
        <v>1735</v>
      </c>
      <c r="C677" s="1" t="s">
        <v>861</v>
      </c>
      <c r="D677" s="1" t="s">
        <v>57</v>
      </c>
      <c r="E677" s="1">
        <v>85016</v>
      </c>
      <c r="F677" s="1" t="s">
        <v>1736</v>
      </c>
      <c r="G677" s="1" t="s">
        <v>1535</v>
      </c>
      <c r="H677" s="4" t="s">
        <v>5197</v>
      </c>
      <c r="I677" s="5" t="s">
        <v>30</v>
      </c>
      <c r="J677" s="5" t="s">
        <v>31</v>
      </c>
      <c r="K677" s="5" t="s">
        <v>31</v>
      </c>
      <c r="L677" s="5" t="s">
        <v>32</v>
      </c>
      <c r="M677" s="5" t="s">
        <v>31</v>
      </c>
      <c r="N677" s="5" t="s">
        <v>31</v>
      </c>
      <c r="O677" s="5" t="s">
        <v>32</v>
      </c>
      <c r="P677" s="5" t="s">
        <v>33</v>
      </c>
      <c r="Q677" s="2">
        <v>45966</v>
      </c>
      <c r="V677" s="45">
        <f>IF(OR(ISNUMBER(SEARCH("unable to locate acct",G677)),ISNUMBER(SEARCH("unknown",G677)),ISNUMBER(SEARCH("inactive",G677)),H677=""),0,1)</f>
        <v>1</v>
      </c>
    </row>
    <row r="678" spans="1:22" hidden="1">
      <c r="A678" s="2">
        <v>45905</v>
      </c>
      <c r="B678" s="1" t="s">
        <v>1737</v>
      </c>
      <c r="C678" s="1" t="s">
        <v>1738</v>
      </c>
      <c r="D678" s="1" t="s">
        <v>196</v>
      </c>
      <c r="E678" s="1">
        <v>85383</v>
      </c>
      <c r="F678" s="1" t="s">
        <v>25</v>
      </c>
      <c r="G678" s="1" t="s">
        <v>1535</v>
      </c>
      <c r="H678" s="4" t="s">
        <v>4979</v>
      </c>
      <c r="I678" s="5" t="s">
        <v>190</v>
      </c>
      <c r="J678" s="5" t="s">
        <v>31</v>
      </c>
      <c r="K678" s="5" t="s">
        <v>31</v>
      </c>
      <c r="L678" s="7" t="s">
        <v>1739</v>
      </c>
      <c r="M678" s="5" t="s">
        <v>31</v>
      </c>
      <c r="N678" s="5" t="s">
        <v>31</v>
      </c>
      <c r="O678" s="5" t="s">
        <v>32</v>
      </c>
      <c r="P678" s="2">
        <v>45936</v>
      </c>
      <c r="Q678" s="2">
        <v>45966</v>
      </c>
      <c r="R678" s="1" t="s">
        <v>1740</v>
      </c>
      <c r="V678" s="45">
        <f>IF(OR(ISNUMBER(SEARCH("unable to locate acct",G678)),ISNUMBER(SEARCH("unknown",G678)),ISNUMBER(SEARCH("inactive",G678)),H678=""),0,1)</f>
        <v>1</v>
      </c>
    </row>
    <row r="679" spans="1:22" hidden="1">
      <c r="A679" s="2">
        <v>45905</v>
      </c>
      <c r="B679" s="1" t="s">
        <v>1741</v>
      </c>
      <c r="C679" s="1" t="s">
        <v>318</v>
      </c>
      <c r="D679" s="1" t="s">
        <v>57</v>
      </c>
      <c r="E679" s="1">
        <v>85003</v>
      </c>
      <c r="F679" s="1" t="s">
        <v>1742</v>
      </c>
      <c r="G679" s="1" t="s">
        <v>1535</v>
      </c>
      <c r="H679" s="4" t="s">
        <v>4980</v>
      </c>
      <c r="I679" s="5" t="s">
        <v>190</v>
      </c>
      <c r="J679" s="5" t="s">
        <v>32</v>
      </c>
      <c r="K679" s="5" t="s">
        <v>31</v>
      </c>
      <c r="L679" s="5" t="s">
        <v>1743</v>
      </c>
      <c r="M679" s="5" t="s">
        <v>31</v>
      </c>
      <c r="N679" s="5" t="s">
        <v>31</v>
      </c>
      <c r="O679" s="5" t="s">
        <v>32</v>
      </c>
      <c r="P679" s="5" t="s">
        <v>33</v>
      </c>
      <c r="Q679" s="2">
        <v>45966</v>
      </c>
      <c r="V679" s="45">
        <f>IF(OR(ISNUMBER(SEARCH("unable to locate acct",G679)),ISNUMBER(SEARCH("unknown",G679)),ISNUMBER(SEARCH("inactive",G679)),H679=""),0,1)</f>
        <v>1</v>
      </c>
    </row>
    <row r="680" spans="1:22" hidden="1">
      <c r="A680" s="2">
        <v>45905</v>
      </c>
      <c r="B680" s="1" t="s">
        <v>1744</v>
      </c>
      <c r="C680" s="1" t="s">
        <v>738</v>
      </c>
      <c r="D680" s="1" t="s">
        <v>196</v>
      </c>
      <c r="E680" s="1">
        <v>85383</v>
      </c>
      <c r="F680" s="1" t="s">
        <v>304</v>
      </c>
      <c r="G680" s="1" t="s">
        <v>1535</v>
      </c>
      <c r="H680" s="21" t="s">
        <v>5648</v>
      </c>
      <c r="I680" s="5" t="s">
        <v>40</v>
      </c>
      <c r="J680" s="5" t="s">
        <v>31</v>
      </c>
      <c r="K680" s="5" t="s">
        <v>31</v>
      </c>
      <c r="L680" s="5" t="s">
        <v>32</v>
      </c>
      <c r="M680" s="5" t="s">
        <v>31</v>
      </c>
      <c r="N680" s="5" t="s">
        <v>31</v>
      </c>
      <c r="O680" s="5" t="s">
        <v>32</v>
      </c>
      <c r="P680" s="5" t="s">
        <v>33</v>
      </c>
      <c r="Q680" s="2">
        <v>45966</v>
      </c>
      <c r="V680" s="45">
        <f>IF(OR(ISNUMBER(SEARCH("unable to locate acct",G680)),ISNUMBER(SEARCH("unknown",G680)),ISNUMBER(SEARCH("inactive",G680)),H680=""),0,1)</f>
        <v>1</v>
      </c>
    </row>
    <row r="681" spans="1:22" hidden="1">
      <c r="A681" s="2">
        <v>45905</v>
      </c>
      <c r="B681" s="1" t="s">
        <v>1503</v>
      </c>
      <c r="C681" s="1" t="s">
        <v>539</v>
      </c>
      <c r="D681" s="1" t="s">
        <v>57</v>
      </c>
      <c r="E681" s="1">
        <v>85007</v>
      </c>
      <c r="F681" s="1" t="s">
        <v>304</v>
      </c>
      <c r="G681" s="1" t="s">
        <v>1535</v>
      </c>
      <c r="H681" s="4" t="s">
        <v>21</v>
      </c>
      <c r="V681" s="45">
        <f>IF(OR(ISNUMBER(SEARCH("unable to locate acct",G681)),ISNUMBER(SEARCH("unknown",G681)),ISNUMBER(SEARCH("inactive",G681)),H681=""),0,1)</f>
        <v>1</v>
      </c>
    </row>
    <row r="682" spans="1:22" hidden="1">
      <c r="A682" s="2">
        <v>45905</v>
      </c>
      <c r="B682" s="1" t="s">
        <v>1745</v>
      </c>
      <c r="C682" s="1" t="s">
        <v>871</v>
      </c>
      <c r="D682" s="1" t="s">
        <v>119</v>
      </c>
      <c r="E682" s="1">
        <v>85255</v>
      </c>
      <c r="F682" s="1" t="s">
        <v>25</v>
      </c>
      <c r="G682" s="1" t="s">
        <v>1535</v>
      </c>
      <c r="H682" s="4" t="s">
        <v>5198</v>
      </c>
      <c r="I682" s="5" t="s">
        <v>244</v>
      </c>
      <c r="J682" s="5" t="s">
        <v>31</v>
      </c>
      <c r="K682" s="5" t="s">
        <v>31</v>
      </c>
      <c r="L682" s="5" t="s">
        <v>32</v>
      </c>
      <c r="M682" s="5" t="s">
        <v>31</v>
      </c>
      <c r="N682" s="5" t="s">
        <v>31</v>
      </c>
      <c r="O682" s="5" t="s">
        <v>32</v>
      </c>
      <c r="P682" s="5" t="s">
        <v>33</v>
      </c>
      <c r="Q682" s="2">
        <v>45966</v>
      </c>
      <c r="V682" s="45">
        <f>IF(OR(ISNUMBER(SEARCH("unable to locate acct",G682)),ISNUMBER(SEARCH("unknown",G682)),ISNUMBER(SEARCH("inactive",G682)),H682=""),0,1)</f>
        <v>1</v>
      </c>
    </row>
    <row r="683" spans="1:22" hidden="1">
      <c r="A683" s="2">
        <v>45905</v>
      </c>
      <c r="B683" s="1" t="s">
        <v>1746</v>
      </c>
      <c r="C683" s="1" t="s">
        <v>1747</v>
      </c>
      <c r="D683" s="1" t="s">
        <v>626</v>
      </c>
      <c r="E683" s="1">
        <v>85288</v>
      </c>
      <c r="F683" s="1" t="s">
        <v>304</v>
      </c>
      <c r="G683" s="1" t="s">
        <v>1535</v>
      </c>
      <c r="H683" s="4" t="s">
        <v>4981</v>
      </c>
      <c r="I683" s="5" t="s">
        <v>190</v>
      </c>
      <c r="J683" s="5" t="s">
        <v>31</v>
      </c>
      <c r="K683" s="5" t="s">
        <v>31</v>
      </c>
      <c r="L683" s="7" t="s">
        <v>1748</v>
      </c>
      <c r="M683" s="5" t="s">
        <v>31</v>
      </c>
      <c r="N683" s="5" t="s">
        <v>31</v>
      </c>
      <c r="O683" s="5" t="s">
        <v>32</v>
      </c>
      <c r="P683" s="2">
        <v>45936</v>
      </c>
      <c r="Q683" s="2">
        <v>45966</v>
      </c>
      <c r="R683" s="1" t="s">
        <v>1749</v>
      </c>
      <c r="V683" s="45">
        <f>IF(OR(ISNUMBER(SEARCH("unable to locate acct",G683)),ISNUMBER(SEARCH("unknown",G683)),ISNUMBER(SEARCH("inactive",G683)),H683=""),0,1)</f>
        <v>1</v>
      </c>
    </row>
    <row r="684" spans="1:22" hidden="1">
      <c r="A684" s="2">
        <v>45905</v>
      </c>
      <c r="B684" s="1" t="s">
        <v>1750</v>
      </c>
      <c r="C684" s="1" t="s">
        <v>327</v>
      </c>
      <c r="D684" s="1" t="s">
        <v>57</v>
      </c>
      <c r="E684" s="1">
        <v>85024</v>
      </c>
      <c r="F684" s="1" t="s">
        <v>304</v>
      </c>
      <c r="G684" s="1" t="s">
        <v>1535</v>
      </c>
      <c r="H684" s="4" t="s">
        <v>5199</v>
      </c>
      <c r="I684" s="5" t="s">
        <v>190</v>
      </c>
      <c r="J684" s="5" t="s">
        <v>31</v>
      </c>
      <c r="K684" s="5" t="s">
        <v>31</v>
      </c>
      <c r="L684" s="5" t="s">
        <v>32</v>
      </c>
      <c r="M684" s="5" t="s">
        <v>31</v>
      </c>
      <c r="N684" s="5" t="s">
        <v>31</v>
      </c>
      <c r="O684" s="5" t="s">
        <v>32</v>
      </c>
      <c r="P684" s="5" t="s">
        <v>33</v>
      </c>
      <c r="Q684" s="2">
        <v>45966</v>
      </c>
      <c r="V684" s="45">
        <f>IF(OR(ISNUMBER(SEARCH("unable to locate acct",G684)),ISNUMBER(SEARCH("unknown",G684)),ISNUMBER(SEARCH("inactive",G684)),H684=""),0,1)</f>
        <v>1</v>
      </c>
    </row>
    <row r="685" spans="1:22" hidden="1">
      <c r="A685" s="2">
        <v>45905</v>
      </c>
      <c r="B685" s="1" t="s">
        <v>1751</v>
      </c>
      <c r="C685" s="1" t="s">
        <v>219</v>
      </c>
      <c r="D685" s="1" t="s">
        <v>420</v>
      </c>
      <c r="E685" s="1">
        <v>85335</v>
      </c>
      <c r="F685" s="1" t="s">
        <v>1752</v>
      </c>
      <c r="G685" s="1" t="s">
        <v>1535</v>
      </c>
      <c r="H685" s="4" t="s">
        <v>5200</v>
      </c>
      <c r="I685" s="5" t="s">
        <v>40</v>
      </c>
      <c r="J685" s="5" t="s">
        <v>31</v>
      </c>
      <c r="K685" s="5" t="s">
        <v>31</v>
      </c>
      <c r="L685" s="5" t="s">
        <v>32</v>
      </c>
      <c r="M685" s="5" t="s">
        <v>31</v>
      </c>
      <c r="N685" s="5" t="s">
        <v>31</v>
      </c>
      <c r="O685" s="5" t="s">
        <v>32</v>
      </c>
      <c r="P685" s="5" t="s">
        <v>33</v>
      </c>
      <c r="Q685" s="2">
        <v>45966</v>
      </c>
      <c r="V685" s="45">
        <f>IF(OR(ISNUMBER(SEARCH("unable to locate acct",G685)),ISNUMBER(SEARCH("unknown",G685)),ISNUMBER(SEARCH("inactive",G685)),H685=""),0,1)</f>
        <v>1</v>
      </c>
    </row>
    <row r="686" spans="1:22" hidden="1">
      <c r="A686" s="2">
        <v>45905</v>
      </c>
      <c r="B686" s="1" t="s">
        <v>1753</v>
      </c>
      <c r="C686" s="1" t="s">
        <v>696</v>
      </c>
      <c r="D686" s="1" t="s">
        <v>163</v>
      </c>
      <c r="E686" s="1">
        <v>85338</v>
      </c>
      <c r="F686" s="1" t="s">
        <v>25</v>
      </c>
      <c r="G686" s="1" t="s">
        <v>1535</v>
      </c>
      <c r="H686" s="4" t="s">
        <v>5201</v>
      </c>
      <c r="I686" s="5" t="s">
        <v>30</v>
      </c>
      <c r="J686" s="5" t="s">
        <v>32</v>
      </c>
      <c r="K686" s="5" t="s">
        <v>31</v>
      </c>
      <c r="L686" s="5" t="s">
        <v>32</v>
      </c>
      <c r="M686" s="5" t="s">
        <v>31</v>
      </c>
      <c r="N686" s="5" t="s">
        <v>31</v>
      </c>
      <c r="O686" s="5" t="s">
        <v>32</v>
      </c>
      <c r="P686" s="5" t="s">
        <v>33</v>
      </c>
      <c r="Q686" s="2">
        <v>45966</v>
      </c>
      <c r="V686" s="45">
        <f>IF(OR(ISNUMBER(SEARCH("unable to locate acct",G686)),ISNUMBER(SEARCH("unknown",G686)),ISNUMBER(SEARCH("inactive",G686)),H686=""),0,1)</f>
        <v>1</v>
      </c>
    </row>
    <row r="687" spans="1:22" hidden="1">
      <c r="A687" s="2">
        <v>45905</v>
      </c>
      <c r="B687" s="1" t="s">
        <v>1754</v>
      </c>
      <c r="C687" s="1" t="s">
        <v>539</v>
      </c>
      <c r="D687" s="1" t="s">
        <v>196</v>
      </c>
      <c r="E687" s="1">
        <v>85383</v>
      </c>
      <c r="F687" s="1" t="s">
        <v>304</v>
      </c>
      <c r="G687" s="1" t="s">
        <v>1535</v>
      </c>
      <c r="H687" s="4" t="s">
        <v>4982</v>
      </c>
      <c r="I687" s="5" t="s">
        <v>190</v>
      </c>
      <c r="J687" s="5" t="s">
        <v>31</v>
      </c>
      <c r="K687" s="5" t="s">
        <v>31</v>
      </c>
      <c r="L687" s="7" t="s">
        <v>1755</v>
      </c>
      <c r="M687" s="5" t="s">
        <v>31</v>
      </c>
      <c r="N687" s="5" t="s">
        <v>31</v>
      </c>
      <c r="O687" s="5" t="s">
        <v>32</v>
      </c>
      <c r="P687" s="2">
        <v>45936</v>
      </c>
      <c r="Q687" s="2">
        <v>45966</v>
      </c>
      <c r="R687" s="1" t="s">
        <v>1542</v>
      </c>
      <c r="V687" s="45">
        <f>IF(OR(ISNUMBER(SEARCH("unable to locate acct",G687)),ISNUMBER(SEARCH("unknown",G687)),ISNUMBER(SEARCH("inactive",G687)),H687=""),0,1)</f>
        <v>1</v>
      </c>
    </row>
    <row r="688" spans="1:22" hidden="1">
      <c r="A688" s="2">
        <v>45905</v>
      </c>
      <c r="B688" s="1" t="s">
        <v>1756</v>
      </c>
      <c r="C688" s="1" t="s">
        <v>1757</v>
      </c>
      <c r="D688" s="1" t="s">
        <v>106</v>
      </c>
      <c r="E688" s="1">
        <v>85374</v>
      </c>
      <c r="F688" s="1" t="s">
        <v>304</v>
      </c>
      <c r="G688" s="1" t="s">
        <v>1535</v>
      </c>
      <c r="H688" s="4" t="s">
        <v>84</v>
      </c>
      <c r="V688" s="45">
        <f>IF(OR(ISNUMBER(SEARCH("unable to locate acct",G688)),ISNUMBER(SEARCH("unknown",G688)),ISNUMBER(SEARCH("inactive",G688)),H688=""),0,1)</f>
        <v>1</v>
      </c>
    </row>
    <row r="689" spans="1:22" hidden="1">
      <c r="A689" s="2">
        <v>45905</v>
      </c>
      <c r="B689" s="1" t="s">
        <v>1090</v>
      </c>
      <c r="C689" s="1" t="s">
        <v>1523</v>
      </c>
      <c r="D689" s="1" t="s">
        <v>106</v>
      </c>
      <c r="E689" s="1">
        <v>85379</v>
      </c>
      <c r="F689" s="1" t="s">
        <v>304</v>
      </c>
      <c r="G689" s="1" t="s">
        <v>1535</v>
      </c>
      <c r="H689" s="4" t="s">
        <v>5202</v>
      </c>
      <c r="I689" s="5" t="s">
        <v>244</v>
      </c>
      <c r="J689" s="5" t="s">
        <v>31</v>
      </c>
      <c r="K689" s="5" t="s">
        <v>31</v>
      </c>
      <c r="L689" s="5" t="s">
        <v>32</v>
      </c>
      <c r="M689" s="5" t="s">
        <v>31</v>
      </c>
      <c r="N689" s="5" t="s">
        <v>31</v>
      </c>
      <c r="O689" s="5" t="s">
        <v>32</v>
      </c>
      <c r="P689" s="5" t="s">
        <v>33</v>
      </c>
      <c r="Q689" s="2">
        <v>45966</v>
      </c>
      <c r="V689" s="45">
        <f>IF(OR(ISNUMBER(SEARCH("unable to locate acct",G689)),ISNUMBER(SEARCH("unknown",G689)),ISNUMBER(SEARCH("inactive",G689)),H689=""),0,1)</f>
        <v>1</v>
      </c>
    </row>
    <row r="690" spans="1:22" hidden="1">
      <c r="A690" s="2">
        <v>45905</v>
      </c>
      <c r="B690" s="1" t="s">
        <v>1754</v>
      </c>
      <c r="C690" s="1" t="s">
        <v>1658</v>
      </c>
      <c r="D690" s="1" t="s">
        <v>196</v>
      </c>
      <c r="E690" s="1">
        <v>85383</v>
      </c>
      <c r="F690" s="1" t="s">
        <v>304</v>
      </c>
      <c r="G690" s="1" t="s">
        <v>1535</v>
      </c>
      <c r="H690" s="4" t="s">
        <v>4982</v>
      </c>
      <c r="I690" s="5" t="s">
        <v>190</v>
      </c>
      <c r="J690" s="5" t="s">
        <v>31</v>
      </c>
      <c r="K690" s="5" t="s">
        <v>31</v>
      </c>
      <c r="L690" s="7" t="s">
        <v>1755</v>
      </c>
      <c r="M690" s="5" t="s">
        <v>31</v>
      </c>
      <c r="N690" s="5" t="s">
        <v>31</v>
      </c>
      <c r="O690" s="5" t="s">
        <v>32</v>
      </c>
      <c r="P690" s="2">
        <v>45936</v>
      </c>
      <c r="Q690" s="2">
        <v>45966</v>
      </c>
      <c r="R690" s="1" t="s">
        <v>1542</v>
      </c>
      <c r="V690" s="45">
        <f>IF(OR(ISNUMBER(SEARCH("unable to locate acct",G690)),ISNUMBER(SEARCH("unknown",G690)),ISNUMBER(SEARCH("inactive",G690)),H690=""),0,1)</f>
        <v>1</v>
      </c>
    </row>
    <row r="691" spans="1:22" hidden="1">
      <c r="A691" s="2">
        <v>45905</v>
      </c>
      <c r="B691" s="1" t="s">
        <v>1758</v>
      </c>
      <c r="C691" s="1" t="s">
        <v>671</v>
      </c>
      <c r="D691" s="1" t="s">
        <v>57</v>
      </c>
      <c r="E691" s="1">
        <v>85020</v>
      </c>
      <c r="F691" s="1" t="s">
        <v>25</v>
      </c>
      <c r="G691" s="1" t="s">
        <v>1535</v>
      </c>
      <c r="H691" s="4" t="s">
        <v>4974</v>
      </c>
      <c r="I691" s="5" t="s">
        <v>30</v>
      </c>
      <c r="J691" s="5" t="s">
        <v>31</v>
      </c>
      <c r="K691" s="5" t="s">
        <v>31</v>
      </c>
      <c r="L691" s="7" t="s">
        <v>1759</v>
      </c>
      <c r="M691" s="5" t="s">
        <v>31</v>
      </c>
      <c r="N691" s="5" t="s">
        <v>31</v>
      </c>
      <c r="O691" s="5" t="s">
        <v>32</v>
      </c>
      <c r="P691" s="2">
        <v>45936</v>
      </c>
      <c r="Q691" s="2">
        <v>45966</v>
      </c>
      <c r="R691" s="1" t="s">
        <v>1760</v>
      </c>
      <c r="V691" s="45">
        <f>IF(OR(ISNUMBER(SEARCH("unable to locate acct",G691)),ISNUMBER(SEARCH("unknown",G691)),ISNUMBER(SEARCH("inactive",G691)),H691=""),0,1)</f>
        <v>1</v>
      </c>
    </row>
    <row r="692" spans="1:22" hidden="1">
      <c r="A692" s="2">
        <v>45905</v>
      </c>
      <c r="B692" s="1" t="s">
        <v>1761</v>
      </c>
      <c r="C692" s="1" t="s">
        <v>1762</v>
      </c>
      <c r="D692" s="1" t="s">
        <v>119</v>
      </c>
      <c r="E692" s="1">
        <v>85254</v>
      </c>
      <c r="F692" s="1" t="s">
        <v>304</v>
      </c>
      <c r="G692" s="1" t="s">
        <v>1535</v>
      </c>
      <c r="H692" s="4" t="s">
        <v>21</v>
      </c>
      <c r="V692" s="45">
        <f>IF(OR(ISNUMBER(SEARCH("unable to locate acct",G692)),ISNUMBER(SEARCH("unknown",G692)),ISNUMBER(SEARCH("inactive",G692)),H692=""),0,1)</f>
        <v>1</v>
      </c>
    </row>
    <row r="693" spans="1:22" hidden="1">
      <c r="A693" s="2">
        <v>45905</v>
      </c>
      <c r="B693" s="1" t="s">
        <v>1763</v>
      </c>
      <c r="C693" s="1" t="s">
        <v>804</v>
      </c>
      <c r="D693" s="1" t="s">
        <v>119</v>
      </c>
      <c r="E693" s="1">
        <v>85258</v>
      </c>
      <c r="F693" s="1" t="s">
        <v>25</v>
      </c>
      <c r="G693" s="1" t="s">
        <v>1535</v>
      </c>
      <c r="H693" s="21" t="s">
        <v>5649</v>
      </c>
      <c r="I693" s="5" t="s">
        <v>532</v>
      </c>
      <c r="J693" s="5" t="s">
        <v>31</v>
      </c>
      <c r="K693" s="5" t="s">
        <v>31</v>
      </c>
      <c r="L693" s="5" t="s">
        <v>381</v>
      </c>
      <c r="M693" s="5" t="s">
        <v>31</v>
      </c>
      <c r="N693" s="5" t="s">
        <v>31</v>
      </c>
      <c r="O693" s="5" t="s">
        <v>32</v>
      </c>
      <c r="P693" s="5" t="s">
        <v>33</v>
      </c>
      <c r="Q693" s="2">
        <v>45966</v>
      </c>
      <c r="V693" s="45">
        <f>IF(OR(ISNUMBER(SEARCH("unable to locate acct",G693)),ISNUMBER(SEARCH("unknown",G693)),ISNUMBER(SEARCH("inactive",G693)),H693=""),0,1)</f>
        <v>1</v>
      </c>
    </row>
    <row r="694" spans="1:22" hidden="1">
      <c r="A694" s="2">
        <v>45905</v>
      </c>
      <c r="B694" s="1" t="s">
        <v>351</v>
      </c>
      <c r="C694" s="1" t="s">
        <v>111</v>
      </c>
      <c r="D694" s="1" t="s">
        <v>168</v>
      </c>
      <c r="E694" s="1">
        <v>85326</v>
      </c>
      <c r="F694" s="1" t="s">
        <v>304</v>
      </c>
      <c r="G694" s="1" t="s">
        <v>1535</v>
      </c>
      <c r="H694" s="4" t="s">
        <v>203</v>
      </c>
      <c r="V694" s="45">
        <f>IF(OR(ISNUMBER(SEARCH("unable to locate acct",G694)),ISNUMBER(SEARCH("unknown",G694)),ISNUMBER(SEARCH("inactive",G694)),H694=""),0,1)</f>
        <v>1</v>
      </c>
    </row>
    <row r="695" spans="1:22" hidden="1">
      <c r="A695" s="2">
        <v>45905</v>
      </c>
      <c r="B695" s="1" t="s">
        <v>1764</v>
      </c>
      <c r="C695" s="1" t="s">
        <v>322</v>
      </c>
      <c r="D695" s="1" t="s">
        <v>106</v>
      </c>
      <c r="E695" s="1">
        <v>85388</v>
      </c>
      <c r="F695" s="1" t="s">
        <v>304</v>
      </c>
      <c r="G695" s="1" t="s">
        <v>1535</v>
      </c>
      <c r="H695" s="4" t="s">
        <v>5203</v>
      </c>
      <c r="I695" s="5" t="s">
        <v>30</v>
      </c>
      <c r="J695" s="5" t="s">
        <v>31</v>
      </c>
      <c r="K695" s="5" t="s">
        <v>31</v>
      </c>
      <c r="L695" s="5" t="s">
        <v>32</v>
      </c>
      <c r="M695" s="5" t="s">
        <v>31</v>
      </c>
      <c r="N695" s="5" t="s">
        <v>31</v>
      </c>
      <c r="O695" s="5" t="s">
        <v>32</v>
      </c>
      <c r="P695" s="5" t="s">
        <v>33</v>
      </c>
      <c r="Q695" s="2">
        <v>45966</v>
      </c>
      <c r="V695" s="45">
        <f>IF(OR(ISNUMBER(SEARCH("unable to locate acct",G695)),ISNUMBER(SEARCH("unknown",G695)),ISNUMBER(SEARCH("inactive",G695)),H695=""),0,1)</f>
        <v>1</v>
      </c>
    </row>
    <row r="696" spans="1:22" hidden="1">
      <c r="A696" s="2">
        <v>45905</v>
      </c>
      <c r="B696" s="1" t="s">
        <v>1765</v>
      </c>
      <c r="C696" s="1" t="s">
        <v>1766</v>
      </c>
      <c r="D696" s="1" t="s">
        <v>57</v>
      </c>
      <c r="E696" s="1">
        <v>85014</v>
      </c>
      <c r="F696" s="1" t="s">
        <v>25</v>
      </c>
      <c r="G696" s="1" t="s">
        <v>1535</v>
      </c>
      <c r="H696" s="4" t="s">
        <v>4983</v>
      </c>
      <c r="I696" s="5" t="s">
        <v>30</v>
      </c>
      <c r="J696" s="5" t="s">
        <v>31</v>
      </c>
      <c r="K696" s="5" t="s">
        <v>31</v>
      </c>
      <c r="L696" s="7" t="s">
        <v>1767</v>
      </c>
      <c r="M696" s="5" t="s">
        <v>31</v>
      </c>
      <c r="N696" s="5" t="s">
        <v>31</v>
      </c>
      <c r="O696" s="5" t="s">
        <v>32</v>
      </c>
      <c r="P696" s="2">
        <v>45936</v>
      </c>
      <c r="Q696" s="2">
        <v>45966</v>
      </c>
      <c r="R696" s="1" t="s">
        <v>1749</v>
      </c>
      <c r="V696" s="45">
        <f>IF(OR(ISNUMBER(SEARCH("unable to locate acct",G696)),ISNUMBER(SEARCH("unknown",G696)),ISNUMBER(SEARCH("inactive",G696)),H696=""),0,1)</f>
        <v>1</v>
      </c>
    </row>
    <row r="697" spans="1:22" hidden="1">
      <c r="A697" s="2">
        <v>45905</v>
      </c>
      <c r="B697" s="1" t="s">
        <v>1768</v>
      </c>
      <c r="C697" s="1" t="s">
        <v>1769</v>
      </c>
      <c r="D697" s="1" t="s">
        <v>1770</v>
      </c>
      <c r="E697" s="1">
        <v>86333</v>
      </c>
      <c r="F697" s="1" t="s">
        <v>25</v>
      </c>
      <c r="G697" s="1" t="s">
        <v>1535</v>
      </c>
      <c r="H697" s="4" t="s">
        <v>5204</v>
      </c>
      <c r="I697" s="5" t="s">
        <v>30</v>
      </c>
      <c r="J697" s="5" t="s">
        <v>31</v>
      </c>
      <c r="K697" s="5" t="s">
        <v>31</v>
      </c>
      <c r="L697" s="5" t="s">
        <v>32</v>
      </c>
      <c r="M697" s="5" t="s">
        <v>31</v>
      </c>
      <c r="N697" s="5" t="s">
        <v>31</v>
      </c>
      <c r="O697" s="5" t="s">
        <v>32</v>
      </c>
      <c r="P697" s="5" t="s">
        <v>33</v>
      </c>
      <c r="Q697" s="2">
        <v>45966</v>
      </c>
      <c r="U697" s="1" t="s">
        <v>715</v>
      </c>
      <c r="V697" s="45">
        <f>IF(OR(ISNUMBER(SEARCH("unable to locate acct",G697)),ISNUMBER(SEARCH("unknown",G697)),ISNUMBER(SEARCH("inactive",G697)),H697=""),0,1)</f>
        <v>1</v>
      </c>
    </row>
    <row r="698" spans="1:22" hidden="1">
      <c r="A698" s="2">
        <v>45905</v>
      </c>
      <c r="B698" s="1" t="s">
        <v>1771</v>
      </c>
      <c r="C698" s="1" t="s">
        <v>111</v>
      </c>
      <c r="D698" s="1" t="s">
        <v>530</v>
      </c>
      <c r="E698" s="1">
        <v>85122</v>
      </c>
      <c r="F698" s="1" t="s">
        <v>1772</v>
      </c>
      <c r="G698" s="1" t="s">
        <v>1535</v>
      </c>
      <c r="H698" s="4" t="s">
        <v>4984</v>
      </c>
      <c r="I698" s="5" t="s">
        <v>190</v>
      </c>
      <c r="J698" s="5" t="s">
        <v>32</v>
      </c>
      <c r="K698" s="5" t="s">
        <v>31</v>
      </c>
      <c r="L698" s="5" t="s">
        <v>1773</v>
      </c>
      <c r="M698" s="5" t="s">
        <v>31</v>
      </c>
      <c r="N698" s="5" t="s">
        <v>31</v>
      </c>
      <c r="O698" s="5" t="s">
        <v>32</v>
      </c>
      <c r="P698" s="5" t="s">
        <v>33</v>
      </c>
      <c r="Q698" s="2">
        <v>45966</v>
      </c>
      <c r="V698" s="45">
        <f>IF(OR(ISNUMBER(SEARCH("unable to locate acct",G698)),ISNUMBER(SEARCH("unknown",G698)),ISNUMBER(SEARCH("inactive",G698)),H698=""),0,1)</f>
        <v>1</v>
      </c>
    </row>
    <row r="699" spans="1:22" hidden="1">
      <c r="A699" s="2">
        <v>45905</v>
      </c>
      <c r="B699" s="1" t="s">
        <v>1673</v>
      </c>
      <c r="C699" s="1" t="s">
        <v>1774</v>
      </c>
      <c r="D699" s="1" t="s">
        <v>57</v>
      </c>
      <c r="E699" s="1">
        <v>85012</v>
      </c>
      <c r="F699" s="1" t="s">
        <v>304</v>
      </c>
      <c r="G699" s="1" t="s">
        <v>1535</v>
      </c>
      <c r="H699" s="4" t="s">
        <v>710</v>
      </c>
      <c r="I699" s="5" t="s">
        <v>67</v>
      </c>
      <c r="J699" s="5" t="s">
        <v>31</v>
      </c>
      <c r="L699" s="5" t="s">
        <v>32</v>
      </c>
      <c r="O699" s="5" t="s">
        <v>32</v>
      </c>
      <c r="P699" s="5" t="s">
        <v>33</v>
      </c>
      <c r="V699" s="45">
        <f>IF(OR(ISNUMBER(SEARCH("unable to locate acct",G699)),ISNUMBER(SEARCH("unknown",G699)),ISNUMBER(SEARCH("inactive",G699)),H699=""),0,1)</f>
        <v>1</v>
      </c>
    </row>
    <row r="700" spans="1:22" hidden="1">
      <c r="A700" s="2">
        <v>45905</v>
      </c>
      <c r="B700" s="1" t="s">
        <v>1775</v>
      </c>
      <c r="C700" s="1" t="s">
        <v>1776</v>
      </c>
      <c r="D700" s="1" t="s">
        <v>57</v>
      </c>
      <c r="E700" s="1">
        <v>85032</v>
      </c>
      <c r="F700" s="1" t="s">
        <v>304</v>
      </c>
      <c r="G700" s="1" t="s">
        <v>1535</v>
      </c>
      <c r="H700" s="4" t="s">
        <v>5205</v>
      </c>
      <c r="I700" s="5" t="s">
        <v>532</v>
      </c>
      <c r="J700" s="5" t="s">
        <v>31</v>
      </c>
      <c r="K700" s="5" t="s">
        <v>31</v>
      </c>
      <c r="L700" s="5" t="s">
        <v>381</v>
      </c>
      <c r="M700" s="5" t="s">
        <v>31</v>
      </c>
      <c r="N700" s="5" t="s">
        <v>31</v>
      </c>
      <c r="O700" s="5" t="s">
        <v>32</v>
      </c>
      <c r="P700" s="5" t="s">
        <v>33</v>
      </c>
      <c r="Q700" s="2">
        <v>45966</v>
      </c>
      <c r="V700" s="45">
        <f>IF(OR(ISNUMBER(SEARCH("unable to locate acct",G700)),ISNUMBER(SEARCH("unknown",G700)),ISNUMBER(SEARCH("inactive",G700)),H700=""),0,1)</f>
        <v>1</v>
      </c>
    </row>
    <row r="701" spans="1:22" hidden="1">
      <c r="A701" s="2">
        <v>45905</v>
      </c>
      <c r="B701" s="1" t="s">
        <v>1777</v>
      </c>
      <c r="C701" s="1" t="s">
        <v>746</v>
      </c>
      <c r="D701" s="1" t="s">
        <v>610</v>
      </c>
      <c r="E701" s="1">
        <v>85365</v>
      </c>
      <c r="F701" s="1" t="s">
        <v>304</v>
      </c>
      <c r="G701" s="1" t="s">
        <v>1535</v>
      </c>
      <c r="H701" s="4" t="s">
        <v>21</v>
      </c>
      <c r="V701" s="45">
        <f>IF(OR(ISNUMBER(SEARCH("unable to locate acct",G701)),ISNUMBER(SEARCH("unknown",G701)),ISNUMBER(SEARCH("inactive",G701)),H701=""),0,1)</f>
        <v>1</v>
      </c>
    </row>
    <row r="702" spans="1:22" hidden="1">
      <c r="A702" s="2">
        <v>45905</v>
      </c>
      <c r="B702" s="1" t="s">
        <v>1778</v>
      </c>
      <c r="C702" s="1" t="s">
        <v>1779</v>
      </c>
      <c r="D702" s="1" t="s">
        <v>530</v>
      </c>
      <c r="E702" s="1">
        <v>85122</v>
      </c>
      <c r="F702" s="1" t="s">
        <v>25</v>
      </c>
      <c r="G702" s="1" t="s">
        <v>1535</v>
      </c>
      <c r="H702" s="4" t="s">
        <v>21</v>
      </c>
      <c r="V702" s="45">
        <f>IF(OR(ISNUMBER(SEARCH("unable to locate acct",G702)),ISNUMBER(SEARCH("unknown",G702)),ISNUMBER(SEARCH("inactive",G702)),H702=""),0,1)</f>
        <v>1</v>
      </c>
    </row>
    <row r="703" spans="1:22" hidden="1">
      <c r="A703" s="2">
        <v>45905</v>
      </c>
      <c r="B703" s="1" t="s">
        <v>1780</v>
      </c>
      <c r="C703" s="1" t="s">
        <v>1781</v>
      </c>
      <c r="D703" s="1" t="s">
        <v>57</v>
      </c>
      <c r="E703" s="1">
        <v>85007</v>
      </c>
      <c r="F703" s="1" t="s">
        <v>1782</v>
      </c>
      <c r="G703" s="1" t="s">
        <v>1535</v>
      </c>
      <c r="H703" s="21" t="s">
        <v>5650</v>
      </c>
      <c r="I703" s="5" t="s">
        <v>190</v>
      </c>
      <c r="J703" s="5" t="s">
        <v>31</v>
      </c>
      <c r="K703" s="5" t="s">
        <v>31</v>
      </c>
      <c r="L703" s="7" t="s">
        <v>1783</v>
      </c>
      <c r="M703" s="5" t="s">
        <v>31</v>
      </c>
      <c r="N703" s="5" t="s">
        <v>31</v>
      </c>
      <c r="O703" s="5" t="s">
        <v>32</v>
      </c>
      <c r="P703" s="2">
        <v>45936</v>
      </c>
      <c r="Q703" s="2">
        <v>45966</v>
      </c>
      <c r="R703" s="1" t="s">
        <v>1784</v>
      </c>
      <c r="V703" s="45">
        <f>IF(OR(ISNUMBER(SEARCH("unable to locate acct",G703)),ISNUMBER(SEARCH("unknown",G703)),ISNUMBER(SEARCH("inactive",G703)),H703=""),0,1)</f>
        <v>1</v>
      </c>
    </row>
    <row r="704" spans="1:22" hidden="1">
      <c r="A704" s="2">
        <v>45905</v>
      </c>
      <c r="B704" s="1" t="s">
        <v>1756</v>
      </c>
      <c r="C704" s="1" t="s">
        <v>1785</v>
      </c>
      <c r="D704" s="1" t="s">
        <v>106</v>
      </c>
      <c r="E704" s="1">
        <v>85374</v>
      </c>
      <c r="F704" s="1" t="s">
        <v>304</v>
      </c>
      <c r="G704" s="1" t="s">
        <v>1535</v>
      </c>
      <c r="H704" s="4" t="s">
        <v>21</v>
      </c>
      <c r="V704" s="45">
        <f>IF(OR(ISNUMBER(SEARCH("unable to locate acct",G704)),ISNUMBER(SEARCH("unknown",G704)),ISNUMBER(SEARCH("inactive",G704)),H704=""),0,1)</f>
        <v>1</v>
      </c>
    </row>
    <row r="705" spans="1:22" hidden="1">
      <c r="A705" s="2">
        <v>45905</v>
      </c>
      <c r="B705" s="1" t="s">
        <v>1786</v>
      </c>
      <c r="C705" s="1" t="s">
        <v>588</v>
      </c>
      <c r="D705" s="1" t="s">
        <v>163</v>
      </c>
      <c r="E705" s="1">
        <v>85395</v>
      </c>
      <c r="F705" s="1" t="s">
        <v>1787</v>
      </c>
      <c r="G705" s="1" t="s">
        <v>1535</v>
      </c>
      <c r="H705" s="21" t="s">
        <v>5651</v>
      </c>
      <c r="I705" s="5" t="s">
        <v>30</v>
      </c>
      <c r="J705" s="5" t="s">
        <v>31</v>
      </c>
      <c r="K705" s="5" t="s">
        <v>31</v>
      </c>
      <c r="L705" s="5" t="s">
        <v>32</v>
      </c>
      <c r="M705" s="5" t="s">
        <v>31</v>
      </c>
      <c r="N705" s="5" t="s">
        <v>31</v>
      </c>
      <c r="O705" s="5" t="s">
        <v>32</v>
      </c>
      <c r="P705" s="5" t="s">
        <v>33</v>
      </c>
      <c r="Q705" s="2">
        <v>45966</v>
      </c>
      <c r="V705" s="45">
        <f>IF(OR(ISNUMBER(SEARCH("unable to locate acct",G705)),ISNUMBER(SEARCH("unknown",G705)),ISNUMBER(SEARCH("inactive",G705)),H705=""),0,1)</f>
        <v>1</v>
      </c>
    </row>
    <row r="706" spans="1:22" hidden="1">
      <c r="A706" s="2">
        <v>45905</v>
      </c>
      <c r="B706" s="1" t="s">
        <v>1788</v>
      </c>
      <c r="C706" s="1" t="s">
        <v>1789</v>
      </c>
      <c r="D706" s="1" t="s">
        <v>196</v>
      </c>
      <c r="E706" s="1">
        <v>85383</v>
      </c>
      <c r="F706" s="1" t="s">
        <v>304</v>
      </c>
      <c r="G706" s="1" t="s">
        <v>1535</v>
      </c>
      <c r="H706" s="4" t="s">
        <v>5206</v>
      </c>
      <c r="I706" s="5" t="s">
        <v>237</v>
      </c>
      <c r="J706" s="5" t="s">
        <v>31</v>
      </c>
      <c r="K706" s="5" t="s">
        <v>31</v>
      </c>
      <c r="L706" s="5" t="s">
        <v>381</v>
      </c>
      <c r="M706" s="5" t="s">
        <v>31</v>
      </c>
      <c r="N706" s="5" t="s">
        <v>31</v>
      </c>
      <c r="O706" s="5" t="s">
        <v>32</v>
      </c>
      <c r="P706" s="5" t="s">
        <v>33</v>
      </c>
      <c r="Q706" s="2">
        <v>45966</v>
      </c>
      <c r="V706" s="45">
        <f>IF(OR(ISNUMBER(SEARCH("unable to locate acct",G706)),ISNUMBER(SEARCH("unknown",G706)),ISNUMBER(SEARCH("inactive",G706)),H706=""),0,1)</f>
        <v>1</v>
      </c>
    </row>
    <row r="707" spans="1:22" hidden="1">
      <c r="A707" s="2">
        <v>45905</v>
      </c>
      <c r="B707" s="1" t="s">
        <v>1790</v>
      </c>
      <c r="C707" s="1" t="s">
        <v>1791</v>
      </c>
      <c r="D707" s="1" t="s">
        <v>57</v>
      </c>
      <c r="E707" s="1">
        <v>85012</v>
      </c>
      <c r="F707" s="1" t="s">
        <v>1792</v>
      </c>
      <c r="G707" s="1" t="s">
        <v>1535</v>
      </c>
      <c r="H707" s="4" t="s">
        <v>5207</v>
      </c>
      <c r="I707" s="5" t="s">
        <v>67</v>
      </c>
      <c r="J707" s="5" t="s">
        <v>31</v>
      </c>
      <c r="K707" s="5" t="s">
        <v>31</v>
      </c>
      <c r="L707" s="5" t="s">
        <v>32</v>
      </c>
      <c r="M707" s="5" t="s">
        <v>31</v>
      </c>
      <c r="N707" s="5" t="s">
        <v>31</v>
      </c>
      <c r="O707" s="5" t="s">
        <v>32</v>
      </c>
      <c r="P707" s="5" t="s">
        <v>33</v>
      </c>
      <c r="Q707" s="2">
        <v>45966</v>
      </c>
      <c r="V707" s="45">
        <f>IF(OR(ISNUMBER(SEARCH("unable to locate acct",G707)),ISNUMBER(SEARCH("unknown",G707)),ISNUMBER(SEARCH("inactive",G707)),H707=""),0,1)</f>
        <v>1</v>
      </c>
    </row>
    <row r="708" spans="1:22" hidden="1">
      <c r="A708" s="2">
        <v>45905</v>
      </c>
      <c r="B708" s="1" t="s">
        <v>1793</v>
      </c>
      <c r="C708" s="1" t="s">
        <v>814</v>
      </c>
      <c r="D708" s="1" t="s">
        <v>119</v>
      </c>
      <c r="E708" s="1">
        <v>85259</v>
      </c>
      <c r="F708" s="1" t="s">
        <v>25</v>
      </c>
      <c r="G708" s="1" t="s">
        <v>1535</v>
      </c>
      <c r="H708" s="4" t="s">
        <v>5208</v>
      </c>
      <c r="I708" s="5" t="s">
        <v>30</v>
      </c>
      <c r="J708" s="5" t="s">
        <v>31</v>
      </c>
      <c r="K708" s="5" t="s">
        <v>31</v>
      </c>
      <c r="L708" s="5" t="s">
        <v>32</v>
      </c>
      <c r="M708" s="5" t="s">
        <v>31</v>
      </c>
      <c r="N708" s="5" t="s">
        <v>31</v>
      </c>
      <c r="O708" s="5" t="s">
        <v>32</v>
      </c>
      <c r="P708" s="5" t="s">
        <v>33</v>
      </c>
      <c r="Q708" s="2">
        <v>45966</v>
      </c>
      <c r="R708" s="1" t="s">
        <v>1794</v>
      </c>
      <c r="V708" s="45">
        <f>IF(OR(ISNUMBER(SEARCH("unable to locate acct",G708)),ISNUMBER(SEARCH("unknown",G708)),ISNUMBER(SEARCH("inactive",G708)),H708=""),0,1)</f>
        <v>1</v>
      </c>
    </row>
    <row r="709" spans="1:22" hidden="1">
      <c r="A709" s="2">
        <v>45905</v>
      </c>
      <c r="B709" s="1" t="s">
        <v>1033</v>
      </c>
      <c r="C709" s="1" t="s">
        <v>1795</v>
      </c>
      <c r="D709" s="1" t="s">
        <v>57</v>
      </c>
      <c r="E709" s="1">
        <v>85028</v>
      </c>
      <c r="F709" s="1" t="s">
        <v>25</v>
      </c>
      <c r="G709" s="1" t="s">
        <v>1535</v>
      </c>
      <c r="H709" s="4" t="s">
        <v>4985</v>
      </c>
      <c r="I709" s="5" t="s">
        <v>51</v>
      </c>
      <c r="J709" s="5" t="s">
        <v>31</v>
      </c>
      <c r="K709" s="5" t="s">
        <v>31</v>
      </c>
      <c r="L709" s="7" t="s">
        <v>1796</v>
      </c>
      <c r="M709" s="5" t="s">
        <v>31</v>
      </c>
      <c r="N709" s="5" t="s">
        <v>31</v>
      </c>
      <c r="O709" s="5" t="s">
        <v>32</v>
      </c>
      <c r="P709" s="2">
        <v>45936</v>
      </c>
      <c r="Q709" s="2">
        <v>45966</v>
      </c>
      <c r="R709" s="1" t="s">
        <v>1749</v>
      </c>
      <c r="V709" s="45">
        <f>IF(OR(ISNUMBER(SEARCH("unable to locate acct",G709)),ISNUMBER(SEARCH("unknown",G709)),ISNUMBER(SEARCH("inactive",G709)),H709=""),0,1)</f>
        <v>1</v>
      </c>
    </row>
    <row r="710" spans="1:22" hidden="1">
      <c r="A710" s="2">
        <v>45905</v>
      </c>
      <c r="B710" s="1" t="s">
        <v>1797</v>
      </c>
      <c r="C710" s="1" t="s">
        <v>219</v>
      </c>
      <c r="D710" s="1" t="s">
        <v>18</v>
      </c>
      <c r="E710" s="1">
        <v>85308</v>
      </c>
      <c r="F710" s="1" t="s">
        <v>1798</v>
      </c>
      <c r="G710" s="1" t="s">
        <v>1535</v>
      </c>
      <c r="H710" s="4" t="s">
        <v>203</v>
      </c>
      <c r="V710" s="45">
        <f>IF(OR(ISNUMBER(SEARCH("unable to locate acct",G710)),ISNUMBER(SEARCH("unknown",G710)),ISNUMBER(SEARCH("inactive",G710)),H710=""),0,1)</f>
        <v>1</v>
      </c>
    </row>
    <row r="711" spans="1:22" hidden="1">
      <c r="A711" s="2">
        <v>45905</v>
      </c>
      <c r="B711" s="1" t="s">
        <v>1799</v>
      </c>
      <c r="C711" s="1" t="s">
        <v>1800</v>
      </c>
      <c r="D711" s="1" t="s">
        <v>57</v>
      </c>
      <c r="E711" s="1">
        <v>85027</v>
      </c>
      <c r="F711" s="1" t="s">
        <v>304</v>
      </c>
      <c r="G711" s="1" t="s">
        <v>1535</v>
      </c>
      <c r="H711" s="4" t="s">
        <v>5209</v>
      </c>
      <c r="I711" s="5" t="s">
        <v>120</v>
      </c>
      <c r="J711" s="5" t="s">
        <v>31</v>
      </c>
      <c r="K711" s="5" t="s">
        <v>31</v>
      </c>
      <c r="L711" s="5" t="s">
        <v>32</v>
      </c>
      <c r="M711" s="5" t="s">
        <v>31</v>
      </c>
      <c r="N711" s="5" t="s">
        <v>31</v>
      </c>
      <c r="O711" s="5" t="s">
        <v>32</v>
      </c>
      <c r="P711" s="5" t="s">
        <v>33</v>
      </c>
      <c r="Q711" s="2">
        <v>45966</v>
      </c>
      <c r="V711" s="45">
        <f>IF(OR(ISNUMBER(SEARCH("unable to locate acct",G711)),ISNUMBER(SEARCH("unknown",G711)),ISNUMBER(SEARCH("inactive",G711)),H711=""),0,1)</f>
        <v>1</v>
      </c>
    </row>
    <row r="712" spans="1:22" hidden="1">
      <c r="A712" s="2">
        <v>45905</v>
      </c>
      <c r="B712" s="1" t="s">
        <v>310</v>
      </c>
      <c r="C712" s="1" t="s">
        <v>311</v>
      </c>
      <c r="D712" s="1" t="s">
        <v>168</v>
      </c>
      <c r="E712" s="1">
        <v>85326</v>
      </c>
      <c r="F712" s="1" t="s">
        <v>1702</v>
      </c>
      <c r="G712" s="1" t="s">
        <v>1535</v>
      </c>
      <c r="H712" s="4" t="s">
        <v>5118</v>
      </c>
      <c r="I712" s="5" t="s">
        <v>30</v>
      </c>
      <c r="J712" s="5" t="s">
        <v>31</v>
      </c>
      <c r="K712" s="5" t="s">
        <v>31</v>
      </c>
      <c r="L712" s="5" t="s">
        <v>32</v>
      </c>
      <c r="M712" s="5" t="s">
        <v>31</v>
      </c>
      <c r="N712" s="5" t="s">
        <v>31</v>
      </c>
      <c r="O712" s="5" t="s">
        <v>32</v>
      </c>
      <c r="P712" s="5" t="s">
        <v>33</v>
      </c>
      <c r="Q712" s="2">
        <v>45966</v>
      </c>
      <c r="V712" s="45">
        <f>IF(OR(ISNUMBER(SEARCH("unable to locate acct",G712)),ISNUMBER(SEARCH("unknown",G712)),ISNUMBER(SEARCH("inactive",G712)),H712=""),0,1)</f>
        <v>1</v>
      </c>
    </row>
    <row r="713" spans="1:22" hidden="1">
      <c r="A713" s="2">
        <v>45905</v>
      </c>
      <c r="B713" s="1" t="s">
        <v>1801</v>
      </c>
      <c r="C713" s="1" t="s">
        <v>541</v>
      </c>
      <c r="D713" s="1" t="s">
        <v>57</v>
      </c>
      <c r="E713" s="1">
        <v>85029</v>
      </c>
      <c r="F713" s="1" t="s">
        <v>304</v>
      </c>
      <c r="G713" s="1" t="s">
        <v>1535</v>
      </c>
      <c r="H713" s="4" t="s">
        <v>5210</v>
      </c>
      <c r="I713" s="5" t="s">
        <v>190</v>
      </c>
      <c r="J713" s="5" t="s">
        <v>31</v>
      </c>
      <c r="K713" s="5" t="s">
        <v>31</v>
      </c>
      <c r="L713" s="5" t="s">
        <v>32</v>
      </c>
      <c r="M713" s="5" t="s">
        <v>31</v>
      </c>
      <c r="N713" s="5" t="s">
        <v>31</v>
      </c>
      <c r="O713" s="5" t="s">
        <v>32</v>
      </c>
      <c r="P713" s="5" t="s">
        <v>33</v>
      </c>
      <c r="Q713" s="2">
        <v>45966</v>
      </c>
      <c r="R713" s="1" t="s">
        <v>1802</v>
      </c>
      <c r="V713" s="45">
        <f>IF(OR(ISNUMBER(SEARCH("unable to locate acct",G713)),ISNUMBER(SEARCH("unknown",G713)),ISNUMBER(SEARCH("inactive",G713)),H713=""),0,1)</f>
        <v>1</v>
      </c>
    </row>
    <row r="714" spans="1:22" hidden="1">
      <c r="A714" s="2">
        <v>45905</v>
      </c>
      <c r="B714" s="1" t="s">
        <v>1803</v>
      </c>
      <c r="C714" s="1" t="s">
        <v>1804</v>
      </c>
      <c r="D714" s="1" t="s">
        <v>119</v>
      </c>
      <c r="E714" s="1">
        <v>85251</v>
      </c>
      <c r="F714" s="1" t="s">
        <v>1805</v>
      </c>
      <c r="G714" s="1" t="s">
        <v>1535</v>
      </c>
      <c r="H714" s="4" t="s">
        <v>4986</v>
      </c>
      <c r="I714" s="5" t="s">
        <v>120</v>
      </c>
      <c r="J714" s="5" t="s">
        <v>31</v>
      </c>
      <c r="K714" s="5" t="s">
        <v>31</v>
      </c>
      <c r="L714" s="7" t="s">
        <v>1806</v>
      </c>
      <c r="M714" s="5" t="s">
        <v>31</v>
      </c>
      <c r="N714" s="5" t="s">
        <v>31</v>
      </c>
      <c r="O714" s="5" t="s">
        <v>32</v>
      </c>
      <c r="P714" s="5" t="s">
        <v>33</v>
      </c>
      <c r="Q714" s="2">
        <v>45966</v>
      </c>
      <c r="V714" s="45">
        <f>IF(OR(ISNUMBER(SEARCH("unable to locate acct",G714)),ISNUMBER(SEARCH("unknown",G714)),ISNUMBER(SEARCH("inactive",G714)),H714=""),0,1)</f>
        <v>1</v>
      </c>
    </row>
    <row r="715" spans="1:22" hidden="1">
      <c r="A715" s="2">
        <v>45905</v>
      </c>
      <c r="B715" s="1" t="s">
        <v>1703</v>
      </c>
      <c r="C715" s="1" t="s">
        <v>1476</v>
      </c>
      <c r="D715" s="1" t="s">
        <v>163</v>
      </c>
      <c r="E715" s="1">
        <v>85395</v>
      </c>
      <c r="F715" s="1" t="s">
        <v>25</v>
      </c>
      <c r="G715" s="1" t="s">
        <v>1535</v>
      </c>
      <c r="H715" s="4" t="s">
        <v>21</v>
      </c>
      <c r="V715" s="45">
        <f>IF(OR(ISNUMBER(SEARCH("unable to locate acct",G715)),ISNUMBER(SEARCH("unknown",G715)),ISNUMBER(SEARCH("inactive",G715)),H715=""),0,1)</f>
        <v>1</v>
      </c>
    </row>
    <row r="716" spans="1:22" hidden="1">
      <c r="A716" s="2">
        <v>45905</v>
      </c>
      <c r="B716" s="1" t="s">
        <v>317</v>
      </c>
      <c r="C716" s="1" t="s">
        <v>696</v>
      </c>
      <c r="D716" s="1" t="s">
        <v>57</v>
      </c>
      <c r="E716" s="1">
        <v>85085</v>
      </c>
      <c r="F716" s="1" t="s">
        <v>1807</v>
      </c>
      <c r="G716" s="1" t="s">
        <v>1535</v>
      </c>
      <c r="H716" s="4" t="s">
        <v>5211</v>
      </c>
      <c r="I716" s="5" t="s">
        <v>30</v>
      </c>
      <c r="J716" s="5" t="s">
        <v>31</v>
      </c>
      <c r="K716" s="5" t="s">
        <v>31</v>
      </c>
      <c r="L716" s="5" t="s">
        <v>32</v>
      </c>
      <c r="M716" s="5" t="s">
        <v>31</v>
      </c>
      <c r="N716" s="5" t="s">
        <v>31</v>
      </c>
      <c r="O716" s="5" t="s">
        <v>32</v>
      </c>
      <c r="P716" s="5" t="s">
        <v>33</v>
      </c>
      <c r="Q716" s="2">
        <v>45966</v>
      </c>
      <c r="V716" s="45">
        <f>IF(OR(ISNUMBER(SEARCH("unable to locate acct",G716)),ISNUMBER(SEARCH("unknown",G716)),ISNUMBER(SEARCH("inactive",G716)),H716=""),0,1)</f>
        <v>1</v>
      </c>
    </row>
    <row r="717" spans="1:22" hidden="1">
      <c r="A717" s="2">
        <v>45905</v>
      </c>
      <c r="B717" s="1" t="s">
        <v>1808</v>
      </c>
      <c r="C717" s="1" t="s">
        <v>1809</v>
      </c>
      <c r="D717" s="1" t="s">
        <v>1810</v>
      </c>
      <c r="E717" s="1">
        <v>85128</v>
      </c>
      <c r="F717" s="1" t="s">
        <v>1811</v>
      </c>
      <c r="G717" s="1" t="s">
        <v>1535</v>
      </c>
      <c r="H717" s="4" t="s">
        <v>5212</v>
      </c>
      <c r="I717" s="5" t="s">
        <v>40</v>
      </c>
      <c r="J717" s="5" t="s">
        <v>31</v>
      </c>
      <c r="K717" s="5" t="s">
        <v>31</v>
      </c>
      <c r="L717" s="5" t="s">
        <v>32</v>
      </c>
      <c r="M717" s="5" t="s">
        <v>31</v>
      </c>
      <c r="N717" s="5" t="s">
        <v>31</v>
      </c>
      <c r="O717" s="5" t="s">
        <v>32</v>
      </c>
      <c r="P717" s="5" t="s">
        <v>33</v>
      </c>
      <c r="Q717" s="2">
        <v>45966</v>
      </c>
      <c r="V717" s="45">
        <f>IF(OR(ISNUMBER(SEARCH("unable to locate acct",G717)),ISNUMBER(SEARCH("unknown",G717)),ISNUMBER(SEARCH("inactive",G717)),H717=""),0,1)</f>
        <v>1</v>
      </c>
    </row>
    <row r="718" spans="1:22" hidden="1">
      <c r="A718" s="2">
        <v>45905</v>
      </c>
      <c r="B718" s="1" t="s">
        <v>1812</v>
      </c>
      <c r="C718" s="1" t="s">
        <v>738</v>
      </c>
      <c r="D718" s="1" t="s">
        <v>1813</v>
      </c>
      <c r="E718" s="1">
        <v>86327</v>
      </c>
      <c r="F718" s="1" t="s">
        <v>25</v>
      </c>
      <c r="G718" s="1" t="s">
        <v>1535</v>
      </c>
      <c r="H718" s="4" t="s">
        <v>5070</v>
      </c>
      <c r="I718" s="5" t="s">
        <v>120</v>
      </c>
      <c r="J718" s="5" t="s">
        <v>31</v>
      </c>
      <c r="K718" s="5" t="s">
        <v>31</v>
      </c>
      <c r="L718" s="5" t="s">
        <v>32</v>
      </c>
      <c r="M718" s="5" t="s">
        <v>31</v>
      </c>
      <c r="N718" s="5" t="s">
        <v>31</v>
      </c>
      <c r="O718" s="5" t="s">
        <v>32</v>
      </c>
      <c r="P718" s="5" t="s">
        <v>33</v>
      </c>
      <c r="Q718" s="2">
        <v>45966</v>
      </c>
      <c r="V718" s="45">
        <f>IF(OR(ISNUMBER(SEARCH("unable to locate acct",G718)),ISNUMBER(SEARCH("unknown",G718)),ISNUMBER(SEARCH("inactive",G718)),H718=""),0,1)</f>
        <v>1</v>
      </c>
    </row>
    <row r="719" spans="1:22" hidden="1">
      <c r="A719" s="2">
        <v>45905</v>
      </c>
      <c r="B719" s="1" t="s">
        <v>1698</v>
      </c>
      <c r="C719" s="1" t="s">
        <v>770</v>
      </c>
      <c r="D719" s="1" t="s">
        <v>106</v>
      </c>
      <c r="E719" s="1">
        <v>85388</v>
      </c>
      <c r="F719" s="1" t="s">
        <v>1814</v>
      </c>
      <c r="G719" s="1" t="s">
        <v>1535</v>
      </c>
      <c r="H719" s="4" t="s">
        <v>4987</v>
      </c>
      <c r="I719" s="5" t="s">
        <v>190</v>
      </c>
      <c r="J719" s="5" t="s">
        <v>31</v>
      </c>
      <c r="K719" s="5" t="s">
        <v>31</v>
      </c>
      <c r="L719" s="7" t="s">
        <v>1815</v>
      </c>
      <c r="M719" s="5" t="s">
        <v>31</v>
      </c>
      <c r="N719" s="5" t="s">
        <v>31</v>
      </c>
      <c r="O719" s="5" t="s">
        <v>32</v>
      </c>
      <c r="P719" s="2">
        <v>45936</v>
      </c>
      <c r="Q719" s="2">
        <v>45966</v>
      </c>
      <c r="R719" s="1" t="s">
        <v>1816</v>
      </c>
      <c r="V719" s="45">
        <f>IF(OR(ISNUMBER(SEARCH("unable to locate acct",G719)),ISNUMBER(SEARCH("unknown",G719)),ISNUMBER(SEARCH("inactive",G719)),H719=""),0,1)</f>
        <v>1</v>
      </c>
    </row>
    <row r="720" spans="1:22" hidden="1">
      <c r="A720" s="2">
        <v>45905</v>
      </c>
      <c r="B720" s="1" t="s">
        <v>1817</v>
      </c>
      <c r="C720" s="1" t="s">
        <v>1818</v>
      </c>
      <c r="D720" s="1" t="s">
        <v>106</v>
      </c>
      <c r="E720" s="1">
        <v>85387</v>
      </c>
      <c r="F720" s="1" t="s">
        <v>1819</v>
      </c>
      <c r="G720" s="1" t="s">
        <v>1535</v>
      </c>
      <c r="H720" s="4" t="s">
        <v>21</v>
      </c>
      <c r="V720" s="45">
        <f>IF(OR(ISNUMBER(SEARCH("unable to locate acct",G720)),ISNUMBER(SEARCH("unknown",G720)),ISNUMBER(SEARCH("inactive",G720)),H720=""),0,1)</f>
        <v>1</v>
      </c>
    </row>
    <row r="721" spans="1:22" hidden="1">
      <c r="A721" s="2">
        <v>45905</v>
      </c>
      <c r="B721" s="1" t="s">
        <v>1820</v>
      </c>
      <c r="C721" s="1" t="s">
        <v>1747</v>
      </c>
      <c r="D721" s="1" t="s">
        <v>530</v>
      </c>
      <c r="E721" s="1">
        <v>85122</v>
      </c>
      <c r="F721" s="1" t="s">
        <v>25</v>
      </c>
      <c r="G721" s="1" t="s">
        <v>1535</v>
      </c>
      <c r="H721" s="4" t="s">
        <v>5213</v>
      </c>
      <c r="I721" s="5" t="s">
        <v>67</v>
      </c>
      <c r="J721" s="5" t="s">
        <v>31</v>
      </c>
      <c r="K721" s="5" t="s">
        <v>31</v>
      </c>
      <c r="L721" s="5" t="s">
        <v>32</v>
      </c>
      <c r="M721" s="5" t="s">
        <v>31</v>
      </c>
      <c r="N721" s="5" t="s">
        <v>31</v>
      </c>
      <c r="O721" s="5" t="s">
        <v>32</v>
      </c>
      <c r="P721" s="5" t="s">
        <v>33</v>
      </c>
      <c r="Q721" s="2">
        <v>45966</v>
      </c>
      <c r="V721" s="45">
        <f>IF(OR(ISNUMBER(SEARCH("unable to locate acct",G721)),ISNUMBER(SEARCH("unknown",G721)),ISNUMBER(SEARCH("inactive",G721)),H721=""),0,1)</f>
        <v>1</v>
      </c>
    </row>
    <row r="722" spans="1:22" hidden="1">
      <c r="A722" s="2">
        <v>45905</v>
      </c>
      <c r="B722" s="1" t="s">
        <v>1821</v>
      </c>
      <c r="C722" s="1" t="s">
        <v>470</v>
      </c>
      <c r="D722" s="1" t="s">
        <v>196</v>
      </c>
      <c r="E722" s="1">
        <v>85383</v>
      </c>
      <c r="F722" s="1" t="s">
        <v>1822</v>
      </c>
      <c r="G722" s="1" t="s">
        <v>1535</v>
      </c>
      <c r="H722" s="4" t="s">
        <v>4988</v>
      </c>
      <c r="I722" s="5" t="s">
        <v>51</v>
      </c>
      <c r="J722" s="5" t="s">
        <v>32</v>
      </c>
      <c r="K722" s="5" t="s">
        <v>31</v>
      </c>
      <c r="L722" s="5" t="s">
        <v>1823</v>
      </c>
      <c r="M722" s="5" t="s">
        <v>31</v>
      </c>
      <c r="N722" s="5" t="s">
        <v>31</v>
      </c>
      <c r="O722" s="5" t="s">
        <v>32</v>
      </c>
      <c r="P722" s="5" t="s">
        <v>33</v>
      </c>
      <c r="Q722" s="2">
        <v>45966</v>
      </c>
      <c r="R722" s="1" t="s">
        <v>1824</v>
      </c>
      <c r="V722" s="45">
        <f>IF(OR(ISNUMBER(SEARCH("unable to locate acct",G722)),ISNUMBER(SEARCH("unknown",G722)),ISNUMBER(SEARCH("inactive",G722)),H722=""),0,1)</f>
        <v>1</v>
      </c>
    </row>
    <row r="723" spans="1:22" hidden="1">
      <c r="A723" s="2">
        <v>45905</v>
      </c>
      <c r="B723" s="1" t="s">
        <v>1219</v>
      </c>
      <c r="C723" s="1" t="s">
        <v>1825</v>
      </c>
      <c r="D723" s="1" t="s">
        <v>18</v>
      </c>
      <c r="E723" s="1">
        <v>85308</v>
      </c>
      <c r="F723" s="1" t="s">
        <v>304</v>
      </c>
      <c r="G723" s="1" t="s">
        <v>1535</v>
      </c>
      <c r="H723" s="4" t="s">
        <v>4989</v>
      </c>
      <c r="I723" s="5" t="s">
        <v>190</v>
      </c>
      <c r="J723" s="5" t="s">
        <v>32</v>
      </c>
      <c r="K723" s="5" t="s">
        <v>31</v>
      </c>
      <c r="L723" s="5" t="s">
        <v>1826</v>
      </c>
      <c r="M723" s="5" t="s">
        <v>31</v>
      </c>
      <c r="N723" s="5" t="s">
        <v>31</v>
      </c>
      <c r="O723" s="5" t="s">
        <v>32</v>
      </c>
      <c r="P723" s="5" t="s">
        <v>33</v>
      </c>
      <c r="Q723" s="2">
        <v>45966</v>
      </c>
      <c r="V723" s="45">
        <f>IF(OR(ISNUMBER(SEARCH("unable to locate acct",G723)),ISNUMBER(SEARCH("unknown",G723)),ISNUMBER(SEARCH("inactive",G723)),H723=""),0,1)</f>
        <v>1</v>
      </c>
    </row>
    <row r="724" spans="1:22" hidden="1">
      <c r="A724" s="2">
        <v>45905</v>
      </c>
      <c r="B724" s="1" t="s">
        <v>43</v>
      </c>
      <c r="C724" s="1" t="s">
        <v>1827</v>
      </c>
      <c r="D724" s="1" t="s">
        <v>530</v>
      </c>
      <c r="E724" s="1">
        <v>85122</v>
      </c>
      <c r="F724" s="1" t="s">
        <v>1828</v>
      </c>
      <c r="G724" s="1" t="s">
        <v>1829</v>
      </c>
      <c r="H724" s="4" t="s">
        <v>5214</v>
      </c>
      <c r="I724" s="5" t="s">
        <v>532</v>
      </c>
      <c r="J724" s="5" t="s">
        <v>31</v>
      </c>
      <c r="K724" s="5" t="s">
        <v>31</v>
      </c>
      <c r="L724" s="5" t="s">
        <v>381</v>
      </c>
      <c r="M724" s="5" t="s">
        <v>31</v>
      </c>
      <c r="N724" s="5" t="s">
        <v>31</v>
      </c>
      <c r="O724" s="5" t="s">
        <v>32</v>
      </c>
      <c r="P724" s="5" t="s">
        <v>33</v>
      </c>
      <c r="Q724" s="2">
        <v>45966</v>
      </c>
      <c r="V724" s="45">
        <f>IF(OR(ISNUMBER(SEARCH("unable to locate acct",G724)),ISNUMBER(SEARCH("unknown",G724)),ISNUMBER(SEARCH("inactive",G724)),H724=""),0,1)</f>
        <v>1</v>
      </c>
    </row>
    <row r="725" spans="1:22" hidden="1">
      <c r="A725" s="2">
        <v>45905</v>
      </c>
      <c r="B725" s="1" t="s">
        <v>1830</v>
      </c>
      <c r="C725" s="1" t="s">
        <v>127</v>
      </c>
      <c r="D725" s="1" t="s">
        <v>119</v>
      </c>
      <c r="E725" s="1">
        <v>85255</v>
      </c>
      <c r="F725" s="1" t="s">
        <v>304</v>
      </c>
      <c r="G725" s="1" t="s">
        <v>1829</v>
      </c>
      <c r="H725" s="4" t="s">
        <v>5215</v>
      </c>
      <c r="I725" s="5" t="s">
        <v>532</v>
      </c>
      <c r="J725" s="5" t="s">
        <v>31</v>
      </c>
      <c r="K725" s="5" t="s">
        <v>31</v>
      </c>
      <c r="L725" s="5" t="s">
        <v>381</v>
      </c>
      <c r="M725" s="5" t="s">
        <v>31</v>
      </c>
      <c r="N725" s="5" t="s">
        <v>31</v>
      </c>
      <c r="O725" s="5" t="s">
        <v>32</v>
      </c>
      <c r="P725" s="5" t="s">
        <v>33</v>
      </c>
      <c r="Q725" s="2">
        <v>45966</v>
      </c>
      <c r="V725" s="45">
        <f>IF(OR(ISNUMBER(SEARCH("unable to locate acct",G725)),ISNUMBER(SEARCH("unknown",G725)),ISNUMBER(SEARCH("inactive",G725)),H725=""),0,1)</f>
        <v>1</v>
      </c>
    </row>
    <row r="726" spans="1:22" hidden="1">
      <c r="A726" s="2">
        <v>45905</v>
      </c>
      <c r="B726" s="1" t="s">
        <v>1831</v>
      </c>
      <c r="C726" s="1" t="s">
        <v>1832</v>
      </c>
      <c r="D726" s="1" t="s">
        <v>234</v>
      </c>
      <c r="E726" s="1">
        <v>85340</v>
      </c>
      <c r="F726" s="1" t="s">
        <v>25</v>
      </c>
      <c r="G726" s="1" t="s">
        <v>1829</v>
      </c>
      <c r="H726" s="4" t="s">
        <v>5216</v>
      </c>
      <c r="I726" s="5" t="s">
        <v>237</v>
      </c>
      <c r="J726" s="5" t="s">
        <v>31</v>
      </c>
      <c r="K726" s="5" t="s">
        <v>31</v>
      </c>
      <c r="L726" s="5" t="s">
        <v>381</v>
      </c>
      <c r="M726" s="5" t="s">
        <v>31</v>
      </c>
      <c r="N726" s="5" t="s">
        <v>31</v>
      </c>
      <c r="O726" s="5" t="s">
        <v>32</v>
      </c>
      <c r="P726" s="5" t="s">
        <v>33</v>
      </c>
      <c r="Q726" s="2">
        <v>45966</v>
      </c>
      <c r="V726" s="45">
        <f>IF(OR(ISNUMBER(SEARCH("unable to locate acct",G726)),ISNUMBER(SEARCH("unknown",G726)),ISNUMBER(SEARCH("inactive",G726)),H726=""),0,1)</f>
        <v>1</v>
      </c>
    </row>
    <row r="727" spans="1:22" hidden="1">
      <c r="A727" s="2">
        <v>45905</v>
      </c>
      <c r="B727" s="1" t="s">
        <v>1645</v>
      </c>
      <c r="C727" s="1" t="s">
        <v>139</v>
      </c>
      <c r="D727" s="1" t="s">
        <v>123</v>
      </c>
      <c r="E727" s="1">
        <v>85296</v>
      </c>
      <c r="F727" s="1" t="s">
        <v>304</v>
      </c>
      <c r="G727" s="1" t="s">
        <v>1829</v>
      </c>
      <c r="H727" s="4" t="s">
        <v>5217</v>
      </c>
      <c r="I727" s="5" t="s">
        <v>120</v>
      </c>
      <c r="J727" s="5" t="s">
        <v>31</v>
      </c>
      <c r="K727" s="5" t="s">
        <v>31</v>
      </c>
      <c r="L727" s="5" t="s">
        <v>32</v>
      </c>
      <c r="M727" s="5" t="s">
        <v>31</v>
      </c>
      <c r="N727" s="5" t="s">
        <v>31</v>
      </c>
      <c r="O727" s="5" t="s">
        <v>32</v>
      </c>
      <c r="P727" s="5" t="s">
        <v>33</v>
      </c>
      <c r="Q727" s="2">
        <v>45966</v>
      </c>
      <c r="V727" s="45">
        <f>IF(OR(ISNUMBER(SEARCH("unable to locate acct",G727)),ISNUMBER(SEARCH("unknown",G727)),ISNUMBER(SEARCH("inactive",G727)),H727=""),0,1)</f>
        <v>1</v>
      </c>
    </row>
    <row r="728" spans="1:22" hidden="1">
      <c r="A728" s="2">
        <v>45905</v>
      </c>
      <c r="B728" s="1" t="s">
        <v>1833</v>
      </c>
      <c r="C728" s="1" t="s">
        <v>1834</v>
      </c>
      <c r="D728" s="1" t="s">
        <v>626</v>
      </c>
      <c r="E728" s="1">
        <v>85281</v>
      </c>
      <c r="F728" s="1" t="s">
        <v>304</v>
      </c>
      <c r="G728" s="1" t="s">
        <v>1829</v>
      </c>
      <c r="H728" s="4" t="s">
        <v>5094</v>
      </c>
      <c r="I728" s="5" t="s">
        <v>190</v>
      </c>
      <c r="J728" s="5" t="s">
        <v>31</v>
      </c>
      <c r="K728" s="5" t="s">
        <v>31</v>
      </c>
      <c r="L728" s="5" t="s">
        <v>32</v>
      </c>
      <c r="M728" s="5" t="s">
        <v>32</v>
      </c>
      <c r="N728" s="13">
        <v>422.52</v>
      </c>
      <c r="O728" s="5" t="s">
        <v>32</v>
      </c>
      <c r="P728" s="5" t="s">
        <v>33</v>
      </c>
      <c r="Q728" s="2">
        <v>45966</v>
      </c>
      <c r="V728" s="45">
        <f>IF(OR(ISNUMBER(SEARCH("unable to locate acct",G728)),ISNUMBER(SEARCH("unknown",G728)),ISNUMBER(SEARCH("inactive",G728)),H728=""),0,1)</f>
        <v>1</v>
      </c>
    </row>
    <row r="729" spans="1:22" hidden="1">
      <c r="A729" s="2">
        <v>45905</v>
      </c>
      <c r="B729" s="1" t="s">
        <v>1835</v>
      </c>
      <c r="C729" s="1" t="s">
        <v>1302</v>
      </c>
      <c r="D729" s="1" t="s">
        <v>363</v>
      </c>
      <c r="E729" s="1">
        <v>85225</v>
      </c>
      <c r="F729" s="1" t="s">
        <v>304</v>
      </c>
      <c r="G729" s="1" t="s">
        <v>1829</v>
      </c>
      <c r="H729" s="4" t="s">
        <v>5218</v>
      </c>
      <c r="I729" s="5" t="s">
        <v>30</v>
      </c>
      <c r="J729" s="5" t="s">
        <v>31</v>
      </c>
      <c r="K729" s="5" t="s">
        <v>31</v>
      </c>
      <c r="L729" s="5" t="s">
        <v>32</v>
      </c>
      <c r="M729" s="5" t="s">
        <v>31</v>
      </c>
      <c r="N729" s="5" t="s">
        <v>31</v>
      </c>
      <c r="O729" s="5" t="s">
        <v>32</v>
      </c>
      <c r="P729" s="5" t="s">
        <v>33</v>
      </c>
      <c r="Q729" s="2">
        <v>45966</v>
      </c>
      <c r="V729" s="45">
        <f>IF(OR(ISNUMBER(SEARCH("unable to locate acct",G729)),ISNUMBER(SEARCH("unknown",G729)),ISNUMBER(SEARCH("inactive",G729)),H729=""),0,1)</f>
        <v>1</v>
      </c>
    </row>
    <row r="730" spans="1:22" hidden="1">
      <c r="A730" s="2">
        <v>45905</v>
      </c>
      <c r="B730" s="1" t="s">
        <v>1836</v>
      </c>
      <c r="C730" s="1" t="s">
        <v>1837</v>
      </c>
      <c r="D730" s="1" t="s">
        <v>57</v>
      </c>
      <c r="E730" s="1">
        <v>85032</v>
      </c>
      <c r="F730" s="1" t="s">
        <v>304</v>
      </c>
      <c r="G730" s="1" t="s">
        <v>1829</v>
      </c>
      <c r="H730" s="4" t="s">
        <v>4990</v>
      </c>
      <c r="I730" s="5" t="s">
        <v>51</v>
      </c>
      <c r="J730" s="5" t="s">
        <v>31</v>
      </c>
      <c r="K730" s="5" t="s">
        <v>31</v>
      </c>
      <c r="L730" s="5" t="s">
        <v>393</v>
      </c>
      <c r="M730" s="5" t="s">
        <v>31</v>
      </c>
      <c r="N730" s="5" t="s">
        <v>31</v>
      </c>
      <c r="O730" s="5" t="s">
        <v>32</v>
      </c>
      <c r="P730" s="5" t="s">
        <v>33</v>
      </c>
      <c r="Q730" s="2">
        <v>45966</v>
      </c>
      <c r="V730" s="45">
        <f>IF(OR(ISNUMBER(SEARCH("unable to locate acct",G730)),ISNUMBER(SEARCH("unknown",G730)),ISNUMBER(SEARCH("inactive",G730)),H730=""),0,1)</f>
        <v>1</v>
      </c>
    </row>
    <row r="731" spans="1:22" hidden="1">
      <c r="A731" s="2">
        <v>45905</v>
      </c>
      <c r="B731" s="1" t="s">
        <v>1838</v>
      </c>
      <c r="C731" s="1" t="s">
        <v>114</v>
      </c>
      <c r="D731" s="1" t="s">
        <v>57</v>
      </c>
      <c r="E731" s="1">
        <v>85032</v>
      </c>
      <c r="F731" s="1" t="s">
        <v>304</v>
      </c>
      <c r="G731" s="1" t="s">
        <v>1829</v>
      </c>
      <c r="H731" s="4" t="s">
        <v>4991</v>
      </c>
      <c r="I731" s="5" t="s">
        <v>190</v>
      </c>
      <c r="J731" s="5" t="s">
        <v>31</v>
      </c>
      <c r="K731" s="5" t="s">
        <v>31</v>
      </c>
      <c r="L731" s="5" t="s">
        <v>1839</v>
      </c>
      <c r="M731" s="5" t="s">
        <v>31</v>
      </c>
      <c r="N731" s="5" t="s">
        <v>31</v>
      </c>
      <c r="O731" s="5" t="s">
        <v>32</v>
      </c>
      <c r="P731" s="5" t="s">
        <v>33</v>
      </c>
      <c r="Q731" s="2">
        <v>45966</v>
      </c>
      <c r="V731" s="45">
        <f>IF(OR(ISNUMBER(SEARCH("unable to locate acct",G731)),ISNUMBER(SEARCH("unknown",G731)),ISNUMBER(SEARCH("inactive",G731)),H731=""),0,1)</f>
        <v>1</v>
      </c>
    </row>
    <row r="732" spans="1:22" hidden="1">
      <c r="A732" s="2">
        <v>45905</v>
      </c>
      <c r="B732" s="1" t="s">
        <v>219</v>
      </c>
      <c r="C732" s="1" t="s">
        <v>1840</v>
      </c>
      <c r="D732" s="1" t="s">
        <v>57</v>
      </c>
      <c r="E732" s="1">
        <v>85006</v>
      </c>
      <c r="F732" s="1" t="s">
        <v>304</v>
      </c>
      <c r="G732" s="1" t="s">
        <v>1829</v>
      </c>
      <c r="H732" s="4" t="s">
        <v>5219</v>
      </c>
      <c r="I732" s="5" t="s">
        <v>67</v>
      </c>
      <c r="J732" s="5" t="s">
        <v>31</v>
      </c>
      <c r="K732" s="5" t="s">
        <v>31</v>
      </c>
      <c r="L732" s="5" t="s">
        <v>32</v>
      </c>
      <c r="M732" s="5" t="s">
        <v>31</v>
      </c>
      <c r="N732" s="5" t="s">
        <v>31</v>
      </c>
      <c r="O732" s="5" t="s">
        <v>32</v>
      </c>
      <c r="P732" s="5" t="s">
        <v>33</v>
      </c>
      <c r="Q732" s="2">
        <v>45966</v>
      </c>
      <c r="V732" s="45">
        <f>IF(OR(ISNUMBER(SEARCH("unable to locate acct",G732)),ISNUMBER(SEARCH("unknown",G732)),ISNUMBER(SEARCH("inactive",G732)),H732=""),0,1)</f>
        <v>1</v>
      </c>
    </row>
    <row r="733" spans="1:22" hidden="1">
      <c r="A733" s="2">
        <v>45905</v>
      </c>
      <c r="B733" s="1" t="s">
        <v>1841</v>
      </c>
      <c r="C733" s="1" t="s">
        <v>1842</v>
      </c>
      <c r="D733" s="1" t="s">
        <v>728</v>
      </c>
      <c r="E733" s="1">
        <v>86326</v>
      </c>
      <c r="F733" s="1" t="s">
        <v>1702</v>
      </c>
      <c r="G733" s="1" t="s">
        <v>1829</v>
      </c>
      <c r="H733" s="4" t="s">
        <v>5220</v>
      </c>
      <c r="I733" s="5" t="s">
        <v>40</v>
      </c>
      <c r="J733" s="5" t="s">
        <v>31</v>
      </c>
      <c r="K733" s="5" t="s">
        <v>31</v>
      </c>
      <c r="L733" s="5" t="s">
        <v>32</v>
      </c>
      <c r="M733" s="5" t="s">
        <v>31</v>
      </c>
      <c r="N733" s="5" t="s">
        <v>31</v>
      </c>
      <c r="O733" s="5" t="s">
        <v>32</v>
      </c>
      <c r="P733" s="5" t="s">
        <v>33</v>
      </c>
      <c r="Q733" s="2">
        <v>45966</v>
      </c>
      <c r="V733" s="45">
        <f>IF(OR(ISNUMBER(SEARCH("unable to locate acct",G733)),ISNUMBER(SEARCH("unknown",G733)),ISNUMBER(SEARCH("inactive",G733)),H733=""),0,1)</f>
        <v>1</v>
      </c>
    </row>
    <row r="734" spans="1:22" hidden="1">
      <c r="A734" s="2">
        <v>45905</v>
      </c>
      <c r="B734" s="1" t="s">
        <v>1843</v>
      </c>
      <c r="C734" s="1" t="s">
        <v>1633</v>
      </c>
      <c r="D734" s="1" t="s">
        <v>57</v>
      </c>
      <c r="E734" s="1">
        <v>85032</v>
      </c>
      <c r="F734" s="1" t="s">
        <v>304</v>
      </c>
      <c r="G734" s="1" t="s">
        <v>1829</v>
      </c>
      <c r="H734" s="4" t="s">
        <v>5221</v>
      </c>
      <c r="I734" s="5" t="s">
        <v>120</v>
      </c>
      <c r="J734" s="5" t="s">
        <v>31</v>
      </c>
      <c r="K734" s="5" t="s">
        <v>31</v>
      </c>
      <c r="L734" s="5" t="s">
        <v>32</v>
      </c>
      <c r="M734" s="5" t="s">
        <v>31</v>
      </c>
      <c r="N734" s="5" t="s">
        <v>31</v>
      </c>
      <c r="O734" s="5" t="s">
        <v>32</v>
      </c>
      <c r="P734" s="5" t="s">
        <v>33</v>
      </c>
      <c r="Q734" s="2">
        <v>45966</v>
      </c>
      <c r="V734" s="45">
        <f>IF(OR(ISNUMBER(SEARCH("unable to locate acct",G734)),ISNUMBER(SEARCH("unknown",G734)),ISNUMBER(SEARCH("inactive",G734)),H734=""),0,1)</f>
        <v>1</v>
      </c>
    </row>
    <row r="735" spans="1:22" hidden="1">
      <c r="A735" s="2">
        <v>45905</v>
      </c>
      <c r="B735" s="1" t="s">
        <v>1844</v>
      </c>
      <c r="C735" s="1" t="s">
        <v>403</v>
      </c>
      <c r="D735" s="1" t="s">
        <v>57</v>
      </c>
      <c r="E735" s="1">
        <v>85032</v>
      </c>
      <c r="F735" s="1" t="s">
        <v>304</v>
      </c>
      <c r="G735" s="1" t="s">
        <v>1829</v>
      </c>
      <c r="H735" s="4" t="s">
        <v>5222</v>
      </c>
      <c r="I735" s="5" t="s">
        <v>30</v>
      </c>
      <c r="J735" s="5" t="s">
        <v>31</v>
      </c>
      <c r="K735" s="5" t="s">
        <v>31</v>
      </c>
      <c r="L735" s="5" t="s">
        <v>32</v>
      </c>
      <c r="M735" s="5" t="s">
        <v>31</v>
      </c>
      <c r="N735" s="5" t="s">
        <v>31</v>
      </c>
      <c r="O735" s="5" t="s">
        <v>32</v>
      </c>
      <c r="P735" s="5" t="s">
        <v>33</v>
      </c>
      <c r="Q735" s="2">
        <v>45966</v>
      </c>
      <c r="V735" s="45">
        <f>IF(OR(ISNUMBER(SEARCH("unable to locate acct",G735)),ISNUMBER(SEARCH("unknown",G735)),ISNUMBER(SEARCH("inactive",G735)),H735=""),0,1)</f>
        <v>1</v>
      </c>
    </row>
    <row r="736" spans="1:22" hidden="1">
      <c r="A736" s="2">
        <v>45905</v>
      </c>
      <c r="B736" s="1" t="s">
        <v>1617</v>
      </c>
      <c r="C736" s="1" t="s">
        <v>1845</v>
      </c>
      <c r="D736" s="1" t="s">
        <v>57</v>
      </c>
      <c r="E736" s="1">
        <v>85024</v>
      </c>
      <c r="F736" s="1" t="s">
        <v>304</v>
      </c>
      <c r="G736" s="1" t="s">
        <v>1829</v>
      </c>
      <c r="H736" s="4" t="s">
        <v>5223</v>
      </c>
      <c r="I736" s="5" t="s">
        <v>30</v>
      </c>
      <c r="J736" s="5" t="s">
        <v>31</v>
      </c>
      <c r="K736" s="5" t="s">
        <v>31</v>
      </c>
      <c r="L736" s="5" t="s">
        <v>32</v>
      </c>
      <c r="M736" s="5" t="s">
        <v>31</v>
      </c>
      <c r="N736" s="5" t="s">
        <v>31</v>
      </c>
      <c r="O736" s="5" t="s">
        <v>32</v>
      </c>
      <c r="P736" s="5" t="s">
        <v>33</v>
      </c>
      <c r="Q736" s="2">
        <v>45966</v>
      </c>
      <c r="V736" s="45">
        <f>IF(OR(ISNUMBER(SEARCH("unable to locate acct",G736)),ISNUMBER(SEARCH("unknown",G736)),ISNUMBER(SEARCH("inactive",G736)),H736=""),0,1)</f>
        <v>1</v>
      </c>
    </row>
    <row r="737" spans="1:22" hidden="1">
      <c r="A737" s="2">
        <v>45905</v>
      </c>
      <c r="B737" s="1" t="s">
        <v>1846</v>
      </c>
      <c r="C737" s="1" t="s">
        <v>1847</v>
      </c>
      <c r="D737" s="1" t="s">
        <v>57</v>
      </c>
      <c r="E737" s="1">
        <v>85053</v>
      </c>
      <c r="F737" s="1" t="s">
        <v>304</v>
      </c>
      <c r="G737" s="1" t="s">
        <v>1829</v>
      </c>
      <c r="H737" s="4" t="s">
        <v>21</v>
      </c>
      <c r="V737" s="45">
        <f>IF(OR(ISNUMBER(SEARCH("unable to locate acct",G737)),ISNUMBER(SEARCH("unknown",G737)),ISNUMBER(SEARCH("inactive",G737)),H737=""),0,1)</f>
        <v>1</v>
      </c>
    </row>
    <row r="738" spans="1:22" hidden="1">
      <c r="A738" s="2">
        <v>45905</v>
      </c>
      <c r="B738" s="1" t="s">
        <v>1848</v>
      </c>
      <c r="C738" s="1" t="s">
        <v>696</v>
      </c>
      <c r="D738" s="1" t="s">
        <v>57</v>
      </c>
      <c r="E738" s="1">
        <v>85020</v>
      </c>
      <c r="F738" s="1" t="s">
        <v>1849</v>
      </c>
      <c r="G738" s="1" t="s">
        <v>1829</v>
      </c>
      <c r="H738" s="21" t="s">
        <v>5652</v>
      </c>
      <c r="I738" s="5" t="s">
        <v>30</v>
      </c>
      <c r="J738" s="5" t="s">
        <v>31</v>
      </c>
      <c r="K738" s="5" t="s">
        <v>31</v>
      </c>
      <c r="L738" s="5" t="s">
        <v>32</v>
      </c>
      <c r="M738" s="5" t="s">
        <v>31</v>
      </c>
      <c r="N738" s="5" t="s">
        <v>31</v>
      </c>
      <c r="O738" s="5" t="s">
        <v>32</v>
      </c>
      <c r="P738" s="5" t="s">
        <v>33</v>
      </c>
      <c r="Q738" s="2">
        <v>45966</v>
      </c>
      <c r="V738" s="45">
        <f>IF(OR(ISNUMBER(SEARCH("unable to locate acct",G738)),ISNUMBER(SEARCH("unknown",G738)),ISNUMBER(SEARCH("inactive",G738)),H738=""),0,1)</f>
        <v>1</v>
      </c>
    </row>
    <row r="739" spans="1:22" hidden="1">
      <c r="A739" s="2">
        <v>45905</v>
      </c>
      <c r="B739" s="1" t="s">
        <v>1850</v>
      </c>
      <c r="C739" s="1" t="s">
        <v>814</v>
      </c>
      <c r="D739" s="1" t="s">
        <v>57</v>
      </c>
      <c r="E739" s="1">
        <v>85003</v>
      </c>
      <c r="F739" s="1" t="s">
        <v>1851</v>
      </c>
      <c r="G739" s="1" t="s">
        <v>1829</v>
      </c>
      <c r="H739" s="4" t="s">
        <v>5224</v>
      </c>
      <c r="I739" s="5" t="s">
        <v>40</v>
      </c>
      <c r="J739" s="5" t="s">
        <v>31</v>
      </c>
      <c r="K739" s="5" t="s">
        <v>31</v>
      </c>
      <c r="L739" s="5" t="s">
        <v>32</v>
      </c>
      <c r="M739" s="5" t="s">
        <v>31</v>
      </c>
      <c r="N739" s="5" t="s">
        <v>31</v>
      </c>
      <c r="O739" s="5" t="s">
        <v>32</v>
      </c>
      <c r="P739" s="5" t="s">
        <v>33</v>
      </c>
      <c r="Q739" s="2">
        <v>45966</v>
      </c>
      <c r="V739" s="45">
        <f>IF(OR(ISNUMBER(SEARCH("unable to locate acct",G739)),ISNUMBER(SEARCH("unknown",G739)),ISNUMBER(SEARCH("inactive",G739)),H739=""),0,1)</f>
        <v>1</v>
      </c>
    </row>
    <row r="740" spans="1:22" hidden="1">
      <c r="A740" s="2">
        <v>45905</v>
      </c>
      <c r="B740" s="1" t="s">
        <v>1852</v>
      </c>
      <c r="C740" s="1" t="s">
        <v>1853</v>
      </c>
      <c r="D740" s="1" t="s">
        <v>62</v>
      </c>
      <c r="E740" s="1">
        <v>85331</v>
      </c>
      <c r="F740" s="1" t="s">
        <v>304</v>
      </c>
      <c r="G740" s="1" t="s">
        <v>1829</v>
      </c>
      <c r="H740" s="4" t="s">
        <v>4992</v>
      </c>
      <c r="I740" s="5" t="s">
        <v>190</v>
      </c>
      <c r="J740" s="5" t="s">
        <v>31</v>
      </c>
      <c r="K740" s="5" t="s">
        <v>31</v>
      </c>
      <c r="L740" s="7" t="s">
        <v>1854</v>
      </c>
      <c r="M740" s="5" t="s">
        <v>31</v>
      </c>
      <c r="N740" s="5" t="s">
        <v>31</v>
      </c>
      <c r="O740" s="5" t="s">
        <v>32</v>
      </c>
      <c r="P740" s="2">
        <v>45971</v>
      </c>
      <c r="Q740" s="2">
        <v>45966</v>
      </c>
      <c r="R740" s="1" t="s">
        <v>1855</v>
      </c>
      <c r="V740" s="45">
        <f>IF(OR(ISNUMBER(SEARCH("unable to locate acct",G740)),ISNUMBER(SEARCH("unknown",G740)),ISNUMBER(SEARCH("inactive",G740)),H740=""),0,1)</f>
        <v>1</v>
      </c>
    </row>
    <row r="741" spans="1:22" hidden="1">
      <c r="A741" s="2">
        <v>45905</v>
      </c>
      <c r="B741" s="1" t="s">
        <v>1856</v>
      </c>
      <c r="C741" s="1" t="s">
        <v>463</v>
      </c>
      <c r="D741" s="1" t="s">
        <v>18</v>
      </c>
      <c r="E741" s="1">
        <v>85308</v>
      </c>
      <c r="F741" s="1" t="s">
        <v>304</v>
      </c>
      <c r="G741" s="1" t="s">
        <v>1829</v>
      </c>
      <c r="H741" s="4" t="s">
        <v>1857</v>
      </c>
      <c r="I741" s="5" t="s">
        <v>30</v>
      </c>
      <c r="J741" s="5" t="s">
        <v>31</v>
      </c>
      <c r="K741" s="5" t="s">
        <v>31</v>
      </c>
      <c r="L741" s="5" t="s">
        <v>32</v>
      </c>
      <c r="M741" s="5" t="s">
        <v>31</v>
      </c>
      <c r="N741" s="5" t="s">
        <v>31</v>
      </c>
      <c r="O741" s="5" t="s">
        <v>32</v>
      </c>
      <c r="P741" s="5" t="s">
        <v>33</v>
      </c>
      <c r="Q741" s="2">
        <v>45966</v>
      </c>
      <c r="V741" s="45">
        <f>IF(OR(ISNUMBER(SEARCH("unable to locate acct",G741)),ISNUMBER(SEARCH("unknown",G741)),ISNUMBER(SEARCH("inactive",G741)),H741=""),0,1)</f>
        <v>1</v>
      </c>
    </row>
    <row r="742" spans="1:22" hidden="1">
      <c r="A742" s="2">
        <v>45905</v>
      </c>
      <c r="B742" s="1" t="s">
        <v>1858</v>
      </c>
      <c r="C742" s="1" t="s">
        <v>1859</v>
      </c>
      <c r="D742" s="1" t="s">
        <v>106</v>
      </c>
      <c r="E742" s="1">
        <v>85388</v>
      </c>
      <c r="F742" s="1" t="s">
        <v>304</v>
      </c>
      <c r="G742" s="1" t="s">
        <v>1829</v>
      </c>
      <c r="H742" s="4" t="s">
        <v>21</v>
      </c>
      <c r="V742" s="45">
        <f>IF(OR(ISNUMBER(SEARCH("unable to locate acct",G742)),ISNUMBER(SEARCH("unknown",G742)),ISNUMBER(SEARCH("inactive",G742)),H742=""),0,1)</f>
        <v>1</v>
      </c>
    </row>
    <row r="743" spans="1:22" hidden="1">
      <c r="A743" s="2">
        <v>45905</v>
      </c>
      <c r="B743" s="1" t="s">
        <v>1860</v>
      </c>
      <c r="C743" s="1" t="s">
        <v>1602</v>
      </c>
      <c r="D743" s="1" t="s">
        <v>106</v>
      </c>
      <c r="E743" s="1">
        <v>85388</v>
      </c>
      <c r="F743" s="1" t="s">
        <v>304</v>
      </c>
      <c r="G743" s="1" t="s">
        <v>1829</v>
      </c>
      <c r="H743" s="4" t="s">
        <v>84</v>
      </c>
      <c r="V743" s="45">
        <f>IF(OR(ISNUMBER(SEARCH("unable to locate acct",G743)),ISNUMBER(SEARCH("unknown",G743)),ISNUMBER(SEARCH("inactive",G743)),H743=""),0,1)</f>
        <v>1</v>
      </c>
    </row>
    <row r="744" spans="1:22" hidden="1">
      <c r="A744" s="2">
        <v>45905</v>
      </c>
      <c r="B744" s="1" t="s">
        <v>1861</v>
      </c>
      <c r="C744" s="1" t="s">
        <v>1862</v>
      </c>
      <c r="D744" s="1" t="s">
        <v>163</v>
      </c>
      <c r="E744" s="1">
        <v>85338</v>
      </c>
      <c r="F744" s="1" t="s">
        <v>304</v>
      </c>
      <c r="G744" s="1" t="s">
        <v>1829</v>
      </c>
      <c r="H744" s="4" t="s">
        <v>5225</v>
      </c>
      <c r="I744" s="5" t="s">
        <v>120</v>
      </c>
      <c r="J744" s="5" t="s">
        <v>31</v>
      </c>
      <c r="K744" s="5" t="s">
        <v>31</v>
      </c>
      <c r="L744" s="5" t="s">
        <v>32</v>
      </c>
      <c r="M744" s="5" t="s">
        <v>31</v>
      </c>
      <c r="N744" s="5" t="s">
        <v>31</v>
      </c>
      <c r="O744" s="5" t="s">
        <v>32</v>
      </c>
      <c r="P744" s="5" t="s">
        <v>33</v>
      </c>
      <c r="Q744" s="2">
        <v>45966</v>
      </c>
      <c r="V744" s="45">
        <f>IF(OR(ISNUMBER(SEARCH("unable to locate acct",G744)),ISNUMBER(SEARCH("unknown",G744)),ISNUMBER(SEARCH("inactive",G744)),H744=""),0,1)</f>
        <v>1</v>
      </c>
    </row>
    <row r="745" spans="1:22" hidden="1">
      <c r="A745" s="2">
        <v>45905</v>
      </c>
      <c r="B745" s="1" t="s">
        <v>1863</v>
      </c>
      <c r="C745" s="1" t="s">
        <v>69</v>
      </c>
      <c r="D745" s="1" t="s">
        <v>57</v>
      </c>
      <c r="E745" s="1">
        <v>85050</v>
      </c>
      <c r="F745" s="1" t="s">
        <v>304</v>
      </c>
      <c r="G745" s="1" t="s">
        <v>1829</v>
      </c>
      <c r="H745" s="4" t="s">
        <v>5226</v>
      </c>
      <c r="I745" s="5" t="s">
        <v>30</v>
      </c>
      <c r="J745" s="5" t="s">
        <v>31</v>
      </c>
      <c r="K745" s="5" t="s">
        <v>31</v>
      </c>
      <c r="L745" s="5" t="s">
        <v>32</v>
      </c>
      <c r="M745" s="5" t="s">
        <v>31</v>
      </c>
      <c r="N745" s="5" t="s">
        <v>31</v>
      </c>
      <c r="O745" s="5" t="s">
        <v>32</v>
      </c>
      <c r="P745" s="5" t="s">
        <v>33</v>
      </c>
      <c r="Q745" s="2">
        <v>45966</v>
      </c>
      <c r="V745" s="45">
        <f>IF(OR(ISNUMBER(SEARCH("unable to locate acct",G745)),ISNUMBER(SEARCH("unknown",G745)),ISNUMBER(SEARCH("inactive",G745)),H745=""),0,1)</f>
        <v>1</v>
      </c>
    </row>
    <row r="746" spans="1:22" hidden="1">
      <c r="A746" s="2">
        <v>45905</v>
      </c>
      <c r="B746" s="1" t="s">
        <v>1864</v>
      </c>
      <c r="C746" s="1" t="s">
        <v>1865</v>
      </c>
      <c r="D746" s="1" t="s">
        <v>119</v>
      </c>
      <c r="E746" s="1">
        <v>85260</v>
      </c>
      <c r="F746" s="1" t="s">
        <v>1866</v>
      </c>
      <c r="G746" s="1" t="s">
        <v>1829</v>
      </c>
      <c r="H746" s="4" t="s">
        <v>1867</v>
      </c>
      <c r="I746" s="5" t="s">
        <v>30</v>
      </c>
      <c r="J746" s="5" t="s">
        <v>31</v>
      </c>
      <c r="K746" s="5" t="s">
        <v>31</v>
      </c>
      <c r="L746" s="5" t="s">
        <v>32</v>
      </c>
      <c r="M746" s="5" t="s">
        <v>31</v>
      </c>
      <c r="N746" s="5" t="s">
        <v>31</v>
      </c>
      <c r="O746" s="5" t="s">
        <v>32</v>
      </c>
      <c r="P746" s="5" t="s">
        <v>33</v>
      </c>
      <c r="Q746" s="2">
        <v>45966</v>
      </c>
      <c r="V746" s="45">
        <f>IF(OR(ISNUMBER(SEARCH("unable to locate acct",G746)),ISNUMBER(SEARCH("unknown",G746)),ISNUMBER(SEARCH("inactive",G746)),H746=""),0,1)</f>
        <v>1</v>
      </c>
    </row>
    <row r="747" spans="1:22" hidden="1">
      <c r="A747" s="2">
        <v>45905</v>
      </c>
      <c r="B747" s="1" t="s">
        <v>1868</v>
      </c>
      <c r="C747" s="1" t="s">
        <v>1869</v>
      </c>
      <c r="D747" s="1" t="s">
        <v>57</v>
      </c>
      <c r="E747" s="1">
        <v>85024</v>
      </c>
      <c r="F747" s="1" t="s">
        <v>1870</v>
      </c>
      <c r="G747" s="1" t="s">
        <v>1829</v>
      </c>
      <c r="H747" s="4" t="s">
        <v>4943</v>
      </c>
      <c r="I747" s="5" t="s">
        <v>190</v>
      </c>
      <c r="J747" s="5" t="s">
        <v>31</v>
      </c>
      <c r="K747" s="5" t="s">
        <v>31</v>
      </c>
      <c r="L747" s="5" t="s">
        <v>1871</v>
      </c>
      <c r="M747" s="5" t="s">
        <v>32</v>
      </c>
      <c r="N747" s="13">
        <v>470.06</v>
      </c>
      <c r="O747" s="5" t="s">
        <v>32</v>
      </c>
      <c r="P747" s="5" t="s">
        <v>33</v>
      </c>
      <c r="Q747" s="2">
        <v>45966</v>
      </c>
      <c r="V747" s="45">
        <f>IF(OR(ISNUMBER(SEARCH("unable to locate acct",G747)),ISNUMBER(SEARCH("unknown",G747)),ISNUMBER(SEARCH("inactive",G747)),H747=""),0,1)</f>
        <v>1</v>
      </c>
    </row>
    <row r="748" spans="1:22" hidden="1">
      <c r="A748" s="2">
        <v>45905</v>
      </c>
      <c r="B748" s="1" t="s">
        <v>1872</v>
      </c>
      <c r="C748" s="1" t="s">
        <v>814</v>
      </c>
      <c r="D748" s="1" t="s">
        <v>57</v>
      </c>
      <c r="E748" s="1">
        <v>85016</v>
      </c>
      <c r="F748" s="1" t="s">
        <v>304</v>
      </c>
      <c r="G748" s="1" t="s">
        <v>1829</v>
      </c>
      <c r="H748" s="4" t="s">
        <v>5227</v>
      </c>
      <c r="I748" s="5" t="s">
        <v>120</v>
      </c>
      <c r="J748" s="5" t="s">
        <v>31</v>
      </c>
      <c r="K748" s="5" t="s">
        <v>31</v>
      </c>
      <c r="L748" s="5" t="s">
        <v>32</v>
      </c>
      <c r="M748" s="5" t="s">
        <v>31</v>
      </c>
      <c r="N748" s="5" t="s">
        <v>31</v>
      </c>
      <c r="O748" s="5" t="s">
        <v>32</v>
      </c>
      <c r="P748" s="5" t="s">
        <v>33</v>
      </c>
      <c r="Q748" s="2">
        <v>45966</v>
      </c>
      <c r="V748" s="45">
        <f>IF(OR(ISNUMBER(SEARCH("unable to locate acct",G748)),ISNUMBER(SEARCH("unknown",G748)),ISNUMBER(SEARCH("inactive",G748)),H748=""),0,1)</f>
        <v>1</v>
      </c>
    </row>
    <row r="749" spans="1:22" hidden="1">
      <c r="A749" s="2">
        <v>45905</v>
      </c>
      <c r="B749" s="1" t="s">
        <v>1873</v>
      </c>
      <c r="C749" s="1" t="s">
        <v>200</v>
      </c>
      <c r="D749" s="1" t="s">
        <v>119</v>
      </c>
      <c r="E749" s="1">
        <v>85258</v>
      </c>
      <c r="F749" s="1" t="s">
        <v>1874</v>
      </c>
      <c r="G749" s="1" t="s">
        <v>1829</v>
      </c>
      <c r="H749" s="4" t="s">
        <v>4993</v>
      </c>
      <c r="I749" s="5" t="s">
        <v>30</v>
      </c>
      <c r="J749" s="5" t="s">
        <v>31</v>
      </c>
      <c r="K749" s="5" t="s">
        <v>31</v>
      </c>
      <c r="L749" s="5" t="s">
        <v>1875</v>
      </c>
      <c r="M749" s="5" t="s">
        <v>31</v>
      </c>
      <c r="N749" s="5" t="s">
        <v>31</v>
      </c>
      <c r="O749" s="5" t="s">
        <v>32</v>
      </c>
      <c r="P749" s="5" t="s">
        <v>33</v>
      </c>
      <c r="Q749" s="2">
        <v>45966</v>
      </c>
      <c r="R749" s="1" t="s">
        <v>1279</v>
      </c>
      <c r="V749" s="45">
        <f>IF(OR(ISNUMBER(SEARCH("unable to locate acct",G749)),ISNUMBER(SEARCH("unknown",G749)),ISNUMBER(SEARCH("inactive",G749)),H749=""),0,1)</f>
        <v>1</v>
      </c>
    </row>
    <row r="750" spans="1:22" hidden="1">
      <c r="A750" s="2">
        <v>45905</v>
      </c>
      <c r="B750" s="1" t="s">
        <v>1876</v>
      </c>
      <c r="C750" s="1" t="s">
        <v>696</v>
      </c>
      <c r="D750" s="1" t="s">
        <v>57</v>
      </c>
      <c r="E750" s="1">
        <v>85022</v>
      </c>
      <c r="F750" s="1" t="s">
        <v>304</v>
      </c>
      <c r="G750" s="1" t="s">
        <v>1829</v>
      </c>
      <c r="H750" s="4" t="s">
        <v>5228</v>
      </c>
      <c r="I750" s="5" t="s">
        <v>67</v>
      </c>
      <c r="J750" s="5" t="s">
        <v>31</v>
      </c>
      <c r="K750" s="5" t="s">
        <v>31</v>
      </c>
      <c r="L750" s="5" t="s">
        <v>32</v>
      </c>
      <c r="M750" s="5" t="s">
        <v>31</v>
      </c>
      <c r="N750" s="5" t="s">
        <v>31</v>
      </c>
      <c r="O750" s="5" t="s">
        <v>32</v>
      </c>
      <c r="P750" s="5" t="s">
        <v>33</v>
      </c>
      <c r="Q750" s="2">
        <v>45966</v>
      </c>
      <c r="V750" s="45">
        <f>IF(OR(ISNUMBER(SEARCH("unable to locate acct",G750)),ISNUMBER(SEARCH("unknown",G750)),ISNUMBER(SEARCH("inactive",G750)),H750=""),0,1)</f>
        <v>1</v>
      </c>
    </row>
    <row r="751" spans="1:22" hidden="1">
      <c r="A751" s="2">
        <v>45905</v>
      </c>
      <c r="B751" s="1" t="s">
        <v>1877</v>
      </c>
      <c r="C751" s="1" t="s">
        <v>1878</v>
      </c>
      <c r="D751" s="1" t="s">
        <v>18</v>
      </c>
      <c r="E751" s="1">
        <v>85308</v>
      </c>
      <c r="F751" s="1" t="s">
        <v>304</v>
      </c>
      <c r="G751" s="1" t="s">
        <v>1829</v>
      </c>
      <c r="H751" s="4" t="s">
        <v>5229</v>
      </c>
      <c r="I751" s="5" t="s">
        <v>30</v>
      </c>
      <c r="J751" s="5" t="s">
        <v>31</v>
      </c>
      <c r="K751" s="5" t="s">
        <v>31</v>
      </c>
      <c r="L751" s="5" t="s">
        <v>32</v>
      </c>
      <c r="M751" s="5" t="s">
        <v>31</v>
      </c>
      <c r="N751" s="5" t="s">
        <v>31</v>
      </c>
      <c r="O751" s="5" t="s">
        <v>32</v>
      </c>
      <c r="P751" s="5" t="s">
        <v>33</v>
      </c>
      <c r="Q751" s="2">
        <v>45966</v>
      </c>
      <c r="V751" s="45">
        <f>IF(OR(ISNUMBER(SEARCH("unable to locate acct",G751)),ISNUMBER(SEARCH("unknown",G751)),ISNUMBER(SEARCH("inactive",G751)),H751=""),0,1)</f>
        <v>1</v>
      </c>
    </row>
    <row r="752" spans="1:22" hidden="1">
      <c r="A752" s="2">
        <v>45905</v>
      </c>
      <c r="B752" s="1" t="s">
        <v>1879</v>
      </c>
      <c r="C752" s="1" t="s">
        <v>323</v>
      </c>
      <c r="D752" s="1" t="s">
        <v>168</v>
      </c>
      <c r="E752" s="1">
        <v>85396</v>
      </c>
      <c r="F752" s="1" t="s">
        <v>304</v>
      </c>
      <c r="G752" s="1" t="s">
        <v>1829</v>
      </c>
      <c r="H752" s="4" t="s">
        <v>5230</v>
      </c>
      <c r="I752" s="5" t="s">
        <v>30</v>
      </c>
      <c r="J752" s="5" t="s">
        <v>31</v>
      </c>
      <c r="K752" s="5" t="s">
        <v>31</v>
      </c>
      <c r="L752" s="5" t="s">
        <v>32</v>
      </c>
      <c r="M752" s="5" t="s">
        <v>31</v>
      </c>
      <c r="N752" s="5" t="s">
        <v>31</v>
      </c>
      <c r="O752" s="5" t="s">
        <v>32</v>
      </c>
      <c r="P752" s="5" t="s">
        <v>33</v>
      </c>
      <c r="Q752" s="2">
        <v>45966</v>
      </c>
      <c r="V752" s="45">
        <f>IF(OR(ISNUMBER(SEARCH("unable to locate acct",G752)),ISNUMBER(SEARCH("unknown",G752)),ISNUMBER(SEARCH("inactive",G752)),H752=""),0,1)</f>
        <v>1</v>
      </c>
    </row>
    <row r="753" spans="1:22" hidden="1">
      <c r="A753" s="2">
        <v>45905</v>
      </c>
      <c r="B753" s="1" t="s">
        <v>1880</v>
      </c>
      <c r="C753" s="1" t="s">
        <v>909</v>
      </c>
      <c r="D753" s="1" t="s">
        <v>1508</v>
      </c>
      <c r="E753" s="1">
        <v>85351</v>
      </c>
      <c r="F753" s="1" t="s">
        <v>1881</v>
      </c>
      <c r="G753" s="1" t="s">
        <v>1829</v>
      </c>
      <c r="H753" s="21" t="s">
        <v>5653</v>
      </c>
      <c r="I753" s="5" t="s">
        <v>532</v>
      </c>
      <c r="J753" s="5" t="s">
        <v>31</v>
      </c>
      <c r="K753" s="5" t="s">
        <v>31</v>
      </c>
      <c r="L753" s="5" t="s">
        <v>381</v>
      </c>
      <c r="M753" s="5" t="s">
        <v>31</v>
      </c>
      <c r="N753" s="5" t="s">
        <v>31</v>
      </c>
      <c r="O753" s="5" t="s">
        <v>32</v>
      </c>
      <c r="P753" s="5" t="s">
        <v>33</v>
      </c>
      <c r="Q753" s="2">
        <v>45966</v>
      </c>
      <c r="V753" s="45">
        <f>IF(OR(ISNUMBER(SEARCH("unable to locate acct",G753)),ISNUMBER(SEARCH("unknown",G753)),ISNUMBER(SEARCH("inactive",G753)),H753=""),0,1)</f>
        <v>1</v>
      </c>
    </row>
    <row r="754" spans="1:22" hidden="1">
      <c r="A754" s="2">
        <v>45905</v>
      </c>
      <c r="B754" s="1" t="s">
        <v>1882</v>
      </c>
      <c r="C754" s="1" t="s">
        <v>139</v>
      </c>
      <c r="D754" s="1" t="s">
        <v>57</v>
      </c>
      <c r="E754" s="1">
        <v>85014</v>
      </c>
      <c r="F754" s="1" t="s">
        <v>25</v>
      </c>
      <c r="G754" s="1" t="s">
        <v>1829</v>
      </c>
      <c r="H754" s="4" t="s">
        <v>4994</v>
      </c>
      <c r="I754" s="5" t="s">
        <v>120</v>
      </c>
      <c r="J754" s="5" t="s">
        <v>31</v>
      </c>
      <c r="K754" s="5" t="s">
        <v>31</v>
      </c>
      <c r="L754" s="5" t="s">
        <v>1883</v>
      </c>
      <c r="M754" s="5" t="s">
        <v>31</v>
      </c>
      <c r="N754" s="5" t="s">
        <v>31</v>
      </c>
      <c r="O754" s="5" t="s">
        <v>32</v>
      </c>
      <c r="P754" s="5" t="s">
        <v>33</v>
      </c>
      <c r="Q754" s="2">
        <v>45966</v>
      </c>
      <c r="V754" s="45">
        <f>IF(OR(ISNUMBER(SEARCH("unable to locate acct",G754)),ISNUMBER(SEARCH("unknown",G754)),ISNUMBER(SEARCH("inactive",G754)),H754=""),0,1)</f>
        <v>1</v>
      </c>
    </row>
    <row r="755" spans="1:22" hidden="1">
      <c r="A755" s="2">
        <v>45905</v>
      </c>
      <c r="B755" s="1" t="s">
        <v>1884</v>
      </c>
      <c r="C755" s="1" t="s">
        <v>1885</v>
      </c>
      <c r="D755" s="1" t="s">
        <v>196</v>
      </c>
      <c r="E755" s="1">
        <v>85383</v>
      </c>
      <c r="F755" s="1" t="s">
        <v>304</v>
      </c>
      <c r="G755" s="1" t="s">
        <v>1829</v>
      </c>
      <c r="H755" s="4" t="s">
        <v>4995</v>
      </c>
      <c r="I755" s="5" t="s">
        <v>40</v>
      </c>
      <c r="J755" s="5" t="s">
        <v>31</v>
      </c>
      <c r="K755" s="5" t="s">
        <v>31</v>
      </c>
      <c r="L755" s="5" t="s">
        <v>1886</v>
      </c>
      <c r="M755" s="5" t="s">
        <v>31</v>
      </c>
      <c r="N755" s="5" t="s">
        <v>31</v>
      </c>
      <c r="O755" s="5" t="s">
        <v>32</v>
      </c>
      <c r="P755" s="5" t="s">
        <v>33</v>
      </c>
      <c r="Q755" s="2">
        <v>45966</v>
      </c>
      <c r="U755" s="1" t="s">
        <v>1887</v>
      </c>
      <c r="V755" s="45">
        <f>IF(OR(ISNUMBER(SEARCH("unable to locate acct",G755)),ISNUMBER(SEARCH("unknown",G755)),ISNUMBER(SEARCH("inactive",G755)),H755=""),0,1)</f>
        <v>1</v>
      </c>
    </row>
    <row r="756" spans="1:22" hidden="1">
      <c r="A756" s="2">
        <v>45905</v>
      </c>
      <c r="B756" s="1" t="s">
        <v>1888</v>
      </c>
      <c r="C756" s="1" t="s">
        <v>306</v>
      </c>
      <c r="D756" s="1" t="s">
        <v>57</v>
      </c>
      <c r="E756" s="1">
        <v>85023</v>
      </c>
      <c r="F756" s="1" t="s">
        <v>304</v>
      </c>
      <c r="G756" s="1" t="s">
        <v>1829</v>
      </c>
      <c r="H756" s="21" t="s">
        <v>5654</v>
      </c>
      <c r="I756" s="5" t="s">
        <v>67</v>
      </c>
      <c r="J756" s="5" t="s">
        <v>31</v>
      </c>
      <c r="K756" s="5" t="s">
        <v>31</v>
      </c>
      <c r="L756" s="5" t="s">
        <v>32</v>
      </c>
      <c r="M756" s="5" t="s">
        <v>31</v>
      </c>
      <c r="N756" s="5" t="s">
        <v>31</v>
      </c>
      <c r="O756" s="5" t="s">
        <v>32</v>
      </c>
      <c r="P756" s="5" t="s">
        <v>33</v>
      </c>
      <c r="Q756" s="2">
        <v>45966</v>
      </c>
      <c r="V756" s="45">
        <f>IF(OR(ISNUMBER(SEARCH("unable to locate acct",G756)),ISNUMBER(SEARCH("unknown",G756)),ISNUMBER(SEARCH("inactive",G756)),H756=""),0,1)</f>
        <v>1</v>
      </c>
    </row>
    <row r="757" spans="1:22" hidden="1">
      <c r="A757" s="2">
        <v>45905</v>
      </c>
      <c r="B757" s="1" t="s">
        <v>1889</v>
      </c>
      <c r="C757" s="1" t="s">
        <v>1890</v>
      </c>
      <c r="D757" s="1" t="s">
        <v>168</v>
      </c>
      <c r="E757" s="1">
        <v>85396</v>
      </c>
      <c r="F757" s="1" t="s">
        <v>25</v>
      </c>
      <c r="G757" s="1" t="s">
        <v>1829</v>
      </c>
      <c r="H757" s="4" t="s">
        <v>5231</v>
      </c>
      <c r="I757" s="5" t="s">
        <v>410</v>
      </c>
      <c r="J757" s="5" t="s">
        <v>31</v>
      </c>
      <c r="K757" s="5" t="s">
        <v>31</v>
      </c>
      <c r="L757" s="5" t="s">
        <v>381</v>
      </c>
      <c r="M757" s="5" t="s">
        <v>31</v>
      </c>
      <c r="N757" s="5" t="s">
        <v>31</v>
      </c>
      <c r="O757" s="5" t="s">
        <v>32</v>
      </c>
      <c r="P757" s="5" t="s">
        <v>33</v>
      </c>
      <c r="Q757" s="2">
        <v>45966</v>
      </c>
      <c r="V757" s="45">
        <f>IF(OR(ISNUMBER(SEARCH("unable to locate acct",G757)),ISNUMBER(SEARCH("unknown",G757)),ISNUMBER(SEARCH("inactive",G757)),H757=""),0,1)</f>
        <v>1</v>
      </c>
    </row>
    <row r="758" spans="1:22" hidden="1">
      <c r="A758" s="2">
        <v>45905</v>
      </c>
      <c r="B758" s="1" t="s">
        <v>1891</v>
      </c>
      <c r="C758" s="1" t="s">
        <v>1074</v>
      </c>
      <c r="D758" s="1" t="s">
        <v>57</v>
      </c>
      <c r="E758" s="1">
        <v>85022</v>
      </c>
      <c r="F758" s="1" t="s">
        <v>25</v>
      </c>
      <c r="G758" s="1" t="s">
        <v>1829</v>
      </c>
      <c r="H758" s="4" t="s">
        <v>21</v>
      </c>
      <c r="V758" s="45">
        <f>IF(OR(ISNUMBER(SEARCH("unable to locate acct",G758)),ISNUMBER(SEARCH("unknown",G758)),ISNUMBER(SEARCH("inactive",G758)),H758=""),0,1)</f>
        <v>1</v>
      </c>
    </row>
    <row r="759" spans="1:22" hidden="1">
      <c r="A759" s="2">
        <v>45905</v>
      </c>
      <c r="B759" s="1" t="s">
        <v>1892</v>
      </c>
      <c r="C759" s="1" t="s">
        <v>384</v>
      </c>
      <c r="D759" s="1" t="s">
        <v>163</v>
      </c>
      <c r="E759" s="1">
        <v>85448</v>
      </c>
      <c r="F759" s="1" t="s">
        <v>1576</v>
      </c>
      <c r="G759" s="1" t="s">
        <v>1829</v>
      </c>
      <c r="H759" s="4" t="s">
        <v>5232</v>
      </c>
      <c r="I759" s="5" t="s">
        <v>410</v>
      </c>
      <c r="J759" s="5" t="s">
        <v>31</v>
      </c>
      <c r="K759" s="5" t="s">
        <v>31</v>
      </c>
      <c r="L759" s="5" t="s">
        <v>381</v>
      </c>
      <c r="M759" s="5" t="s">
        <v>31</v>
      </c>
      <c r="N759" s="5" t="s">
        <v>31</v>
      </c>
      <c r="O759" s="5" t="s">
        <v>32</v>
      </c>
      <c r="P759" s="5" t="s">
        <v>33</v>
      </c>
      <c r="Q759" s="2">
        <v>45966</v>
      </c>
      <c r="V759" s="45">
        <f>IF(OR(ISNUMBER(SEARCH("unable to locate acct",G759)),ISNUMBER(SEARCH("unknown",G759)),ISNUMBER(SEARCH("inactive",G759)),H759=""),0,1)</f>
        <v>1</v>
      </c>
    </row>
    <row r="760" spans="1:22" hidden="1">
      <c r="A760" s="2">
        <v>45905</v>
      </c>
      <c r="B760" s="1" t="s">
        <v>1893</v>
      </c>
      <c r="C760" s="1" t="s">
        <v>903</v>
      </c>
      <c r="D760" s="1" t="s">
        <v>106</v>
      </c>
      <c r="E760" s="1">
        <v>85387</v>
      </c>
      <c r="F760" s="1" t="s">
        <v>304</v>
      </c>
      <c r="G760" s="1" t="s">
        <v>1829</v>
      </c>
      <c r="H760" s="4" t="s">
        <v>4944</v>
      </c>
      <c r="I760" s="5" t="s">
        <v>190</v>
      </c>
      <c r="J760" s="5" t="s">
        <v>31</v>
      </c>
      <c r="K760" s="5" t="s">
        <v>31</v>
      </c>
      <c r="L760" s="7" t="s">
        <v>1894</v>
      </c>
      <c r="M760" s="5" t="s">
        <v>1429</v>
      </c>
      <c r="N760" s="15">
        <v>1278.31</v>
      </c>
      <c r="O760" s="5" t="s">
        <v>32</v>
      </c>
      <c r="P760" s="2">
        <v>45936</v>
      </c>
      <c r="Q760" s="2">
        <v>45966</v>
      </c>
      <c r="R760" s="1" t="s">
        <v>1895</v>
      </c>
      <c r="V760" s="45">
        <f>IF(OR(ISNUMBER(SEARCH("unable to locate acct",G760)),ISNUMBER(SEARCH("unknown",G760)),ISNUMBER(SEARCH("inactive",G760)),H760=""),0,1)</f>
        <v>1</v>
      </c>
    </row>
    <row r="761" spans="1:22" hidden="1">
      <c r="A761" s="2">
        <v>45905</v>
      </c>
      <c r="B761" s="1" t="s">
        <v>1896</v>
      </c>
      <c r="C761" s="1" t="s">
        <v>387</v>
      </c>
      <c r="D761" s="1" t="s">
        <v>1897</v>
      </c>
      <c r="E761" s="1">
        <v>85321</v>
      </c>
      <c r="F761" s="1" t="s">
        <v>304</v>
      </c>
      <c r="G761" s="1" t="s">
        <v>1829</v>
      </c>
      <c r="H761" s="4" t="s">
        <v>5233</v>
      </c>
      <c r="I761" s="5" t="s">
        <v>40</v>
      </c>
      <c r="J761" s="5" t="s">
        <v>31</v>
      </c>
      <c r="K761" s="5" t="s">
        <v>31</v>
      </c>
      <c r="L761" s="5" t="s">
        <v>32</v>
      </c>
      <c r="M761" s="5" t="s">
        <v>31</v>
      </c>
      <c r="N761" s="5" t="s">
        <v>31</v>
      </c>
      <c r="O761" s="5" t="s">
        <v>32</v>
      </c>
      <c r="P761" s="5" t="s">
        <v>33</v>
      </c>
      <c r="Q761" s="2">
        <v>45966</v>
      </c>
      <c r="V761" s="45">
        <f>IF(OR(ISNUMBER(SEARCH("unable to locate acct",G761)),ISNUMBER(SEARCH("unknown",G761)),ISNUMBER(SEARCH("inactive",G761)),H761=""),0,1)</f>
        <v>1</v>
      </c>
    </row>
    <row r="762" spans="1:22" hidden="1">
      <c r="A762" s="2">
        <v>45905</v>
      </c>
      <c r="B762" s="1" t="s">
        <v>1033</v>
      </c>
      <c r="C762" s="1" t="s">
        <v>1898</v>
      </c>
      <c r="D762" s="1" t="s">
        <v>163</v>
      </c>
      <c r="E762" s="1">
        <v>85338</v>
      </c>
      <c r="F762" s="1" t="s">
        <v>304</v>
      </c>
      <c r="G762" s="1" t="s">
        <v>1829</v>
      </c>
      <c r="H762" s="4" t="s">
        <v>203</v>
      </c>
      <c r="V762" s="45">
        <f>IF(OR(ISNUMBER(SEARCH("unable to locate acct",G762)),ISNUMBER(SEARCH("unknown",G762)),ISNUMBER(SEARCH("inactive",G762)),H762=""),0,1)</f>
        <v>1</v>
      </c>
    </row>
    <row r="763" spans="1:22" hidden="1">
      <c r="A763" s="2">
        <v>45905</v>
      </c>
      <c r="B763" s="1" t="s">
        <v>1899</v>
      </c>
      <c r="C763" s="1" t="s">
        <v>369</v>
      </c>
      <c r="D763" s="1" t="s">
        <v>163</v>
      </c>
      <c r="E763" s="1">
        <v>85338</v>
      </c>
      <c r="F763" s="1" t="s">
        <v>1900</v>
      </c>
      <c r="G763" s="1" t="s">
        <v>1829</v>
      </c>
      <c r="H763" s="4" t="s">
        <v>1901</v>
      </c>
      <c r="I763" s="5" t="s">
        <v>40</v>
      </c>
      <c r="J763" s="5" t="s">
        <v>31</v>
      </c>
      <c r="K763" s="5" t="s">
        <v>31</v>
      </c>
      <c r="L763" s="5" t="s">
        <v>32</v>
      </c>
      <c r="M763" s="5" t="s">
        <v>31</v>
      </c>
      <c r="N763" s="5" t="s">
        <v>31</v>
      </c>
      <c r="O763" s="5" t="s">
        <v>32</v>
      </c>
      <c r="P763" s="5" t="s">
        <v>33</v>
      </c>
      <c r="Q763" s="2">
        <v>45966</v>
      </c>
      <c r="V763" s="45">
        <f>IF(OR(ISNUMBER(SEARCH("unable to locate acct",G763)),ISNUMBER(SEARCH("unknown",G763)),ISNUMBER(SEARCH("inactive",G763)),H763=""),0,1)</f>
        <v>1</v>
      </c>
    </row>
    <row r="764" spans="1:22" hidden="1">
      <c r="A764" s="2">
        <v>45905</v>
      </c>
      <c r="B764" s="1" t="s">
        <v>1902</v>
      </c>
      <c r="C764" s="1" t="s">
        <v>1903</v>
      </c>
      <c r="D764" s="1" t="s">
        <v>57</v>
      </c>
      <c r="E764" s="1">
        <v>85006</v>
      </c>
      <c r="F764" s="1" t="s">
        <v>25</v>
      </c>
      <c r="G764" s="1" t="s">
        <v>1829</v>
      </c>
      <c r="H764" s="4" t="s">
        <v>4996</v>
      </c>
      <c r="I764" s="5" t="s">
        <v>51</v>
      </c>
      <c r="J764" s="5" t="s">
        <v>31</v>
      </c>
      <c r="K764" s="5" t="s">
        <v>31</v>
      </c>
      <c r="L764" s="7" t="s">
        <v>1904</v>
      </c>
      <c r="M764" s="5" t="s">
        <v>31</v>
      </c>
      <c r="N764" s="5" t="s">
        <v>31</v>
      </c>
      <c r="O764" s="5" t="s">
        <v>32</v>
      </c>
      <c r="P764" s="2">
        <v>45937</v>
      </c>
      <c r="Q764" s="2">
        <v>45966</v>
      </c>
      <c r="R764" s="1" t="s">
        <v>1905</v>
      </c>
      <c r="V764" s="45">
        <f>IF(OR(ISNUMBER(SEARCH("unable to locate acct",G764)),ISNUMBER(SEARCH("unknown",G764)),ISNUMBER(SEARCH("inactive",G764)),H764=""),0,1)</f>
        <v>1</v>
      </c>
    </row>
    <row r="765" spans="1:22" hidden="1">
      <c r="A765" s="2">
        <v>45905</v>
      </c>
      <c r="B765" s="1" t="s">
        <v>1906</v>
      </c>
      <c r="C765" s="1" t="s">
        <v>871</v>
      </c>
      <c r="D765" s="1" t="s">
        <v>119</v>
      </c>
      <c r="E765" s="1">
        <v>85258</v>
      </c>
      <c r="F765" s="1" t="s">
        <v>304</v>
      </c>
      <c r="G765" s="1" t="s">
        <v>1829</v>
      </c>
      <c r="H765" s="4" t="s">
        <v>5234</v>
      </c>
      <c r="I765" s="5" t="s">
        <v>532</v>
      </c>
      <c r="J765" s="5" t="s">
        <v>31</v>
      </c>
      <c r="K765" s="5" t="s">
        <v>31</v>
      </c>
      <c r="L765" s="5" t="s">
        <v>381</v>
      </c>
      <c r="M765" s="5" t="s">
        <v>31</v>
      </c>
      <c r="N765" s="5" t="s">
        <v>31</v>
      </c>
      <c r="O765" s="5" t="s">
        <v>32</v>
      </c>
      <c r="P765" s="5" t="s">
        <v>33</v>
      </c>
      <c r="Q765" s="2">
        <v>45966</v>
      </c>
      <c r="V765" s="45">
        <f>IF(OR(ISNUMBER(SEARCH("unable to locate acct",G765)),ISNUMBER(SEARCH("unknown",G765)),ISNUMBER(SEARCH("inactive",G765)),H765=""),0,1)</f>
        <v>1</v>
      </c>
    </row>
    <row r="766" spans="1:22" hidden="1">
      <c r="A766" s="2">
        <v>45905</v>
      </c>
      <c r="B766" s="1" t="s">
        <v>1907</v>
      </c>
      <c r="C766" s="1" t="s">
        <v>1757</v>
      </c>
      <c r="D766" s="1" t="s">
        <v>119</v>
      </c>
      <c r="E766" s="1">
        <v>85258</v>
      </c>
      <c r="F766" s="1" t="s">
        <v>25</v>
      </c>
      <c r="G766" s="1" t="s">
        <v>1829</v>
      </c>
      <c r="H766" s="4" t="s">
        <v>5235</v>
      </c>
      <c r="I766" s="5" t="s">
        <v>30</v>
      </c>
      <c r="J766" s="5" t="s">
        <v>31</v>
      </c>
      <c r="K766" s="5" t="s">
        <v>31</v>
      </c>
      <c r="L766" s="5" t="s">
        <v>32</v>
      </c>
      <c r="M766" s="5" t="s">
        <v>31</v>
      </c>
      <c r="N766" s="5" t="s">
        <v>31</v>
      </c>
      <c r="O766" s="5" t="s">
        <v>32</v>
      </c>
      <c r="P766" s="5" t="s">
        <v>33</v>
      </c>
      <c r="Q766" s="2">
        <v>45966</v>
      </c>
      <c r="V766" s="45">
        <f>IF(OR(ISNUMBER(SEARCH("unable to locate acct",G766)),ISNUMBER(SEARCH("unknown",G766)),ISNUMBER(SEARCH("inactive",G766)),H766=""),0,1)</f>
        <v>1</v>
      </c>
    </row>
    <row r="767" spans="1:22" hidden="1">
      <c r="A767" s="2">
        <v>45905</v>
      </c>
      <c r="B767" s="1" t="s">
        <v>1908</v>
      </c>
      <c r="C767" s="1" t="s">
        <v>909</v>
      </c>
      <c r="D767" s="1" t="s">
        <v>57</v>
      </c>
      <c r="E767" s="1">
        <v>85085</v>
      </c>
      <c r="F767" s="1" t="s">
        <v>1909</v>
      </c>
      <c r="G767" s="1" t="s">
        <v>1829</v>
      </c>
      <c r="H767" s="4" t="s">
        <v>5236</v>
      </c>
      <c r="I767" s="5" t="s">
        <v>30</v>
      </c>
      <c r="J767" s="5" t="s">
        <v>31</v>
      </c>
      <c r="K767" s="5" t="s">
        <v>31</v>
      </c>
      <c r="L767" s="5" t="s">
        <v>32</v>
      </c>
      <c r="M767" s="5" t="s">
        <v>31</v>
      </c>
      <c r="N767" s="5" t="s">
        <v>31</v>
      </c>
      <c r="O767" s="5" t="s">
        <v>32</v>
      </c>
      <c r="P767" s="5" t="s">
        <v>33</v>
      </c>
      <c r="Q767" s="2">
        <v>45966</v>
      </c>
      <c r="V767" s="45">
        <f>IF(OR(ISNUMBER(SEARCH("unable to locate acct",G767)),ISNUMBER(SEARCH("unknown",G767)),ISNUMBER(SEARCH("inactive",G767)),H767=""),0,1)</f>
        <v>1</v>
      </c>
    </row>
    <row r="768" spans="1:22" hidden="1">
      <c r="A768" s="2">
        <v>45905</v>
      </c>
      <c r="B768" s="1" t="s">
        <v>677</v>
      </c>
      <c r="C768" s="1" t="s">
        <v>435</v>
      </c>
      <c r="D768" s="1" t="s">
        <v>57</v>
      </c>
      <c r="E768" s="1">
        <v>85014</v>
      </c>
      <c r="F768" s="1" t="s">
        <v>304</v>
      </c>
      <c r="G768" s="1" t="s">
        <v>1829</v>
      </c>
      <c r="H768" s="4" t="s">
        <v>5237</v>
      </c>
      <c r="I768" s="5" t="s">
        <v>67</v>
      </c>
      <c r="J768" s="5" t="s">
        <v>31</v>
      </c>
      <c r="K768" s="5" t="s">
        <v>31</v>
      </c>
      <c r="L768" s="5" t="s">
        <v>32</v>
      </c>
      <c r="M768" s="5" t="s">
        <v>31</v>
      </c>
      <c r="N768" s="5" t="s">
        <v>31</v>
      </c>
      <c r="O768" s="5" t="s">
        <v>32</v>
      </c>
      <c r="P768" s="5" t="s">
        <v>33</v>
      </c>
      <c r="Q768" s="2">
        <v>45966</v>
      </c>
      <c r="V768" s="45">
        <f>IF(OR(ISNUMBER(SEARCH("unable to locate acct",G768)),ISNUMBER(SEARCH("unknown",G768)),ISNUMBER(SEARCH("inactive",G768)),H768=""),0,1)</f>
        <v>1</v>
      </c>
    </row>
    <row r="769" spans="1:22" hidden="1">
      <c r="A769" s="2">
        <v>45905</v>
      </c>
      <c r="B769" s="1" t="s">
        <v>1910</v>
      </c>
      <c r="C769" s="1" t="s">
        <v>219</v>
      </c>
      <c r="D769" s="1" t="s">
        <v>57</v>
      </c>
      <c r="E769" s="1">
        <v>85016</v>
      </c>
      <c r="F769" s="1" t="s">
        <v>304</v>
      </c>
      <c r="G769" s="1" t="s">
        <v>1829</v>
      </c>
      <c r="H769" s="4" t="s">
        <v>5238</v>
      </c>
      <c r="I769" s="5" t="s">
        <v>120</v>
      </c>
      <c r="J769" s="5" t="s">
        <v>31</v>
      </c>
      <c r="K769" s="5" t="s">
        <v>31</v>
      </c>
      <c r="L769" s="5" t="s">
        <v>32</v>
      </c>
      <c r="M769" s="5" t="s">
        <v>31</v>
      </c>
      <c r="N769" s="5" t="s">
        <v>31</v>
      </c>
      <c r="O769" s="5" t="s">
        <v>32</v>
      </c>
      <c r="P769" s="5" t="s">
        <v>33</v>
      </c>
      <c r="Q769" s="2">
        <v>45966</v>
      </c>
      <c r="V769" s="45">
        <f>IF(OR(ISNUMBER(SEARCH("unable to locate acct",G769)),ISNUMBER(SEARCH("unknown",G769)),ISNUMBER(SEARCH("inactive",G769)),H769=""),0,1)</f>
        <v>1</v>
      </c>
    </row>
    <row r="770" spans="1:22" hidden="1">
      <c r="A770" s="2">
        <v>45905</v>
      </c>
      <c r="B770" s="1" t="s">
        <v>1911</v>
      </c>
      <c r="C770" s="1" t="s">
        <v>1747</v>
      </c>
      <c r="D770" s="1" t="s">
        <v>119</v>
      </c>
      <c r="E770" s="1">
        <v>85254</v>
      </c>
      <c r="F770" s="1" t="s">
        <v>1912</v>
      </c>
      <c r="G770" s="1" t="s">
        <v>1829</v>
      </c>
      <c r="H770" s="4" t="s">
        <v>5239</v>
      </c>
      <c r="I770" s="5" t="s">
        <v>237</v>
      </c>
      <c r="J770" s="5" t="s">
        <v>31</v>
      </c>
      <c r="K770" s="5" t="s">
        <v>31</v>
      </c>
      <c r="L770" s="5" t="s">
        <v>381</v>
      </c>
      <c r="M770" s="5" t="s">
        <v>31</v>
      </c>
      <c r="N770" s="5" t="s">
        <v>31</v>
      </c>
      <c r="O770" s="5" t="s">
        <v>32</v>
      </c>
      <c r="P770" s="5" t="s">
        <v>33</v>
      </c>
      <c r="Q770" s="2">
        <v>45966</v>
      </c>
      <c r="V770" s="45">
        <f>IF(OR(ISNUMBER(SEARCH("unable to locate acct",G770)),ISNUMBER(SEARCH("unknown",G770)),ISNUMBER(SEARCH("inactive",G770)),H770=""),0,1)</f>
        <v>1</v>
      </c>
    </row>
    <row r="771" spans="1:22" hidden="1">
      <c r="A771" s="2">
        <v>45905</v>
      </c>
      <c r="B771" s="1" t="s">
        <v>1913</v>
      </c>
      <c r="C771" s="1" t="s">
        <v>118</v>
      </c>
      <c r="D771" s="1" t="s">
        <v>530</v>
      </c>
      <c r="E771" s="1">
        <v>85122</v>
      </c>
      <c r="F771" s="1" t="s">
        <v>1914</v>
      </c>
      <c r="G771" s="1" t="s">
        <v>1829</v>
      </c>
      <c r="H771" s="4" t="s">
        <v>21</v>
      </c>
      <c r="V771" s="45">
        <f>IF(OR(ISNUMBER(SEARCH("unable to locate acct",G771)),ISNUMBER(SEARCH("unknown",G771)),ISNUMBER(SEARCH("inactive",G771)),H771=""),0,1)</f>
        <v>1</v>
      </c>
    </row>
    <row r="772" spans="1:22" hidden="1">
      <c r="A772" s="2">
        <v>45905</v>
      </c>
      <c r="B772" s="1" t="s">
        <v>1915</v>
      </c>
      <c r="C772" s="1" t="s">
        <v>1916</v>
      </c>
      <c r="D772" s="1" t="s">
        <v>1092</v>
      </c>
      <c r="E772" s="1">
        <v>85355</v>
      </c>
      <c r="F772" s="1" t="s">
        <v>304</v>
      </c>
      <c r="G772" s="1" t="s">
        <v>1829</v>
      </c>
      <c r="H772" s="4" t="s">
        <v>21</v>
      </c>
      <c r="V772" s="45">
        <f>IF(OR(ISNUMBER(SEARCH("unable to locate acct",G772)),ISNUMBER(SEARCH("unknown",G772)),ISNUMBER(SEARCH("inactive",G772)),H772=""),0,1)</f>
        <v>1</v>
      </c>
    </row>
    <row r="773" spans="1:22" hidden="1">
      <c r="A773" s="2">
        <v>45905</v>
      </c>
      <c r="B773" s="1" t="s">
        <v>1642</v>
      </c>
      <c r="C773" s="1" t="s">
        <v>147</v>
      </c>
      <c r="D773" s="1" t="s">
        <v>57</v>
      </c>
      <c r="E773" s="1">
        <v>85020</v>
      </c>
      <c r="F773" s="1" t="s">
        <v>651</v>
      </c>
      <c r="G773" s="1" t="s">
        <v>1829</v>
      </c>
      <c r="H773" s="4" t="s">
        <v>84</v>
      </c>
      <c r="V773" s="45">
        <f>IF(OR(ISNUMBER(SEARCH("unable to locate acct",G773)),ISNUMBER(SEARCH("unknown",G773)),ISNUMBER(SEARCH("inactive",G773)),H773=""),0,1)</f>
        <v>1</v>
      </c>
    </row>
    <row r="774" spans="1:22" hidden="1">
      <c r="A774" s="2">
        <v>45905</v>
      </c>
      <c r="B774" s="1" t="s">
        <v>1917</v>
      </c>
      <c r="C774" s="1" t="s">
        <v>318</v>
      </c>
      <c r="D774" s="1" t="s">
        <v>57</v>
      </c>
      <c r="E774" s="1">
        <v>85013</v>
      </c>
      <c r="F774" s="1" t="s">
        <v>25</v>
      </c>
      <c r="G774" s="1" t="s">
        <v>1829</v>
      </c>
      <c r="H774" s="4" t="s">
        <v>21</v>
      </c>
      <c r="V774" s="45">
        <f>IF(OR(ISNUMBER(SEARCH("unable to locate acct",G774)),ISNUMBER(SEARCH("unknown",G774)),ISNUMBER(SEARCH("inactive",G774)),H774=""),0,1)</f>
        <v>1</v>
      </c>
    </row>
    <row r="775" spans="1:22" hidden="1">
      <c r="A775" s="2">
        <v>45905</v>
      </c>
      <c r="B775" s="1" t="s">
        <v>1918</v>
      </c>
      <c r="C775" s="1" t="s">
        <v>649</v>
      </c>
      <c r="D775" s="1" t="s">
        <v>57</v>
      </c>
      <c r="E775" s="1">
        <v>85083</v>
      </c>
      <c r="F775" s="1" t="s">
        <v>25</v>
      </c>
      <c r="G775" s="1" t="s">
        <v>1829</v>
      </c>
      <c r="H775" s="4" t="s">
        <v>5240</v>
      </c>
      <c r="I775" s="5" t="s">
        <v>30</v>
      </c>
      <c r="J775" s="5" t="s">
        <v>31</v>
      </c>
      <c r="K775" s="5" t="s">
        <v>31</v>
      </c>
      <c r="L775" s="5" t="s">
        <v>32</v>
      </c>
      <c r="M775" s="5" t="s">
        <v>31</v>
      </c>
      <c r="N775" s="5" t="s">
        <v>31</v>
      </c>
      <c r="O775" s="5" t="s">
        <v>32</v>
      </c>
      <c r="P775" s="5" t="s">
        <v>33</v>
      </c>
      <c r="Q775" s="2">
        <v>45966</v>
      </c>
      <c r="V775" s="45">
        <f>IF(OR(ISNUMBER(SEARCH("unable to locate acct",G775)),ISNUMBER(SEARCH("unknown",G775)),ISNUMBER(SEARCH("inactive",G775)),H775=""),0,1)</f>
        <v>1</v>
      </c>
    </row>
    <row r="776" spans="1:22" hidden="1">
      <c r="A776" s="2">
        <v>45905</v>
      </c>
      <c r="B776" s="1" t="s">
        <v>1919</v>
      </c>
      <c r="C776" s="1" t="s">
        <v>1920</v>
      </c>
      <c r="D776" s="1" t="s">
        <v>363</v>
      </c>
      <c r="E776" s="1">
        <v>85225</v>
      </c>
      <c r="F776" s="1" t="s">
        <v>304</v>
      </c>
      <c r="G776" s="1" t="s">
        <v>1829</v>
      </c>
      <c r="H776" s="21" t="s">
        <v>5655</v>
      </c>
      <c r="I776" s="5" t="s">
        <v>410</v>
      </c>
      <c r="J776" s="5" t="s">
        <v>31</v>
      </c>
      <c r="K776" s="5" t="s">
        <v>31</v>
      </c>
      <c r="L776" s="5" t="s">
        <v>381</v>
      </c>
      <c r="M776" s="5" t="s">
        <v>31</v>
      </c>
      <c r="N776" s="5" t="s">
        <v>31</v>
      </c>
      <c r="O776" s="5" t="s">
        <v>32</v>
      </c>
      <c r="P776" s="5" t="s">
        <v>33</v>
      </c>
      <c r="Q776" s="2">
        <v>45966</v>
      </c>
      <c r="V776" s="45">
        <f>IF(OR(ISNUMBER(SEARCH("unable to locate acct",G776)),ISNUMBER(SEARCH("unknown",G776)),ISNUMBER(SEARCH("inactive",G776)),H776=""),0,1)</f>
        <v>1</v>
      </c>
    </row>
    <row r="777" spans="1:22" hidden="1">
      <c r="A777" s="2">
        <v>45905</v>
      </c>
      <c r="B777" s="1" t="s">
        <v>1921</v>
      </c>
      <c r="C777" s="1" t="s">
        <v>1922</v>
      </c>
      <c r="D777" s="1" t="s">
        <v>1923</v>
      </c>
      <c r="E777" s="1">
        <v>85603</v>
      </c>
      <c r="F777" s="1" t="s">
        <v>25</v>
      </c>
      <c r="G777" s="1" t="s">
        <v>1829</v>
      </c>
      <c r="H777" s="4" t="s">
        <v>5241</v>
      </c>
      <c r="I777" s="5" t="s">
        <v>30</v>
      </c>
      <c r="J777" s="5" t="s">
        <v>31</v>
      </c>
      <c r="K777" s="5" t="s">
        <v>31</v>
      </c>
      <c r="L777" s="5" t="s">
        <v>32</v>
      </c>
      <c r="M777" s="5" t="s">
        <v>31</v>
      </c>
      <c r="N777" s="5" t="s">
        <v>31</v>
      </c>
      <c r="O777" s="5" t="s">
        <v>32</v>
      </c>
      <c r="P777" s="5" t="s">
        <v>33</v>
      </c>
      <c r="Q777" s="2">
        <v>45966</v>
      </c>
      <c r="V777" s="45">
        <f>IF(OR(ISNUMBER(SEARCH("unable to locate acct",G777)),ISNUMBER(SEARCH("unknown",G777)),ISNUMBER(SEARCH("inactive",G777)),H777=""),0,1)</f>
        <v>1</v>
      </c>
    </row>
    <row r="778" spans="1:22" hidden="1">
      <c r="A778" s="2">
        <v>45905</v>
      </c>
      <c r="B778" s="1" t="s">
        <v>1924</v>
      </c>
      <c r="C778" s="1" t="s">
        <v>1925</v>
      </c>
      <c r="D778" s="1" t="s">
        <v>57</v>
      </c>
      <c r="E778" s="1">
        <v>85086</v>
      </c>
      <c r="F778" s="1" t="s">
        <v>25</v>
      </c>
      <c r="G778" s="1" t="s">
        <v>1829</v>
      </c>
      <c r="H778" s="4" t="s">
        <v>21</v>
      </c>
      <c r="V778" s="45">
        <f>IF(OR(ISNUMBER(SEARCH("unable to locate acct",G778)),ISNUMBER(SEARCH("unknown",G778)),ISNUMBER(SEARCH("inactive",G778)),H778=""),0,1)</f>
        <v>1</v>
      </c>
    </row>
    <row r="779" spans="1:22" hidden="1">
      <c r="A779" s="2">
        <v>45905</v>
      </c>
      <c r="B779" s="1" t="s">
        <v>1926</v>
      </c>
      <c r="C779" s="1" t="s">
        <v>1602</v>
      </c>
      <c r="D779" s="1" t="s">
        <v>119</v>
      </c>
      <c r="E779" s="1">
        <v>85260</v>
      </c>
      <c r="F779" s="1" t="s">
        <v>304</v>
      </c>
      <c r="G779" s="1" t="s">
        <v>1829</v>
      </c>
      <c r="H779" s="4" t="s">
        <v>4997</v>
      </c>
      <c r="I779" s="5" t="s">
        <v>51</v>
      </c>
      <c r="J779" s="5" t="s">
        <v>31</v>
      </c>
      <c r="K779" s="5" t="s">
        <v>31</v>
      </c>
      <c r="L779" s="7" t="s">
        <v>1927</v>
      </c>
      <c r="M779" s="5" t="s">
        <v>31</v>
      </c>
      <c r="N779" s="5" t="s">
        <v>31</v>
      </c>
      <c r="O779" s="5" t="s">
        <v>32</v>
      </c>
      <c r="P779" s="2">
        <v>45937</v>
      </c>
      <c r="Q779" s="2">
        <v>45966</v>
      </c>
      <c r="R779" s="1" t="s">
        <v>1928</v>
      </c>
      <c r="V779" s="45">
        <f>IF(OR(ISNUMBER(SEARCH("unable to locate acct",G779)),ISNUMBER(SEARCH("unknown",G779)),ISNUMBER(SEARCH("inactive",G779)),H779=""),0,1)</f>
        <v>1</v>
      </c>
    </row>
    <row r="780" spans="1:22" hidden="1">
      <c r="A780" s="2">
        <v>45905</v>
      </c>
      <c r="B780" s="1" t="s">
        <v>818</v>
      </c>
      <c r="C780" s="1" t="s">
        <v>1929</v>
      </c>
      <c r="D780" s="1" t="s">
        <v>106</v>
      </c>
      <c r="E780" s="1">
        <v>85388</v>
      </c>
      <c r="F780" s="1" t="s">
        <v>1930</v>
      </c>
      <c r="G780" s="1" t="s">
        <v>1829</v>
      </c>
      <c r="H780" s="21" t="s">
        <v>5656</v>
      </c>
      <c r="I780" s="5" t="s">
        <v>30</v>
      </c>
      <c r="J780" s="5" t="s">
        <v>31</v>
      </c>
      <c r="K780" s="5" t="s">
        <v>31</v>
      </c>
      <c r="L780" s="5" t="s">
        <v>32</v>
      </c>
      <c r="M780" s="5" t="s">
        <v>31</v>
      </c>
      <c r="N780" s="5" t="s">
        <v>31</v>
      </c>
      <c r="O780" s="5" t="s">
        <v>32</v>
      </c>
      <c r="P780" s="5" t="s">
        <v>33</v>
      </c>
      <c r="Q780" s="2">
        <v>45966</v>
      </c>
      <c r="V780" s="45">
        <f>IF(OR(ISNUMBER(SEARCH("unable to locate acct",G780)),ISNUMBER(SEARCH("unknown",G780)),ISNUMBER(SEARCH("inactive",G780)),H780=""),0,1)</f>
        <v>1</v>
      </c>
    </row>
    <row r="781" spans="1:22" hidden="1">
      <c r="A781" s="2">
        <v>45905</v>
      </c>
      <c r="B781" s="1" t="s">
        <v>1931</v>
      </c>
      <c r="C781" s="1" t="s">
        <v>1608</v>
      </c>
      <c r="D781" s="1" t="s">
        <v>18</v>
      </c>
      <c r="E781" s="1">
        <v>85308</v>
      </c>
      <c r="F781" s="1" t="s">
        <v>25</v>
      </c>
      <c r="G781" s="1" t="s">
        <v>1829</v>
      </c>
      <c r="H781" s="4" t="s">
        <v>5242</v>
      </c>
      <c r="I781" s="5" t="s">
        <v>190</v>
      </c>
      <c r="J781" s="5" t="s">
        <v>31</v>
      </c>
      <c r="K781" s="5" t="s">
        <v>31</v>
      </c>
      <c r="L781" s="5" t="s">
        <v>32</v>
      </c>
      <c r="M781" s="5" t="s">
        <v>31</v>
      </c>
      <c r="N781" s="5" t="s">
        <v>31</v>
      </c>
      <c r="O781" s="5" t="s">
        <v>32</v>
      </c>
      <c r="P781" s="5" t="s">
        <v>33</v>
      </c>
      <c r="Q781" s="2">
        <v>45966</v>
      </c>
      <c r="V781" s="45">
        <f>IF(OR(ISNUMBER(SEARCH("unable to locate acct",G781)),ISNUMBER(SEARCH("unknown",G781)),ISNUMBER(SEARCH("inactive",G781)),H781=""),0,1)</f>
        <v>1</v>
      </c>
    </row>
    <row r="782" spans="1:22" hidden="1">
      <c r="A782" s="2">
        <v>45905</v>
      </c>
      <c r="B782" s="1" t="s">
        <v>1797</v>
      </c>
      <c r="C782" s="1" t="s">
        <v>209</v>
      </c>
      <c r="D782" s="1" t="s">
        <v>57</v>
      </c>
      <c r="E782" s="1">
        <v>85028</v>
      </c>
      <c r="F782" s="1" t="s">
        <v>304</v>
      </c>
      <c r="G782" s="1" t="s">
        <v>1829</v>
      </c>
      <c r="H782" s="21" t="s">
        <v>5657</v>
      </c>
      <c r="I782" s="5" t="s">
        <v>40</v>
      </c>
      <c r="J782" s="5" t="s">
        <v>31</v>
      </c>
      <c r="K782" s="5" t="s">
        <v>31</v>
      </c>
      <c r="L782" s="7" t="s">
        <v>1932</v>
      </c>
      <c r="M782" s="5" t="s">
        <v>31</v>
      </c>
      <c r="N782" s="5" t="s">
        <v>31</v>
      </c>
      <c r="O782" s="5" t="s">
        <v>32</v>
      </c>
      <c r="P782" s="2">
        <v>45937</v>
      </c>
      <c r="Q782" s="2">
        <v>45966</v>
      </c>
      <c r="R782" s="1" t="s">
        <v>1933</v>
      </c>
      <c r="V782" s="45">
        <f>IF(OR(ISNUMBER(SEARCH("unable to locate acct",G782)),ISNUMBER(SEARCH("unknown",G782)),ISNUMBER(SEARCH("inactive",G782)),H782=""),0,1)</f>
        <v>1</v>
      </c>
    </row>
    <row r="783" spans="1:22" hidden="1">
      <c r="A783" s="2">
        <v>45905</v>
      </c>
      <c r="B783" s="1" t="s">
        <v>627</v>
      </c>
      <c r="C783" s="1" t="s">
        <v>219</v>
      </c>
      <c r="D783" s="1" t="s">
        <v>57</v>
      </c>
      <c r="E783" s="1">
        <v>85050</v>
      </c>
      <c r="F783" s="1" t="s">
        <v>304</v>
      </c>
      <c r="G783" s="1" t="s">
        <v>1829</v>
      </c>
      <c r="H783" s="4" t="s">
        <v>5243</v>
      </c>
      <c r="I783" s="5" t="s">
        <v>30</v>
      </c>
      <c r="J783" s="5" t="s">
        <v>31</v>
      </c>
      <c r="K783" s="5" t="s">
        <v>31</v>
      </c>
      <c r="L783" s="5" t="s">
        <v>32</v>
      </c>
      <c r="M783" s="5" t="s">
        <v>31</v>
      </c>
      <c r="N783" s="5" t="s">
        <v>31</v>
      </c>
      <c r="O783" s="5" t="s">
        <v>32</v>
      </c>
      <c r="P783" s="5" t="s">
        <v>33</v>
      </c>
      <c r="Q783" s="2">
        <v>45966</v>
      </c>
      <c r="V783" s="45">
        <f>IF(OR(ISNUMBER(SEARCH("unable to locate acct",G783)),ISNUMBER(SEARCH("unknown",G783)),ISNUMBER(SEARCH("inactive",G783)),H783=""),0,1)</f>
        <v>1</v>
      </c>
    </row>
    <row r="784" spans="1:22" hidden="1">
      <c r="A784" s="2">
        <v>45905</v>
      </c>
      <c r="B784" s="1" t="s">
        <v>1934</v>
      </c>
      <c r="C784" s="1" t="s">
        <v>125</v>
      </c>
      <c r="D784" s="1" t="s">
        <v>119</v>
      </c>
      <c r="E784" s="1">
        <v>85254</v>
      </c>
      <c r="F784" s="1" t="s">
        <v>304</v>
      </c>
      <c r="G784" s="1" t="s">
        <v>1829</v>
      </c>
      <c r="H784" s="21" t="s">
        <v>5658</v>
      </c>
      <c r="I784" s="5" t="s">
        <v>120</v>
      </c>
      <c r="J784" s="5" t="s">
        <v>31</v>
      </c>
      <c r="K784" s="5" t="s">
        <v>31</v>
      </c>
      <c r="L784" s="5" t="s">
        <v>1935</v>
      </c>
      <c r="M784" s="5" t="s">
        <v>31</v>
      </c>
      <c r="N784" s="5" t="s">
        <v>31</v>
      </c>
      <c r="O784" s="5" t="s">
        <v>32</v>
      </c>
      <c r="P784" s="5" t="s">
        <v>33</v>
      </c>
      <c r="Q784" s="2">
        <v>45966</v>
      </c>
      <c r="R784" s="1" t="s">
        <v>274</v>
      </c>
      <c r="V784" s="45">
        <f>IF(OR(ISNUMBER(SEARCH("unable to locate acct",G784)),ISNUMBER(SEARCH("unknown",G784)),ISNUMBER(SEARCH("inactive",G784)),H784=""),0,1)</f>
        <v>1</v>
      </c>
    </row>
    <row r="785" spans="1:22" hidden="1">
      <c r="A785" s="2">
        <v>45905</v>
      </c>
      <c r="B785" s="1" t="s">
        <v>1936</v>
      </c>
      <c r="C785" s="1" t="s">
        <v>1937</v>
      </c>
      <c r="D785" s="1" t="s">
        <v>196</v>
      </c>
      <c r="E785" s="1">
        <v>85383</v>
      </c>
      <c r="F785" s="1" t="s">
        <v>1938</v>
      </c>
      <c r="G785" s="1" t="s">
        <v>1829</v>
      </c>
      <c r="H785" s="4" t="s">
        <v>21</v>
      </c>
      <c r="V785" s="45">
        <f>IF(OR(ISNUMBER(SEARCH("unable to locate acct",G785)),ISNUMBER(SEARCH("unknown",G785)),ISNUMBER(SEARCH("inactive",G785)),H785=""),0,1)</f>
        <v>1</v>
      </c>
    </row>
    <row r="786" spans="1:22" hidden="1">
      <c r="A786" s="2">
        <v>45905</v>
      </c>
      <c r="B786" s="1" t="s">
        <v>1939</v>
      </c>
      <c r="C786" s="1" t="s">
        <v>1940</v>
      </c>
      <c r="D786" s="1" t="s">
        <v>57</v>
      </c>
      <c r="E786" s="1">
        <v>85013</v>
      </c>
      <c r="F786" s="1" t="s">
        <v>25</v>
      </c>
      <c r="G786" s="1" t="s">
        <v>1829</v>
      </c>
      <c r="H786" s="4" t="s">
        <v>21</v>
      </c>
      <c r="V786" s="45">
        <f>IF(OR(ISNUMBER(SEARCH("unable to locate acct",G786)),ISNUMBER(SEARCH("unknown",G786)),ISNUMBER(SEARCH("inactive",G786)),H786=""),0,1)</f>
        <v>1</v>
      </c>
    </row>
    <row r="787" spans="1:22" hidden="1">
      <c r="A787" s="2">
        <v>45905</v>
      </c>
      <c r="B787" s="1" t="s">
        <v>1941</v>
      </c>
      <c r="C787" s="1" t="s">
        <v>539</v>
      </c>
      <c r="D787" s="1" t="s">
        <v>57</v>
      </c>
      <c r="E787" s="1">
        <v>85024</v>
      </c>
      <c r="F787" s="1" t="s">
        <v>25</v>
      </c>
      <c r="G787" s="1" t="s">
        <v>1829</v>
      </c>
      <c r="H787" s="4" t="s">
        <v>203</v>
      </c>
      <c r="V787" s="45">
        <f>IF(OR(ISNUMBER(SEARCH("unable to locate acct",G787)),ISNUMBER(SEARCH("unknown",G787)),ISNUMBER(SEARCH("inactive",G787)),H787=""),0,1)</f>
        <v>1</v>
      </c>
    </row>
    <row r="788" spans="1:22" hidden="1">
      <c r="A788" s="2">
        <v>45905</v>
      </c>
      <c r="B788" s="1" t="s">
        <v>1610</v>
      </c>
      <c r="C788" s="1" t="s">
        <v>118</v>
      </c>
      <c r="D788" s="1" t="s">
        <v>495</v>
      </c>
      <c r="E788" s="1">
        <v>86001</v>
      </c>
      <c r="F788" s="1" t="s">
        <v>1942</v>
      </c>
      <c r="G788" s="1" t="s">
        <v>1829</v>
      </c>
      <c r="H788" s="4" t="s">
        <v>4998</v>
      </c>
      <c r="I788" s="5" t="s">
        <v>120</v>
      </c>
      <c r="J788" s="5" t="s">
        <v>31</v>
      </c>
      <c r="K788" s="5" t="s">
        <v>31</v>
      </c>
      <c r="L788" s="7" t="s">
        <v>1943</v>
      </c>
      <c r="M788" s="5" t="s">
        <v>31</v>
      </c>
      <c r="N788" s="5" t="s">
        <v>31</v>
      </c>
      <c r="O788" s="5" t="s">
        <v>32</v>
      </c>
      <c r="P788" s="2">
        <v>45937</v>
      </c>
      <c r="Q788" s="2">
        <v>45966</v>
      </c>
      <c r="R788" s="1" t="s">
        <v>1933</v>
      </c>
      <c r="V788" s="45">
        <f>IF(OR(ISNUMBER(SEARCH("unable to locate acct",G788)),ISNUMBER(SEARCH("unknown",G788)),ISNUMBER(SEARCH("inactive",G788)),H788=""),0,1)</f>
        <v>1</v>
      </c>
    </row>
    <row r="789" spans="1:22" hidden="1">
      <c r="A789" s="2">
        <v>45905</v>
      </c>
      <c r="B789" s="1" t="s">
        <v>1944</v>
      </c>
      <c r="C789" s="1" t="s">
        <v>375</v>
      </c>
      <c r="D789" s="1" t="s">
        <v>234</v>
      </c>
      <c r="E789" s="1">
        <v>85340</v>
      </c>
      <c r="F789" s="1" t="s">
        <v>1726</v>
      </c>
      <c r="G789" s="1" t="s">
        <v>1829</v>
      </c>
      <c r="H789" s="4" t="s">
        <v>5244</v>
      </c>
      <c r="I789" s="5" t="s">
        <v>30</v>
      </c>
      <c r="J789" s="5" t="s">
        <v>31</v>
      </c>
      <c r="K789" s="5" t="s">
        <v>31</v>
      </c>
      <c r="L789" s="5" t="s">
        <v>32</v>
      </c>
      <c r="M789" s="5" t="s">
        <v>31</v>
      </c>
      <c r="N789" s="5" t="s">
        <v>31</v>
      </c>
      <c r="O789" s="5" t="s">
        <v>32</v>
      </c>
      <c r="P789" s="5" t="s">
        <v>33</v>
      </c>
      <c r="Q789" s="2">
        <v>45966</v>
      </c>
      <c r="V789" s="45">
        <f>IF(OR(ISNUMBER(SEARCH("unable to locate acct",G789)),ISNUMBER(SEARCH("unknown",G789)),ISNUMBER(SEARCH("inactive",G789)),H789=""),0,1)</f>
        <v>1</v>
      </c>
    </row>
    <row r="790" spans="1:22" hidden="1">
      <c r="A790" s="2">
        <v>45905</v>
      </c>
      <c r="B790" s="1" t="s">
        <v>213</v>
      </c>
      <c r="C790" s="1" t="s">
        <v>214</v>
      </c>
      <c r="D790" s="1" t="s">
        <v>57</v>
      </c>
      <c r="E790" s="1">
        <v>85032</v>
      </c>
      <c r="F790" s="1" t="s">
        <v>25</v>
      </c>
      <c r="G790" s="1" t="s">
        <v>1829</v>
      </c>
      <c r="H790" s="4" t="s">
        <v>216</v>
      </c>
      <c r="I790" s="5" t="s">
        <v>120</v>
      </c>
      <c r="J790" s="5" t="s">
        <v>31</v>
      </c>
      <c r="K790" s="5" t="s">
        <v>31</v>
      </c>
      <c r="L790" s="5" t="s">
        <v>32</v>
      </c>
      <c r="M790" s="5" t="s">
        <v>31</v>
      </c>
      <c r="N790" s="5" t="s">
        <v>31</v>
      </c>
      <c r="O790" s="5" t="s">
        <v>32</v>
      </c>
      <c r="P790" s="5" t="s">
        <v>33</v>
      </c>
      <c r="Q790" s="2">
        <v>45966</v>
      </c>
      <c r="U790" s="1" t="s">
        <v>1887</v>
      </c>
      <c r="V790" s="45">
        <f>IF(OR(ISNUMBER(SEARCH("unable to locate acct",G790)),ISNUMBER(SEARCH("unknown",G790)),ISNUMBER(SEARCH("inactive",G790)),H790=""),0,1)</f>
        <v>1</v>
      </c>
    </row>
    <row r="791" spans="1:22" hidden="1">
      <c r="A791" s="2">
        <v>45905</v>
      </c>
      <c r="B791" s="1" t="s">
        <v>1945</v>
      </c>
      <c r="C791" s="1" t="s">
        <v>1946</v>
      </c>
      <c r="D791" s="1" t="s">
        <v>79</v>
      </c>
      <c r="E791" s="1">
        <v>86323</v>
      </c>
      <c r="F791" s="1" t="s">
        <v>1685</v>
      </c>
      <c r="G791" s="1" t="s">
        <v>1829</v>
      </c>
      <c r="H791" s="4" t="s">
        <v>21</v>
      </c>
      <c r="V791" s="45">
        <f>IF(OR(ISNUMBER(SEARCH("unable to locate acct",G791)),ISNUMBER(SEARCH("unknown",G791)),ISNUMBER(SEARCH("inactive",G791)),H791=""),0,1)</f>
        <v>1</v>
      </c>
    </row>
    <row r="792" spans="1:22" hidden="1">
      <c r="A792" s="2">
        <v>45905</v>
      </c>
      <c r="B792" s="1" t="s">
        <v>1947</v>
      </c>
      <c r="C792" s="1" t="s">
        <v>1948</v>
      </c>
      <c r="D792" s="1" t="s">
        <v>57</v>
      </c>
      <c r="E792" s="1">
        <v>85014</v>
      </c>
      <c r="F792" s="1" t="s">
        <v>304</v>
      </c>
      <c r="G792" s="1" t="s">
        <v>1829</v>
      </c>
      <c r="H792" s="4" t="s">
        <v>21</v>
      </c>
      <c r="V792" s="45">
        <f>IF(OR(ISNUMBER(SEARCH("unable to locate acct",G792)),ISNUMBER(SEARCH("unknown",G792)),ISNUMBER(SEARCH("inactive",G792)),H792=""),0,1)</f>
        <v>1</v>
      </c>
    </row>
    <row r="793" spans="1:22" hidden="1">
      <c r="A793" s="2">
        <v>45905</v>
      </c>
      <c r="B793" s="1" t="s">
        <v>1949</v>
      </c>
      <c r="C793" s="1" t="s">
        <v>1950</v>
      </c>
      <c r="D793" s="1" t="s">
        <v>57</v>
      </c>
      <c r="E793" s="1">
        <v>85028</v>
      </c>
      <c r="F793" s="1" t="s">
        <v>304</v>
      </c>
      <c r="G793" s="1" t="s">
        <v>1829</v>
      </c>
      <c r="H793" s="4" t="s">
        <v>1951</v>
      </c>
      <c r="I793" s="5" t="s">
        <v>30</v>
      </c>
      <c r="J793" s="5" t="s">
        <v>31</v>
      </c>
      <c r="K793" s="5" t="s">
        <v>31</v>
      </c>
      <c r="L793" s="5" t="s">
        <v>32</v>
      </c>
      <c r="M793" s="5" t="s">
        <v>31</v>
      </c>
      <c r="N793" s="5" t="s">
        <v>31</v>
      </c>
      <c r="O793" s="5" t="s">
        <v>32</v>
      </c>
      <c r="P793" s="5" t="s">
        <v>33</v>
      </c>
      <c r="Q793" s="2">
        <v>45966</v>
      </c>
      <c r="V793" s="45">
        <f>IF(OR(ISNUMBER(SEARCH("unable to locate acct",G793)),ISNUMBER(SEARCH("unknown",G793)),ISNUMBER(SEARCH("inactive",G793)),H793=""),0,1)</f>
        <v>1</v>
      </c>
    </row>
    <row r="794" spans="1:22" hidden="1">
      <c r="A794" s="2">
        <v>45905</v>
      </c>
      <c r="B794" s="1" t="s">
        <v>1952</v>
      </c>
      <c r="C794" s="1" t="s">
        <v>472</v>
      </c>
      <c r="D794" s="1" t="s">
        <v>106</v>
      </c>
      <c r="E794" s="1">
        <v>85374</v>
      </c>
      <c r="F794" s="1" t="s">
        <v>1953</v>
      </c>
      <c r="G794" s="1" t="s">
        <v>1829</v>
      </c>
      <c r="H794" s="4" t="s">
        <v>5245</v>
      </c>
      <c r="I794" s="5" t="s">
        <v>30</v>
      </c>
      <c r="J794" s="5" t="s">
        <v>31</v>
      </c>
      <c r="K794" s="5" t="s">
        <v>31</v>
      </c>
      <c r="L794" s="5" t="s">
        <v>32</v>
      </c>
      <c r="M794" s="5" t="s">
        <v>31</v>
      </c>
      <c r="N794" s="5" t="s">
        <v>31</v>
      </c>
      <c r="O794" s="5" t="s">
        <v>32</v>
      </c>
      <c r="P794" s="5" t="s">
        <v>33</v>
      </c>
      <c r="Q794" s="2">
        <v>45966</v>
      </c>
      <c r="V794" s="45">
        <f>IF(OR(ISNUMBER(SEARCH("unable to locate acct",G794)),ISNUMBER(SEARCH("unknown",G794)),ISNUMBER(SEARCH("inactive",G794)),H794=""),0,1)</f>
        <v>1</v>
      </c>
    </row>
    <row r="795" spans="1:22" hidden="1">
      <c r="A795" s="2">
        <v>45905</v>
      </c>
      <c r="B795" s="1" t="s">
        <v>1954</v>
      </c>
      <c r="C795" s="1" t="s">
        <v>1955</v>
      </c>
      <c r="D795" s="1" t="s">
        <v>57</v>
      </c>
      <c r="E795" s="1">
        <v>85029</v>
      </c>
      <c r="F795" s="1" t="s">
        <v>304</v>
      </c>
      <c r="G795" s="1" t="s">
        <v>1829</v>
      </c>
      <c r="H795" s="4" t="s">
        <v>5246</v>
      </c>
      <c r="I795" s="5" t="s">
        <v>410</v>
      </c>
      <c r="J795" s="5" t="s">
        <v>31</v>
      </c>
      <c r="K795" s="5" t="s">
        <v>31</v>
      </c>
      <c r="L795" s="5" t="s">
        <v>381</v>
      </c>
      <c r="M795" s="5" t="s">
        <v>31</v>
      </c>
      <c r="N795" s="5" t="s">
        <v>31</v>
      </c>
      <c r="O795" s="5" t="s">
        <v>32</v>
      </c>
      <c r="P795" s="5" t="s">
        <v>33</v>
      </c>
      <c r="Q795" s="2">
        <v>45966</v>
      </c>
      <c r="V795" s="45">
        <f>IF(OR(ISNUMBER(SEARCH("unable to locate acct",G795)),ISNUMBER(SEARCH("unknown",G795)),ISNUMBER(SEARCH("inactive",G795)),H795=""),0,1)</f>
        <v>1</v>
      </c>
    </row>
    <row r="796" spans="1:22" hidden="1">
      <c r="A796" s="2">
        <v>45905</v>
      </c>
      <c r="B796" s="1" t="s">
        <v>1956</v>
      </c>
      <c r="C796" s="1" t="s">
        <v>1957</v>
      </c>
      <c r="D796" s="1" t="s">
        <v>57</v>
      </c>
      <c r="E796" s="1">
        <v>85043</v>
      </c>
      <c r="F796" s="1" t="s">
        <v>1958</v>
      </c>
      <c r="G796" s="1" t="s">
        <v>1829</v>
      </c>
      <c r="H796" s="4" t="s">
        <v>21</v>
      </c>
      <c r="V796" s="45">
        <f>IF(OR(ISNUMBER(SEARCH("unable to locate acct",G796)),ISNUMBER(SEARCH("unknown",G796)),ISNUMBER(SEARCH("inactive",G796)),H796=""),0,1)</f>
        <v>1</v>
      </c>
    </row>
    <row r="797" spans="1:22" hidden="1">
      <c r="A797" s="2">
        <v>45905</v>
      </c>
      <c r="B797" s="1" t="s">
        <v>1959</v>
      </c>
      <c r="C797" s="1" t="s">
        <v>188</v>
      </c>
      <c r="D797" s="1" t="s">
        <v>57</v>
      </c>
      <c r="E797" s="1">
        <v>85013</v>
      </c>
      <c r="F797" s="1" t="s">
        <v>304</v>
      </c>
      <c r="G797" s="1" t="s">
        <v>1829</v>
      </c>
      <c r="H797" s="4" t="s">
        <v>1960</v>
      </c>
      <c r="I797" s="5" t="s">
        <v>30</v>
      </c>
      <c r="J797" s="5" t="s">
        <v>31</v>
      </c>
      <c r="K797" s="5" t="s">
        <v>31</v>
      </c>
      <c r="L797" s="5" t="s">
        <v>32</v>
      </c>
      <c r="M797" s="5" t="s">
        <v>31</v>
      </c>
      <c r="N797" s="5" t="s">
        <v>31</v>
      </c>
      <c r="O797" s="5" t="s">
        <v>32</v>
      </c>
      <c r="P797" s="5" t="s">
        <v>33</v>
      </c>
      <c r="Q797" s="2">
        <v>45965</v>
      </c>
      <c r="V797" s="45">
        <f>IF(OR(ISNUMBER(SEARCH("unable to locate acct",G797)),ISNUMBER(SEARCH("unknown",G797)),ISNUMBER(SEARCH("inactive",G797)),H797=""),0,1)</f>
        <v>1</v>
      </c>
    </row>
    <row r="798" spans="1:22" hidden="1">
      <c r="A798" s="2">
        <v>45905</v>
      </c>
      <c r="B798" s="1" t="s">
        <v>1961</v>
      </c>
      <c r="C798" s="1" t="s">
        <v>1962</v>
      </c>
      <c r="D798" s="1" t="s">
        <v>363</v>
      </c>
      <c r="E798" s="1">
        <v>85225</v>
      </c>
      <c r="F798" s="1" t="s">
        <v>1963</v>
      </c>
      <c r="G798" s="1" t="s">
        <v>1829</v>
      </c>
      <c r="H798" s="21" t="s">
        <v>5659</v>
      </c>
      <c r="I798" s="5" t="s">
        <v>30</v>
      </c>
      <c r="J798" s="5" t="s">
        <v>32</v>
      </c>
      <c r="K798" s="5" t="s">
        <v>31</v>
      </c>
      <c r="L798" s="5" t="s">
        <v>32</v>
      </c>
      <c r="M798" s="5" t="s">
        <v>31</v>
      </c>
      <c r="N798" s="5" t="s">
        <v>31</v>
      </c>
      <c r="O798" s="5" t="s">
        <v>32</v>
      </c>
      <c r="P798" s="5" t="s">
        <v>33</v>
      </c>
      <c r="Q798" s="2">
        <v>45965</v>
      </c>
      <c r="V798" s="45">
        <f>IF(OR(ISNUMBER(SEARCH("unable to locate acct",G798)),ISNUMBER(SEARCH("unknown",G798)),ISNUMBER(SEARCH("inactive",G798)),H798=""),0,1)</f>
        <v>1</v>
      </c>
    </row>
    <row r="799" spans="1:22" hidden="1">
      <c r="A799" s="2">
        <v>45905</v>
      </c>
      <c r="B799" s="1" t="s">
        <v>1964</v>
      </c>
      <c r="C799" s="1" t="s">
        <v>1965</v>
      </c>
      <c r="D799" s="1" t="s">
        <v>196</v>
      </c>
      <c r="E799" s="1">
        <v>85383</v>
      </c>
      <c r="F799" s="1" t="s">
        <v>304</v>
      </c>
      <c r="G799" s="1" t="s">
        <v>1829</v>
      </c>
      <c r="H799" s="21" t="s">
        <v>5660</v>
      </c>
      <c r="I799" s="5" t="s">
        <v>30</v>
      </c>
      <c r="J799" s="5" t="s">
        <v>31</v>
      </c>
      <c r="K799" s="5" t="s">
        <v>31</v>
      </c>
      <c r="L799" s="5" t="s">
        <v>32</v>
      </c>
      <c r="M799" s="5" t="s">
        <v>31</v>
      </c>
      <c r="N799" s="5" t="s">
        <v>31</v>
      </c>
      <c r="O799" s="5" t="s">
        <v>32</v>
      </c>
      <c r="P799" s="5" t="s">
        <v>33</v>
      </c>
      <c r="Q799" s="2">
        <v>45965</v>
      </c>
      <c r="V799" s="45">
        <f>IF(OR(ISNUMBER(SEARCH("unable to locate acct",G799)),ISNUMBER(SEARCH("unknown",G799)),ISNUMBER(SEARCH("inactive",G799)),H799=""),0,1)</f>
        <v>1</v>
      </c>
    </row>
    <row r="800" spans="1:22" hidden="1">
      <c r="A800" s="2">
        <v>45905</v>
      </c>
      <c r="B800" s="1" t="s">
        <v>1966</v>
      </c>
      <c r="C800" s="1" t="s">
        <v>1865</v>
      </c>
      <c r="D800" s="1" t="s">
        <v>130</v>
      </c>
      <c r="E800" s="1">
        <v>85377</v>
      </c>
      <c r="F800" s="1" t="s">
        <v>1967</v>
      </c>
      <c r="G800" s="1" t="s">
        <v>1829</v>
      </c>
      <c r="H800" s="4" t="s">
        <v>4999</v>
      </c>
      <c r="I800" s="5" t="s">
        <v>190</v>
      </c>
      <c r="J800" s="5" t="s">
        <v>31</v>
      </c>
      <c r="K800" s="5" t="s">
        <v>31</v>
      </c>
      <c r="L800" s="7" t="s">
        <v>1968</v>
      </c>
      <c r="M800" s="5" t="s">
        <v>31</v>
      </c>
      <c r="N800" s="5" t="s">
        <v>31</v>
      </c>
      <c r="O800" s="5" t="s">
        <v>32</v>
      </c>
      <c r="P800" s="2">
        <v>45937</v>
      </c>
      <c r="Q800" s="2">
        <v>45965</v>
      </c>
      <c r="R800" s="1" t="s">
        <v>1969</v>
      </c>
      <c r="V800" s="45">
        <f>IF(OR(ISNUMBER(SEARCH("unable to locate acct",G800)),ISNUMBER(SEARCH("unknown",G800)),ISNUMBER(SEARCH("inactive",G800)),H800=""),0,1)</f>
        <v>1</v>
      </c>
    </row>
    <row r="801" spans="1:22" hidden="1">
      <c r="A801" s="2">
        <v>45905</v>
      </c>
      <c r="B801" s="1" t="s">
        <v>1970</v>
      </c>
      <c r="C801" s="1" t="s">
        <v>1971</v>
      </c>
      <c r="D801" s="1" t="s">
        <v>57</v>
      </c>
      <c r="E801" s="1">
        <v>85006</v>
      </c>
      <c r="F801" s="1" t="s">
        <v>1972</v>
      </c>
      <c r="G801" s="1" t="s">
        <v>1829</v>
      </c>
      <c r="H801" s="4" t="s">
        <v>5247</v>
      </c>
      <c r="I801" s="5" t="s">
        <v>67</v>
      </c>
      <c r="J801" s="5" t="s">
        <v>31</v>
      </c>
      <c r="K801" s="5" t="s">
        <v>31</v>
      </c>
      <c r="L801" s="5" t="s">
        <v>32</v>
      </c>
      <c r="M801" s="5" t="s">
        <v>31</v>
      </c>
      <c r="N801" s="5" t="s">
        <v>31</v>
      </c>
      <c r="O801" s="5" t="s">
        <v>32</v>
      </c>
      <c r="P801" s="5" t="s">
        <v>33</v>
      </c>
      <c r="Q801" s="2">
        <v>45965</v>
      </c>
      <c r="V801" s="45">
        <f>IF(OR(ISNUMBER(SEARCH("unable to locate acct",G801)),ISNUMBER(SEARCH("unknown",G801)),ISNUMBER(SEARCH("inactive",G801)),H801=""),0,1)</f>
        <v>1</v>
      </c>
    </row>
    <row r="802" spans="1:22" hidden="1">
      <c r="A802" s="2">
        <v>45905</v>
      </c>
      <c r="B802" s="1" t="s">
        <v>1973</v>
      </c>
      <c r="C802" s="1" t="s">
        <v>1974</v>
      </c>
      <c r="D802" s="1" t="s">
        <v>626</v>
      </c>
      <c r="E802" s="1">
        <v>85281</v>
      </c>
      <c r="F802" s="1" t="s">
        <v>304</v>
      </c>
      <c r="G802" s="1" t="s">
        <v>1829</v>
      </c>
      <c r="H802" s="4" t="s">
        <v>5000</v>
      </c>
      <c r="I802" s="5" t="s">
        <v>120</v>
      </c>
      <c r="J802" s="5" t="s">
        <v>31</v>
      </c>
      <c r="K802" s="5" t="s">
        <v>31</v>
      </c>
      <c r="L802" s="5" t="s">
        <v>1975</v>
      </c>
      <c r="M802" s="5" t="s">
        <v>31</v>
      </c>
      <c r="N802" s="5" t="s">
        <v>31</v>
      </c>
      <c r="O802" s="5" t="s">
        <v>32</v>
      </c>
      <c r="P802" s="5" t="s">
        <v>33</v>
      </c>
      <c r="Q802" s="2">
        <v>45965</v>
      </c>
      <c r="V802" s="45">
        <f>IF(OR(ISNUMBER(SEARCH("unable to locate acct",G802)),ISNUMBER(SEARCH("unknown",G802)),ISNUMBER(SEARCH("inactive",G802)),H802=""),0,1)</f>
        <v>1</v>
      </c>
    </row>
    <row r="803" spans="1:22" hidden="1">
      <c r="A803" s="2">
        <v>45905</v>
      </c>
      <c r="B803" s="1" t="s">
        <v>1976</v>
      </c>
      <c r="C803" s="1" t="s">
        <v>1977</v>
      </c>
      <c r="D803" s="1" t="s">
        <v>57</v>
      </c>
      <c r="E803" s="1">
        <v>85032</v>
      </c>
      <c r="F803" s="1" t="s">
        <v>1978</v>
      </c>
      <c r="G803" s="1" t="s">
        <v>1829</v>
      </c>
      <c r="H803" s="4" t="s">
        <v>21</v>
      </c>
      <c r="V803" s="45">
        <f>IF(OR(ISNUMBER(SEARCH("unable to locate acct",G803)),ISNUMBER(SEARCH("unknown",G803)),ISNUMBER(SEARCH("inactive",G803)),H803=""),0,1)</f>
        <v>1</v>
      </c>
    </row>
    <row r="804" spans="1:22" hidden="1">
      <c r="A804" s="2">
        <v>45905</v>
      </c>
      <c r="B804" s="1" t="s">
        <v>1979</v>
      </c>
      <c r="C804" s="1" t="s">
        <v>1980</v>
      </c>
      <c r="D804" s="1" t="s">
        <v>626</v>
      </c>
      <c r="E804" s="1">
        <v>85281</v>
      </c>
      <c r="F804" s="1" t="s">
        <v>304</v>
      </c>
      <c r="G804" s="1" t="s">
        <v>1829</v>
      </c>
      <c r="H804" s="4" t="s">
        <v>84</v>
      </c>
      <c r="V804" s="45">
        <f>IF(OR(ISNUMBER(SEARCH("unable to locate acct",G804)),ISNUMBER(SEARCH("unknown",G804)),ISNUMBER(SEARCH("inactive",G804)),H804=""),0,1)</f>
        <v>1</v>
      </c>
    </row>
    <row r="805" spans="1:22" hidden="1">
      <c r="A805" s="2">
        <v>45905</v>
      </c>
      <c r="B805" s="1" t="s">
        <v>1981</v>
      </c>
      <c r="C805" s="1" t="s">
        <v>1982</v>
      </c>
      <c r="D805" s="1" t="s">
        <v>168</v>
      </c>
      <c r="E805" s="1">
        <v>85326</v>
      </c>
      <c r="F805" s="1" t="s">
        <v>304</v>
      </c>
      <c r="G805" s="1" t="s">
        <v>1829</v>
      </c>
      <c r="H805" s="4" t="s">
        <v>5248</v>
      </c>
      <c r="I805" s="5" t="s">
        <v>532</v>
      </c>
      <c r="J805" s="5" t="s">
        <v>32</v>
      </c>
      <c r="K805" s="5" t="s">
        <v>31</v>
      </c>
      <c r="L805" s="5" t="s">
        <v>381</v>
      </c>
      <c r="M805" s="5" t="s">
        <v>31</v>
      </c>
      <c r="N805" s="5" t="s">
        <v>31</v>
      </c>
      <c r="O805" s="5" t="s">
        <v>32</v>
      </c>
      <c r="P805" s="5" t="s">
        <v>33</v>
      </c>
      <c r="Q805" s="2">
        <v>45965</v>
      </c>
      <c r="V805" s="45">
        <f>IF(OR(ISNUMBER(SEARCH("unable to locate acct",G805)),ISNUMBER(SEARCH("unknown",G805)),ISNUMBER(SEARCH("inactive",G805)),H805=""),0,1)</f>
        <v>1</v>
      </c>
    </row>
    <row r="806" spans="1:22" hidden="1">
      <c r="A806" s="2">
        <v>45905</v>
      </c>
      <c r="B806" s="1" t="s">
        <v>1941</v>
      </c>
      <c r="C806" s="1" t="s">
        <v>1983</v>
      </c>
      <c r="D806" s="1" t="s">
        <v>57</v>
      </c>
      <c r="E806" s="1">
        <v>85024</v>
      </c>
      <c r="F806" s="1" t="s">
        <v>25</v>
      </c>
      <c r="G806" s="1" t="s">
        <v>1829</v>
      </c>
      <c r="H806" s="4" t="s">
        <v>5249</v>
      </c>
      <c r="I806" s="5" t="s">
        <v>30</v>
      </c>
      <c r="J806" s="5" t="s">
        <v>31</v>
      </c>
      <c r="K806" s="5" t="s">
        <v>31</v>
      </c>
      <c r="L806" s="5" t="s">
        <v>32</v>
      </c>
      <c r="M806" s="5" t="s">
        <v>31</v>
      </c>
      <c r="N806" s="5" t="s">
        <v>31</v>
      </c>
      <c r="O806" s="5" t="s">
        <v>32</v>
      </c>
      <c r="P806" s="5" t="s">
        <v>33</v>
      </c>
      <c r="Q806" s="2">
        <v>45965</v>
      </c>
      <c r="V806" s="45">
        <f>IF(OR(ISNUMBER(SEARCH("unable to locate acct",G806)),ISNUMBER(SEARCH("unknown",G806)),ISNUMBER(SEARCH("inactive",G806)),H806=""),0,1)</f>
        <v>1</v>
      </c>
    </row>
    <row r="807" spans="1:22" hidden="1">
      <c r="A807" s="2">
        <v>45905</v>
      </c>
      <c r="B807" s="1" t="s">
        <v>1984</v>
      </c>
      <c r="C807" s="1" t="s">
        <v>69</v>
      </c>
      <c r="D807" s="1" t="s">
        <v>57</v>
      </c>
      <c r="E807" s="1">
        <v>85012</v>
      </c>
      <c r="F807" s="1" t="s">
        <v>304</v>
      </c>
      <c r="G807" s="1" t="s">
        <v>1829</v>
      </c>
      <c r="H807" s="21" t="s">
        <v>5661</v>
      </c>
      <c r="I807" s="5" t="s">
        <v>67</v>
      </c>
      <c r="J807" s="5" t="s">
        <v>31</v>
      </c>
      <c r="K807" s="5" t="s">
        <v>31</v>
      </c>
      <c r="L807" s="5" t="s">
        <v>393</v>
      </c>
      <c r="M807" s="5" t="s">
        <v>31</v>
      </c>
      <c r="N807" s="5" t="s">
        <v>31</v>
      </c>
      <c r="O807" s="5" t="s">
        <v>32</v>
      </c>
      <c r="P807" s="5" t="s">
        <v>33</v>
      </c>
      <c r="Q807" s="2">
        <v>38660</v>
      </c>
      <c r="R807" s="1" t="s">
        <v>1985</v>
      </c>
      <c r="V807" s="45">
        <f>IF(OR(ISNUMBER(SEARCH("unable to locate acct",G807)),ISNUMBER(SEARCH("unknown",G807)),ISNUMBER(SEARCH("inactive",G807)),H807=""),0,1)</f>
        <v>1</v>
      </c>
    </row>
    <row r="808" spans="1:22" hidden="1">
      <c r="A808" s="2">
        <v>45905</v>
      </c>
      <c r="B808" s="1" t="s">
        <v>1986</v>
      </c>
      <c r="C808" s="1" t="s">
        <v>1987</v>
      </c>
      <c r="D808" s="1" t="s">
        <v>57</v>
      </c>
      <c r="E808" s="1">
        <v>85008</v>
      </c>
      <c r="F808" s="1" t="s">
        <v>25</v>
      </c>
      <c r="G808" s="1" t="s">
        <v>1829</v>
      </c>
      <c r="H808" s="4" t="s">
        <v>5001</v>
      </c>
      <c r="I808" s="5" t="s">
        <v>190</v>
      </c>
      <c r="J808" s="5" t="s">
        <v>31</v>
      </c>
      <c r="K808" s="5" t="s">
        <v>31</v>
      </c>
      <c r="L808" s="7" t="s">
        <v>1988</v>
      </c>
      <c r="M808" s="5" t="s">
        <v>31</v>
      </c>
      <c r="N808" s="5" t="s">
        <v>31</v>
      </c>
      <c r="O808" s="5" t="s">
        <v>32</v>
      </c>
      <c r="P808" s="2">
        <v>45937</v>
      </c>
      <c r="Q808" s="2">
        <v>45965</v>
      </c>
      <c r="R808" s="1" t="s">
        <v>1989</v>
      </c>
      <c r="V808" s="45">
        <f>IF(OR(ISNUMBER(SEARCH("unable to locate acct",G808)),ISNUMBER(SEARCH("unknown",G808)),ISNUMBER(SEARCH("inactive",G808)),H808=""),0,1)</f>
        <v>1</v>
      </c>
    </row>
    <row r="809" spans="1:22" hidden="1">
      <c r="A809" s="2">
        <v>45905</v>
      </c>
      <c r="B809" s="1" t="s">
        <v>1990</v>
      </c>
      <c r="C809" s="1" t="s">
        <v>1991</v>
      </c>
      <c r="D809" s="1" t="s">
        <v>57</v>
      </c>
      <c r="E809" s="1">
        <v>85027</v>
      </c>
      <c r="F809" s="1" t="s">
        <v>304</v>
      </c>
      <c r="G809" s="1" t="s">
        <v>1829</v>
      </c>
      <c r="H809" s="21" t="s">
        <v>5662</v>
      </c>
      <c r="I809" s="5" t="s">
        <v>532</v>
      </c>
      <c r="J809" s="5" t="s">
        <v>31</v>
      </c>
      <c r="K809" s="5" t="s">
        <v>31</v>
      </c>
      <c r="L809" s="5" t="s">
        <v>381</v>
      </c>
      <c r="M809" s="5" t="s">
        <v>31</v>
      </c>
      <c r="N809" s="5" t="s">
        <v>31</v>
      </c>
      <c r="O809" s="5" t="s">
        <v>32</v>
      </c>
      <c r="P809" s="5" t="s">
        <v>33</v>
      </c>
      <c r="Q809" s="2">
        <v>45965</v>
      </c>
      <c r="V809" s="45">
        <f>IF(OR(ISNUMBER(SEARCH("unable to locate acct",G809)),ISNUMBER(SEARCH("unknown",G809)),ISNUMBER(SEARCH("inactive",G809)),H809=""),0,1)</f>
        <v>1</v>
      </c>
    </row>
    <row r="810" spans="1:22" hidden="1">
      <c r="A810" s="2">
        <v>45905</v>
      </c>
      <c r="B810" s="1" t="s">
        <v>1992</v>
      </c>
      <c r="C810" s="1" t="s">
        <v>1890</v>
      </c>
      <c r="D810" s="1" t="s">
        <v>24</v>
      </c>
      <c r="E810" s="23" t="s">
        <v>24</v>
      </c>
      <c r="F810" s="1" t="s">
        <v>1993</v>
      </c>
      <c r="G810" s="1" t="s">
        <v>1829</v>
      </c>
      <c r="H810" s="4" t="s">
        <v>5250</v>
      </c>
      <c r="I810" s="5" t="s">
        <v>120</v>
      </c>
      <c r="J810" s="5" t="s">
        <v>31</v>
      </c>
      <c r="K810" s="5" t="s">
        <v>31</v>
      </c>
      <c r="L810" s="5" t="s">
        <v>32</v>
      </c>
      <c r="M810" s="5" t="s">
        <v>31</v>
      </c>
      <c r="N810" s="5" t="s">
        <v>31</v>
      </c>
      <c r="O810" s="5" t="s">
        <v>32</v>
      </c>
      <c r="P810" s="5" t="s">
        <v>33</v>
      </c>
      <c r="Q810" s="2">
        <v>45965</v>
      </c>
      <c r="V810" s="45">
        <f>IF(OR(ISNUMBER(SEARCH("unable to locate acct",G810)),ISNUMBER(SEARCH("unknown",G810)),ISNUMBER(SEARCH("inactive",G810)),H810=""),0,1)</f>
        <v>1</v>
      </c>
    </row>
    <row r="811" spans="1:22" hidden="1">
      <c r="A811" s="14">
        <v>45905</v>
      </c>
      <c r="B811" s="24" t="s">
        <v>1994</v>
      </c>
      <c r="C811" s="24" t="s">
        <v>1995</v>
      </c>
      <c r="D811" s="24" t="s">
        <v>1996</v>
      </c>
      <c r="E811" s="24">
        <v>86335</v>
      </c>
      <c r="F811" s="24" t="s">
        <v>25</v>
      </c>
      <c r="G811" s="25" t="s">
        <v>1997</v>
      </c>
      <c r="H811" s="4" t="s">
        <v>21</v>
      </c>
      <c r="V811" s="45">
        <f>IF(OR(ISNUMBER(SEARCH("unable to locate acct",G811)),ISNUMBER(SEARCH("unknown",G811)),ISNUMBER(SEARCH("inactive",G811)),H811=""),0,1)</f>
        <v>1</v>
      </c>
    </row>
    <row r="812" spans="1:22" hidden="1">
      <c r="A812" s="2">
        <v>45905</v>
      </c>
      <c r="B812" s="1" t="s">
        <v>738</v>
      </c>
      <c r="C812" s="1" t="s">
        <v>1705</v>
      </c>
      <c r="D812" s="1" t="s">
        <v>24</v>
      </c>
      <c r="E812" s="1" t="s">
        <v>24</v>
      </c>
      <c r="F812" s="1" t="s">
        <v>25</v>
      </c>
      <c r="G812" s="1" t="s">
        <v>1829</v>
      </c>
      <c r="H812" s="4" t="s">
        <v>203</v>
      </c>
      <c r="V812" s="45">
        <f>IF(OR(ISNUMBER(SEARCH("unable to locate acct",G812)),ISNUMBER(SEARCH("unknown",G812)),ISNUMBER(SEARCH("inactive",G812)),H812=""),0,1)</f>
        <v>1</v>
      </c>
    </row>
    <row r="813" spans="1:22" hidden="1">
      <c r="A813" s="2">
        <v>45906</v>
      </c>
      <c r="B813" s="1" t="s">
        <v>1998</v>
      </c>
      <c r="C813" s="1" t="s">
        <v>846</v>
      </c>
      <c r="D813" s="1" t="s">
        <v>106</v>
      </c>
      <c r="E813" s="1">
        <v>85388</v>
      </c>
      <c r="F813" s="1" t="s">
        <v>304</v>
      </c>
      <c r="G813" s="1" t="s">
        <v>1999</v>
      </c>
      <c r="H813" s="4" t="s">
        <v>21</v>
      </c>
      <c r="V813" s="45">
        <f>IF(OR(ISNUMBER(SEARCH("unable to locate acct",G813)),ISNUMBER(SEARCH("unknown",G813)),ISNUMBER(SEARCH("inactive",G813)),H813=""),0,1)</f>
        <v>1</v>
      </c>
    </row>
    <row r="814" spans="1:22" hidden="1">
      <c r="A814" s="2">
        <v>45906</v>
      </c>
      <c r="B814" s="1" t="s">
        <v>2000</v>
      </c>
      <c r="C814" s="1" t="s">
        <v>541</v>
      </c>
      <c r="D814" s="1" t="s">
        <v>57</v>
      </c>
      <c r="E814" s="1">
        <v>85004</v>
      </c>
      <c r="F814" s="1" t="s">
        <v>2001</v>
      </c>
      <c r="G814" s="1" t="s">
        <v>1999</v>
      </c>
      <c r="H814" s="4" t="s">
        <v>5251</v>
      </c>
      <c r="I814" s="5" t="s">
        <v>30</v>
      </c>
      <c r="J814" s="5" t="s">
        <v>31</v>
      </c>
      <c r="K814" s="5" t="s">
        <v>31</v>
      </c>
      <c r="L814" s="5" t="s">
        <v>32</v>
      </c>
      <c r="M814" s="5" t="s">
        <v>31</v>
      </c>
      <c r="N814" s="5" t="s">
        <v>31</v>
      </c>
      <c r="O814" s="5" t="s">
        <v>32</v>
      </c>
      <c r="P814" s="5" t="s">
        <v>33</v>
      </c>
      <c r="Q814" s="2">
        <v>45965</v>
      </c>
      <c r="V814" s="45">
        <f>IF(OR(ISNUMBER(SEARCH("unable to locate acct",G814)),ISNUMBER(SEARCH("unknown",G814)),ISNUMBER(SEARCH("inactive",G814)),H814=""),0,1)</f>
        <v>1</v>
      </c>
    </row>
    <row r="815" spans="1:22" hidden="1">
      <c r="A815" s="2">
        <v>45906</v>
      </c>
      <c r="B815" s="1" t="s">
        <v>2002</v>
      </c>
      <c r="C815" s="1" t="s">
        <v>1818</v>
      </c>
      <c r="D815" s="1" t="s">
        <v>57</v>
      </c>
      <c r="E815" s="1">
        <v>85022</v>
      </c>
      <c r="F815" s="1" t="s">
        <v>304</v>
      </c>
      <c r="G815" s="1" t="s">
        <v>1999</v>
      </c>
      <c r="H815" s="4" t="s">
        <v>5002</v>
      </c>
      <c r="I815" s="5" t="s">
        <v>190</v>
      </c>
      <c r="J815" s="5" t="s">
        <v>31</v>
      </c>
      <c r="K815" s="5" t="s">
        <v>31</v>
      </c>
      <c r="L815" s="5" t="s">
        <v>2003</v>
      </c>
      <c r="M815" s="5" t="s">
        <v>31</v>
      </c>
      <c r="N815" s="5" t="s">
        <v>31</v>
      </c>
      <c r="O815" s="5" t="s">
        <v>32</v>
      </c>
      <c r="P815" s="5" t="s">
        <v>33</v>
      </c>
      <c r="Q815" s="2">
        <v>45965</v>
      </c>
      <c r="V815" s="45">
        <f>IF(OR(ISNUMBER(SEARCH("unable to locate acct",G815)),ISNUMBER(SEARCH("unknown",G815)),ISNUMBER(SEARCH("inactive",G815)),H815=""),0,1)</f>
        <v>1</v>
      </c>
    </row>
    <row r="816" spans="1:22" hidden="1">
      <c r="A816" s="2">
        <v>45906</v>
      </c>
      <c r="B816" s="1" t="s">
        <v>2004</v>
      </c>
      <c r="C816" s="1" t="s">
        <v>494</v>
      </c>
      <c r="D816" s="1" t="s">
        <v>119</v>
      </c>
      <c r="E816" s="1">
        <v>85260</v>
      </c>
      <c r="F816" s="1" t="s">
        <v>304</v>
      </c>
      <c r="G816" s="1" t="s">
        <v>1999</v>
      </c>
      <c r="H816" s="4" t="s">
        <v>5252</v>
      </c>
      <c r="I816" s="5" t="s">
        <v>30</v>
      </c>
      <c r="J816" s="5" t="s">
        <v>31</v>
      </c>
      <c r="K816" s="5" t="s">
        <v>31</v>
      </c>
      <c r="L816" s="5" t="s">
        <v>32</v>
      </c>
      <c r="M816" s="5" t="s">
        <v>31</v>
      </c>
      <c r="N816" s="5" t="s">
        <v>31</v>
      </c>
      <c r="O816" s="5" t="s">
        <v>32</v>
      </c>
      <c r="P816" s="5" t="s">
        <v>33</v>
      </c>
      <c r="Q816" s="2">
        <v>45965</v>
      </c>
      <c r="V816" s="45">
        <f>IF(OR(ISNUMBER(SEARCH("unable to locate acct",G816)),ISNUMBER(SEARCH("unknown",G816)),ISNUMBER(SEARCH("inactive",G816)),H816=""),0,1)</f>
        <v>1</v>
      </c>
    </row>
    <row r="817" spans="1:22" hidden="1">
      <c r="A817" s="2">
        <v>45906</v>
      </c>
      <c r="B817" s="1" t="s">
        <v>2005</v>
      </c>
      <c r="C817" s="1" t="s">
        <v>1980</v>
      </c>
      <c r="D817" s="1" t="s">
        <v>57</v>
      </c>
      <c r="E817" s="1">
        <v>85016</v>
      </c>
      <c r="F817" s="1" t="s">
        <v>2006</v>
      </c>
      <c r="G817" s="1" t="s">
        <v>1999</v>
      </c>
      <c r="H817" s="4" t="s">
        <v>5253</v>
      </c>
      <c r="I817" s="5" t="s">
        <v>120</v>
      </c>
      <c r="J817" s="5" t="s">
        <v>31</v>
      </c>
      <c r="K817" s="5" t="s">
        <v>31</v>
      </c>
      <c r="L817" s="5" t="s">
        <v>32</v>
      </c>
      <c r="M817" s="5" t="s">
        <v>31</v>
      </c>
      <c r="N817" s="5" t="s">
        <v>31</v>
      </c>
      <c r="O817" s="5" t="s">
        <v>32</v>
      </c>
      <c r="P817" s="5" t="s">
        <v>33</v>
      </c>
      <c r="Q817" s="2">
        <v>45965</v>
      </c>
      <c r="V817" s="45">
        <f>IF(OR(ISNUMBER(SEARCH("unable to locate acct",G817)),ISNUMBER(SEARCH("unknown",G817)),ISNUMBER(SEARCH("inactive",G817)),H817=""),0,1)</f>
        <v>1</v>
      </c>
    </row>
    <row r="818" spans="1:22" hidden="1">
      <c r="A818" s="2">
        <v>45906</v>
      </c>
      <c r="B818" s="1" t="s">
        <v>2007</v>
      </c>
      <c r="C818" s="1" t="s">
        <v>2008</v>
      </c>
      <c r="D818" s="1" t="s">
        <v>847</v>
      </c>
      <c r="E818" s="1">
        <v>85086</v>
      </c>
      <c r="F818" s="1" t="s">
        <v>2009</v>
      </c>
      <c r="G818" s="1" t="s">
        <v>1999</v>
      </c>
      <c r="H818" s="4" t="s">
        <v>21</v>
      </c>
      <c r="V818" s="45">
        <f>IF(OR(ISNUMBER(SEARCH("unable to locate acct",G818)),ISNUMBER(SEARCH("unknown",G818)),ISNUMBER(SEARCH("inactive",G818)),H818=""),0,1)</f>
        <v>1</v>
      </c>
    </row>
    <row r="819" spans="1:22" hidden="1">
      <c r="A819" s="2">
        <v>45906</v>
      </c>
      <c r="B819" s="1" t="s">
        <v>2010</v>
      </c>
      <c r="C819" s="1" t="s">
        <v>2011</v>
      </c>
      <c r="D819" s="1" t="s">
        <v>57</v>
      </c>
      <c r="E819" s="1">
        <v>37204</v>
      </c>
      <c r="F819" s="1" t="s">
        <v>2012</v>
      </c>
      <c r="G819" s="1" t="s">
        <v>1999</v>
      </c>
      <c r="H819" s="4" t="s">
        <v>5254</v>
      </c>
      <c r="I819" s="5" t="s">
        <v>532</v>
      </c>
      <c r="J819" s="5" t="s">
        <v>31</v>
      </c>
      <c r="K819" s="5" t="s">
        <v>31</v>
      </c>
      <c r="L819" s="5" t="s">
        <v>381</v>
      </c>
      <c r="M819" s="5" t="s">
        <v>31</v>
      </c>
      <c r="N819" s="5" t="s">
        <v>31</v>
      </c>
      <c r="O819" s="5" t="s">
        <v>32</v>
      </c>
      <c r="P819" s="5" t="s">
        <v>33</v>
      </c>
      <c r="Q819" s="2">
        <v>45965</v>
      </c>
      <c r="U819" s="1" t="s">
        <v>715</v>
      </c>
      <c r="V819" s="45">
        <f>IF(OR(ISNUMBER(SEARCH("unable to locate acct",G819)),ISNUMBER(SEARCH("unknown",G819)),ISNUMBER(SEARCH("inactive",G819)),H819=""),0,1)</f>
        <v>1</v>
      </c>
    </row>
    <row r="820" spans="1:22" hidden="1">
      <c r="A820" s="2">
        <v>45906</v>
      </c>
      <c r="B820" s="1" t="s">
        <v>2013</v>
      </c>
      <c r="C820" s="1" t="s">
        <v>240</v>
      </c>
      <c r="D820" s="1" t="s">
        <v>258</v>
      </c>
      <c r="E820" s="1">
        <v>85541</v>
      </c>
      <c r="F820" s="1" t="s">
        <v>2014</v>
      </c>
      <c r="G820" s="1" t="s">
        <v>1999</v>
      </c>
      <c r="H820" s="4" t="s">
        <v>5255</v>
      </c>
      <c r="I820" s="5" t="s">
        <v>30</v>
      </c>
      <c r="J820" s="5" t="s">
        <v>31</v>
      </c>
      <c r="K820" s="5" t="s">
        <v>31</v>
      </c>
      <c r="L820" s="5" t="s">
        <v>32</v>
      </c>
      <c r="M820" s="5" t="s">
        <v>31</v>
      </c>
      <c r="N820" s="5" t="s">
        <v>31</v>
      </c>
      <c r="O820" s="5" t="s">
        <v>32</v>
      </c>
      <c r="P820" s="5" t="s">
        <v>33</v>
      </c>
      <c r="Q820" s="2">
        <v>45965</v>
      </c>
      <c r="V820" s="45">
        <f>IF(OR(ISNUMBER(SEARCH("unable to locate acct",G820)),ISNUMBER(SEARCH("unknown",G820)),ISNUMBER(SEARCH("inactive",G820)),H820=""),0,1)</f>
        <v>1</v>
      </c>
    </row>
    <row r="821" spans="1:22" hidden="1">
      <c r="A821" s="2">
        <v>45906</v>
      </c>
      <c r="B821" s="1" t="s">
        <v>2015</v>
      </c>
      <c r="C821" s="1" t="s">
        <v>688</v>
      </c>
      <c r="D821" s="1" t="s">
        <v>1508</v>
      </c>
      <c r="E821" s="1">
        <v>85373</v>
      </c>
      <c r="F821" s="1" t="s">
        <v>2016</v>
      </c>
      <c r="G821" s="1" t="s">
        <v>1999</v>
      </c>
      <c r="H821" s="4" t="s">
        <v>5256</v>
      </c>
      <c r="I821" s="5" t="s">
        <v>40</v>
      </c>
      <c r="J821" s="5" t="s">
        <v>31</v>
      </c>
      <c r="K821" s="5" t="s">
        <v>31</v>
      </c>
      <c r="L821" s="5" t="s">
        <v>32</v>
      </c>
      <c r="M821" s="5" t="s">
        <v>31</v>
      </c>
      <c r="N821" s="5" t="s">
        <v>31</v>
      </c>
      <c r="O821" s="5" t="s">
        <v>32</v>
      </c>
      <c r="P821" s="5" t="s">
        <v>33</v>
      </c>
      <c r="Q821" s="2">
        <v>45965</v>
      </c>
      <c r="V821" s="45">
        <f>IF(OR(ISNUMBER(SEARCH("unable to locate acct",G821)),ISNUMBER(SEARCH("unknown",G821)),ISNUMBER(SEARCH("inactive",G821)),H821=""),0,1)</f>
        <v>1</v>
      </c>
    </row>
    <row r="822" spans="1:22" hidden="1">
      <c r="A822" s="2">
        <v>45906</v>
      </c>
      <c r="B822" s="1" t="s">
        <v>2017</v>
      </c>
      <c r="C822" s="1" t="s">
        <v>2018</v>
      </c>
      <c r="D822" s="1" t="s">
        <v>57</v>
      </c>
      <c r="E822" s="1">
        <v>85023</v>
      </c>
      <c r="F822" s="1" t="s">
        <v>304</v>
      </c>
      <c r="G822" s="1" t="s">
        <v>1999</v>
      </c>
      <c r="H822" s="4" t="s">
        <v>21</v>
      </c>
      <c r="V822" s="45">
        <f>IF(OR(ISNUMBER(SEARCH("unable to locate acct",G822)),ISNUMBER(SEARCH("unknown",G822)),ISNUMBER(SEARCH("inactive",G822)),H822=""),0,1)</f>
        <v>1</v>
      </c>
    </row>
    <row r="823" spans="1:22" hidden="1">
      <c r="A823" s="2">
        <v>45906</v>
      </c>
      <c r="B823" s="1" t="s">
        <v>2019</v>
      </c>
      <c r="C823" s="1" t="s">
        <v>2020</v>
      </c>
      <c r="D823" s="1" t="s">
        <v>57</v>
      </c>
      <c r="E823" s="1">
        <v>85029</v>
      </c>
      <c r="F823" s="1" t="s">
        <v>299</v>
      </c>
      <c r="G823" s="1" t="s">
        <v>1999</v>
      </c>
      <c r="H823" s="4" t="s">
        <v>5257</v>
      </c>
      <c r="I823" s="5" t="s">
        <v>120</v>
      </c>
      <c r="J823" s="5" t="s">
        <v>31</v>
      </c>
      <c r="K823" s="5" t="s">
        <v>31</v>
      </c>
      <c r="L823" s="5" t="s">
        <v>32</v>
      </c>
      <c r="M823" s="5" t="s">
        <v>31</v>
      </c>
      <c r="N823" s="5" t="s">
        <v>31</v>
      </c>
      <c r="O823" s="5" t="s">
        <v>32</v>
      </c>
      <c r="P823" s="5" t="s">
        <v>33</v>
      </c>
      <c r="Q823" s="2">
        <v>45965</v>
      </c>
      <c r="V823" s="45">
        <f>IF(OR(ISNUMBER(SEARCH("unable to locate acct",G823)),ISNUMBER(SEARCH("unknown",G823)),ISNUMBER(SEARCH("inactive",G823)),H823=""),0,1)</f>
        <v>1</v>
      </c>
    </row>
    <row r="824" spans="1:22" hidden="1">
      <c r="A824" s="2">
        <v>45906</v>
      </c>
      <c r="B824" s="1" t="s">
        <v>2021</v>
      </c>
      <c r="C824" s="1" t="s">
        <v>2022</v>
      </c>
      <c r="D824" s="1" t="s">
        <v>119</v>
      </c>
      <c r="E824" s="1">
        <v>85260</v>
      </c>
      <c r="F824" s="1" t="s">
        <v>25</v>
      </c>
      <c r="G824" s="1" t="s">
        <v>1999</v>
      </c>
      <c r="H824" s="4" t="s">
        <v>5003</v>
      </c>
      <c r="I824" s="5" t="s">
        <v>190</v>
      </c>
      <c r="J824" s="5" t="s">
        <v>31</v>
      </c>
      <c r="K824" s="5" t="s">
        <v>31</v>
      </c>
      <c r="L824" s="7" t="s">
        <v>2023</v>
      </c>
      <c r="M824" s="5" t="s">
        <v>31</v>
      </c>
      <c r="N824" s="5" t="s">
        <v>31</v>
      </c>
      <c r="O824" s="5" t="s">
        <v>32</v>
      </c>
      <c r="P824" s="2">
        <v>45964</v>
      </c>
      <c r="Q824" s="2">
        <v>45965</v>
      </c>
      <c r="R824" s="1" t="s">
        <v>2024</v>
      </c>
      <c r="V824" s="45">
        <f>IF(OR(ISNUMBER(SEARCH("unable to locate acct",G824)),ISNUMBER(SEARCH("unknown",G824)),ISNUMBER(SEARCH("inactive",G824)),H824=""),0,1)</f>
        <v>1</v>
      </c>
    </row>
    <row r="825" spans="1:22" hidden="1">
      <c r="A825" s="2">
        <v>45906</v>
      </c>
      <c r="B825" s="1" t="s">
        <v>2025</v>
      </c>
      <c r="C825" s="1" t="s">
        <v>2026</v>
      </c>
      <c r="D825" s="1" t="s">
        <v>163</v>
      </c>
      <c r="E825" s="1">
        <v>85338</v>
      </c>
      <c r="F825" s="1" t="s">
        <v>304</v>
      </c>
      <c r="G825" s="1" t="s">
        <v>1999</v>
      </c>
      <c r="H825" s="4" t="s">
        <v>21</v>
      </c>
      <c r="V825" s="45">
        <f>IF(OR(ISNUMBER(SEARCH("unable to locate acct",G825)),ISNUMBER(SEARCH("unknown",G825)),ISNUMBER(SEARCH("inactive",G825)),H825=""),0,1)</f>
        <v>1</v>
      </c>
    </row>
    <row r="826" spans="1:22" hidden="1">
      <c r="A826" s="2">
        <v>45906</v>
      </c>
      <c r="B826" s="1" t="s">
        <v>2027</v>
      </c>
      <c r="C826" s="1" t="s">
        <v>327</v>
      </c>
      <c r="D826" s="1" t="s">
        <v>57</v>
      </c>
      <c r="E826" s="1">
        <v>85012</v>
      </c>
      <c r="F826" s="1" t="s">
        <v>304</v>
      </c>
      <c r="G826" s="1" t="s">
        <v>1999</v>
      </c>
      <c r="H826" s="4" t="s">
        <v>5258</v>
      </c>
      <c r="I826" s="5" t="s">
        <v>67</v>
      </c>
      <c r="J826" s="5" t="s">
        <v>31</v>
      </c>
      <c r="K826" s="5" t="s">
        <v>31</v>
      </c>
      <c r="L826" s="5" t="s">
        <v>32</v>
      </c>
      <c r="M826" s="5" t="s">
        <v>31</v>
      </c>
      <c r="N826" s="5" t="s">
        <v>31</v>
      </c>
      <c r="O826" s="5" t="s">
        <v>32</v>
      </c>
      <c r="P826" s="5" t="s">
        <v>33</v>
      </c>
      <c r="Q826" s="2">
        <v>45965</v>
      </c>
      <c r="V826" s="45">
        <f>IF(OR(ISNUMBER(SEARCH("unable to locate acct",G826)),ISNUMBER(SEARCH("unknown",G826)),ISNUMBER(SEARCH("inactive",G826)),H826=""),0,1)</f>
        <v>1</v>
      </c>
    </row>
    <row r="827" spans="1:22" hidden="1">
      <c r="A827" s="2">
        <v>45906</v>
      </c>
      <c r="B827" s="1" t="s">
        <v>2028</v>
      </c>
      <c r="C827" s="1" t="s">
        <v>2029</v>
      </c>
      <c r="D827" s="1" t="s">
        <v>119</v>
      </c>
      <c r="E827" s="1">
        <v>85251</v>
      </c>
      <c r="F827" s="1" t="s">
        <v>2030</v>
      </c>
      <c r="G827" s="26" t="s">
        <v>1999</v>
      </c>
      <c r="H827" s="4" t="s">
        <v>5259</v>
      </c>
      <c r="I827" s="5" t="s">
        <v>30</v>
      </c>
      <c r="J827" s="5" t="s">
        <v>31</v>
      </c>
      <c r="K827" s="5" t="s">
        <v>31</v>
      </c>
      <c r="L827" s="5" t="s">
        <v>32</v>
      </c>
      <c r="M827" s="5" t="s">
        <v>31</v>
      </c>
      <c r="N827" s="5" t="s">
        <v>31</v>
      </c>
      <c r="O827" s="5" t="s">
        <v>32</v>
      </c>
      <c r="P827" s="5" t="s">
        <v>33</v>
      </c>
      <c r="Q827" s="2">
        <v>45965</v>
      </c>
      <c r="V827" s="45">
        <f>IF(OR(ISNUMBER(SEARCH("unable to locate acct",G827)),ISNUMBER(SEARCH("unknown",G827)),ISNUMBER(SEARCH("inactive",G827)),H827=""),0,1)</f>
        <v>1</v>
      </c>
    </row>
    <row r="828" spans="1:22" hidden="1">
      <c r="A828" s="2">
        <v>45906</v>
      </c>
      <c r="B828" s="1" t="s">
        <v>1070</v>
      </c>
      <c r="C828" s="1" t="s">
        <v>456</v>
      </c>
      <c r="D828" s="1" t="s">
        <v>57</v>
      </c>
      <c r="E828" s="1">
        <v>85022</v>
      </c>
      <c r="F828" s="1" t="s">
        <v>2031</v>
      </c>
      <c r="G828" s="1" t="s">
        <v>1999</v>
      </c>
      <c r="H828" s="4" t="s">
        <v>21</v>
      </c>
      <c r="V828" s="45">
        <f>IF(OR(ISNUMBER(SEARCH("unable to locate acct",G828)),ISNUMBER(SEARCH("unknown",G828)),ISNUMBER(SEARCH("inactive",G828)),H828=""),0,1)</f>
        <v>1</v>
      </c>
    </row>
    <row r="829" spans="1:22" hidden="1">
      <c r="A829" s="2">
        <v>45906</v>
      </c>
      <c r="B829" s="1" t="s">
        <v>2032</v>
      </c>
      <c r="C829" s="1" t="s">
        <v>348</v>
      </c>
      <c r="D829" s="1" t="s">
        <v>18</v>
      </c>
      <c r="E829" s="1">
        <v>85310</v>
      </c>
      <c r="F829" s="1" t="s">
        <v>2033</v>
      </c>
      <c r="G829" s="1" t="s">
        <v>1999</v>
      </c>
      <c r="H829" s="4" t="s">
        <v>5260</v>
      </c>
      <c r="I829" s="5" t="s">
        <v>120</v>
      </c>
      <c r="J829" s="5" t="s">
        <v>31</v>
      </c>
      <c r="K829" s="5" t="s">
        <v>31</v>
      </c>
      <c r="L829" s="5" t="s">
        <v>32</v>
      </c>
      <c r="M829" s="5" t="s">
        <v>31</v>
      </c>
      <c r="N829" s="5" t="s">
        <v>31</v>
      </c>
      <c r="O829" s="5" t="s">
        <v>32</v>
      </c>
      <c r="P829" s="5" t="s">
        <v>33</v>
      </c>
      <c r="Q829" s="2">
        <v>45965</v>
      </c>
      <c r="V829" s="45">
        <f>IF(OR(ISNUMBER(SEARCH("unable to locate acct",G829)),ISNUMBER(SEARCH("unknown",G829)),ISNUMBER(SEARCH("inactive",G829)),H829=""),0,1)</f>
        <v>1</v>
      </c>
    </row>
    <row r="830" spans="1:22" hidden="1">
      <c r="A830" s="2">
        <v>45906</v>
      </c>
      <c r="B830" s="1" t="s">
        <v>2034</v>
      </c>
      <c r="C830" s="1" t="s">
        <v>2035</v>
      </c>
      <c r="D830" s="1" t="s">
        <v>57</v>
      </c>
      <c r="E830" s="1">
        <v>85027</v>
      </c>
      <c r="F830" s="1" t="s">
        <v>304</v>
      </c>
      <c r="G830" s="1" t="s">
        <v>1999</v>
      </c>
      <c r="H830" s="4" t="s">
        <v>21</v>
      </c>
      <c r="V830" s="45">
        <f>IF(OR(ISNUMBER(SEARCH("unable to locate acct",G830)),ISNUMBER(SEARCH("unknown",G830)),ISNUMBER(SEARCH("inactive",G830)),H830=""),0,1)</f>
        <v>1</v>
      </c>
    </row>
    <row r="831" spans="1:22" hidden="1">
      <c r="A831" s="2">
        <v>45906</v>
      </c>
      <c r="B831" s="1" t="s">
        <v>2036</v>
      </c>
      <c r="C831" s="1" t="s">
        <v>419</v>
      </c>
      <c r="D831" s="1" t="s">
        <v>18</v>
      </c>
      <c r="E831" s="1">
        <v>85308</v>
      </c>
      <c r="F831" s="1" t="s">
        <v>2037</v>
      </c>
      <c r="G831" s="1" t="s">
        <v>1999</v>
      </c>
      <c r="H831" s="4" t="s">
        <v>5261</v>
      </c>
      <c r="I831" s="5" t="s">
        <v>30</v>
      </c>
      <c r="J831" s="5" t="s">
        <v>31</v>
      </c>
      <c r="K831" s="5" t="s">
        <v>31</v>
      </c>
      <c r="L831" s="5" t="s">
        <v>32</v>
      </c>
      <c r="M831" s="5" t="s">
        <v>31</v>
      </c>
      <c r="N831" s="5" t="s">
        <v>31</v>
      </c>
      <c r="O831" s="5" t="s">
        <v>32</v>
      </c>
      <c r="P831" s="5" t="s">
        <v>33</v>
      </c>
      <c r="Q831" s="2">
        <v>45965</v>
      </c>
      <c r="V831" s="45">
        <f>IF(OR(ISNUMBER(SEARCH("unable to locate acct",G831)),ISNUMBER(SEARCH("unknown",G831)),ISNUMBER(SEARCH("inactive",G831)),H831=""),0,1)</f>
        <v>1</v>
      </c>
    </row>
    <row r="832" spans="1:22" hidden="1">
      <c r="A832" s="2">
        <v>45906</v>
      </c>
      <c r="B832" s="1" t="s">
        <v>2038</v>
      </c>
      <c r="C832" s="1" t="s">
        <v>708</v>
      </c>
      <c r="D832" s="1" t="s">
        <v>24</v>
      </c>
      <c r="E832" s="1" t="s">
        <v>24</v>
      </c>
      <c r="F832" s="1" t="s">
        <v>2039</v>
      </c>
      <c r="G832" s="1" t="s">
        <v>1999</v>
      </c>
      <c r="H832" s="4" t="s">
        <v>2461</v>
      </c>
      <c r="I832" s="5" t="s">
        <v>120</v>
      </c>
      <c r="J832" s="5" t="s">
        <v>31</v>
      </c>
      <c r="K832" s="5" t="s">
        <v>31</v>
      </c>
      <c r="L832" s="5" t="s">
        <v>2040</v>
      </c>
      <c r="M832" s="5" t="s">
        <v>31</v>
      </c>
      <c r="N832" s="5" t="s">
        <v>31</v>
      </c>
      <c r="O832" s="5" t="s">
        <v>32</v>
      </c>
      <c r="P832" s="5" t="s">
        <v>33</v>
      </c>
      <c r="Q832" s="2">
        <v>45965</v>
      </c>
      <c r="V832" s="45">
        <f>IF(OR(ISNUMBER(SEARCH("unable to locate acct",G832)),ISNUMBER(SEARCH("unknown",G832)),ISNUMBER(SEARCH("inactive",G832)),H832=""),0,1)</f>
        <v>1</v>
      </c>
    </row>
    <row r="833" spans="1:22" hidden="1">
      <c r="A833" s="2">
        <v>45906</v>
      </c>
      <c r="B833" s="1" t="s">
        <v>2041</v>
      </c>
      <c r="C833" s="1" t="s">
        <v>602</v>
      </c>
      <c r="D833" s="1" t="s">
        <v>123</v>
      </c>
      <c r="E833" s="1">
        <v>85233</v>
      </c>
      <c r="F833" s="1" t="s">
        <v>304</v>
      </c>
      <c r="G833" s="1" t="s">
        <v>1999</v>
      </c>
      <c r="H833" s="4" t="s">
        <v>5262</v>
      </c>
      <c r="I833" s="5" t="s">
        <v>237</v>
      </c>
      <c r="J833" s="5" t="s">
        <v>31</v>
      </c>
      <c r="K833" s="5" t="s">
        <v>31</v>
      </c>
      <c r="L833" s="5" t="s">
        <v>381</v>
      </c>
      <c r="M833" s="5" t="s">
        <v>31</v>
      </c>
      <c r="N833" s="5" t="s">
        <v>31</v>
      </c>
      <c r="O833" s="5" t="s">
        <v>32</v>
      </c>
      <c r="P833" s="5" t="s">
        <v>33</v>
      </c>
      <c r="Q833" s="2">
        <v>45965</v>
      </c>
      <c r="V833" s="45">
        <f>IF(OR(ISNUMBER(SEARCH("unable to locate acct",G833)),ISNUMBER(SEARCH("unknown",G833)),ISNUMBER(SEARCH("inactive",G833)),H833=""),0,1)</f>
        <v>1</v>
      </c>
    </row>
    <row r="834" spans="1:22" hidden="1">
      <c r="A834" s="2">
        <v>45906</v>
      </c>
      <c r="B834" s="1" t="s">
        <v>43</v>
      </c>
      <c r="C834" s="1" t="s">
        <v>2042</v>
      </c>
      <c r="D834" s="1" t="s">
        <v>18</v>
      </c>
      <c r="E834" s="1">
        <v>85306</v>
      </c>
      <c r="F834" s="1" t="s">
        <v>304</v>
      </c>
      <c r="G834" s="1" t="s">
        <v>1999</v>
      </c>
      <c r="H834" s="21" t="s">
        <v>5663</v>
      </c>
      <c r="I834" s="5" t="s">
        <v>30</v>
      </c>
      <c r="J834" s="5" t="s">
        <v>31</v>
      </c>
      <c r="K834" s="5" t="s">
        <v>31</v>
      </c>
      <c r="L834" s="5" t="s">
        <v>32</v>
      </c>
      <c r="M834" s="5" t="s">
        <v>31</v>
      </c>
      <c r="N834" s="5" t="s">
        <v>31</v>
      </c>
      <c r="O834" s="5" t="s">
        <v>32</v>
      </c>
      <c r="P834" s="5" t="s">
        <v>33</v>
      </c>
      <c r="Q834" s="2">
        <v>45965</v>
      </c>
      <c r="V834" s="45">
        <f>IF(OR(ISNUMBER(SEARCH("unable to locate acct",G834)),ISNUMBER(SEARCH("unknown",G834)),ISNUMBER(SEARCH("inactive",G834)),H834=""),0,1)</f>
        <v>1</v>
      </c>
    </row>
    <row r="835" spans="1:22" hidden="1">
      <c r="A835" s="2">
        <v>45906</v>
      </c>
      <c r="B835" s="1" t="s">
        <v>1861</v>
      </c>
      <c r="C835" s="1" t="s">
        <v>1804</v>
      </c>
      <c r="D835" s="1" t="s">
        <v>57</v>
      </c>
      <c r="E835" s="1">
        <v>85028</v>
      </c>
      <c r="F835" s="1" t="s">
        <v>304</v>
      </c>
      <c r="G835" s="1" t="s">
        <v>1999</v>
      </c>
      <c r="H835" s="21" t="s">
        <v>5664</v>
      </c>
      <c r="I835" s="5" t="s">
        <v>532</v>
      </c>
      <c r="J835" s="5" t="s">
        <v>31</v>
      </c>
      <c r="K835" s="5" t="s">
        <v>31</v>
      </c>
      <c r="L835" s="5" t="s">
        <v>381</v>
      </c>
      <c r="M835" s="5" t="s">
        <v>31</v>
      </c>
      <c r="N835" s="5" t="s">
        <v>31</v>
      </c>
      <c r="O835" s="5" t="s">
        <v>32</v>
      </c>
      <c r="P835" s="5" t="s">
        <v>33</v>
      </c>
      <c r="Q835" s="2">
        <v>45965</v>
      </c>
      <c r="V835" s="45">
        <f>IF(OR(ISNUMBER(SEARCH("unable to locate acct",G835)),ISNUMBER(SEARCH("unknown",G835)),ISNUMBER(SEARCH("inactive",G835)),H835=""),0,1)</f>
        <v>1</v>
      </c>
    </row>
    <row r="836" spans="1:22" hidden="1">
      <c r="A836" s="2">
        <v>45906</v>
      </c>
      <c r="B836" s="1" t="s">
        <v>2043</v>
      </c>
      <c r="C836" s="1" t="s">
        <v>2044</v>
      </c>
      <c r="D836" s="1" t="s">
        <v>57</v>
      </c>
      <c r="E836" s="1">
        <v>85085</v>
      </c>
      <c r="F836" s="1" t="s">
        <v>304</v>
      </c>
      <c r="G836" s="1" t="s">
        <v>1999</v>
      </c>
      <c r="H836" s="4" t="s">
        <v>5263</v>
      </c>
      <c r="I836" s="5" t="s">
        <v>67</v>
      </c>
      <c r="J836" s="5" t="s">
        <v>31</v>
      </c>
      <c r="K836" s="5" t="s">
        <v>31</v>
      </c>
      <c r="L836" s="5" t="s">
        <v>32</v>
      </c>
      <c r="M836" s="5" t="s">
        <v>31</v>
      </c>
      <c r="N836" s="5" t="s">
        <v>31</v>
      </c>
      <c r="O836" s="5" t="s">
        <v>32</v>
      </c>
      <c r="P836" s="5" t="s">
        <v>33</v>
      </c>
      <c r="Q836" s="2">
        <v>45965</v>
      </c>
      <c r="V836" s="45">
        <f>IF(OR(ISNUMBER(SEARCH("unable to locate acct",G836)),ISNUMBER(SEARCH("unknown",G836)),ISNUMBER(SEARCH("inactive",G836)),H836=""),0,1)</f>
        <v>1</v>
      </c>
    </row>
    <row r="837" spans="1:22" hidden="1">
      <c r="A837" s="2">
        <v>45906</v>
      </c>
      <c r="B837" s="1" t="s">
        <v>2045</v>
      </c>
      <c r="C837" s="1" t="s">
        <v>843</v>
      </c>
      <c r="D837" s="1" t="s">
        <v>2046</v>
      </c>
      <c r="E837" s="1">
        <v>85132</v>
      </c>
      <c r="F837" s="1" t="s">
        <v>2047</v>
      </c>
      <c r="G837" s="1" t="s">
        <v>1999</v>
      </c>
      <c r="H837" s="4" t="s">
        <v>5264</v>
      </c>
      <c r="I837" s="5" t="s">
        <v>40</v>
      </c>
      <c r="J837" s="5" t="s">
        <v>31</v>
      </c>
      <c r="K837" s="5" t="s">
        <v>31</v>
      </c>
      <c r="L837" s="5" t="s">
        <v>32</v>
      </c>
      <c r="M837" s="5" t="s">
        <v>31</v>
      </c>
      <c r="N837" s="5" t="s">
        <v>31</v>
      </c>
      <c r="O837" s="5" t="s">
        <v>32</v>
      </c>
      <c r="P837" s="5" t="s">
        <v>33</v>
      </c>
      <c r="Q837" s="2">
        <v>45965</v>
      </c>
      <c r="V837" s="45">
        <f>IF(OR(ISNUMBER(SEARCH("unable to locate acct",G837)),ISNUMBER(SEARCH("unknown",G837)),ISNUMBER(SEARCH("inactive",G837)),H837=""),0,1)</f>
        <v>1</v>
      </c>
    </row>
    <row r="838" spans="1:22" hidden="1">
      <c r="A838" s="2">
        <v>45906</v>
      </c>
      <c r="B838" s="1" t="s">
        <v>2048</v>
      </c>
      <c r="C838" s="1" t="s">
        <v>472</v>
      </c>
      <c r="D838" s="1" t="s">
        <v>18</v>
      </c>
      <c r="E838" s="1">
        <v>85308</v>
      </c>
      <c r="F838" s="1" t="s">
        <v>25</v>
      </c>
      <c r="G838" s="1" t="s">
        <v>1999</v>
      </c>
      <c r="H838" s="4" t="s">
        <v>5265</v>
      </c>
      <c r="I838" s="5" t="s">
        <v>30</v>
      </c>
      <c r="J838" s="5" t="s">
        <v>31</v>
      </c>
      <c r="K838" s="5" t="s">
        <v>31</v>
      </c>
      <c r="L838" s="5" t="s">
        <v>32</v>
      </c>
      <c r="M838" s="5" t="s">
        <v>31</v>
      </c>
      <c r="N838" s="5" t="s">
        <v>31</v>
      </c>
      <c r="O838" s="5" t="s">
        <v>32</v>
      </c>
      <c r="P838" s="5" t="s">
        <v>33</v>
      </c>
      <c r="Q838" s="2">
        <v>45965</v>
      </c>
      <c r="V838" s="45">
        <f>IF(OR(ISNUMBER(SEARCH("unable to locate acct",G838)),ISNUMBER(SEARCH("unknown",G838)),ISNUMBER(SEARCH("inactive",G838)),H838=""),0,1)</f>
        <v>1</v>
      </c>
    </row>
    <row r="839" spans="1:22" hidden="1">
      <c r="A839" s="2">
        <v>45906</v>
      </c>
      <c r="B839" s="1" t="s">
        <v>2049</v>
      </c>
      <c r="C839" s="1" t="s">
        <v>250</v>
      </c>
      <c r="D839" s="1" t="s">
        <v>106</v>
      </c>
      <c r="E839" s="1">
        <v>85379</v>
      </c>
      <c r="F839" s="1" t="s">
        <v>25</v>
      </c>
      <c r="G839" s="1" t="s">
        <v>1999</v>
      </c>
      <c r="H839" s="4" t="s">
        <v>5266</v>
      </c>
      <c r="I839" s="5" t="s">
        <v>40</v>
      </c>
      <c r="J839" s="5" t="s">
        <v>31</v>
      </c>
      <c r="K839" s="5" t="s">
        <v>31</v>
      </c>
      <c r="L839" s="5" t="s">
        <v>32</v>
      </c>
      <c r="M839" s="5" t="s">
        <v>31</v>
      </c>
      <c r="N839" s="5" t="s">
        <v>31</v>
      </c>
      <c r="O839" s="5" t="s">
        <v>32</v>
      </c>
      <c r="P839" s="5" t="s">
        <v>33</v>
      </c>
      <c r="Q839" s="2">
        <v>45965</v>
      </c>
      <c r="V839" s="45">
        <f>IF(OR(ISNUMBER(SEARCH("unable to locate acct",G839)),ISNUMBER(SEARCH("unknown",G839)),ISNUMBER(SEARCH("inactive",G839)),H839=""),0,1)</f>
        <v>1</v>
      </c>
    </row>
    <row r="840" spans="1:22" hidden="1">
      <c r="A840" s="2">
        <v>45906</v>
      </c>
      <c r="B840" s="1" t="s">
        <v>2050</v>
      </c>
      <c r="C840" s="1" t="s">
        <v>219</v>
      </c>
      <c r="D840" s="1" t="s">
        <v>119</v>
      </c>
      <c r="E840" s="1">
        <v>85260</v>
      </c>
      <c r="F840" s="1" t="s">
        <v>2051</v>
      </c>
      <c r="G840" s="1" t="s">
        <v>1999</v>
      </c>
      <c r="H840" s="4" t="s">
        <v>5004</v>
      </c>
      <c r="I840" s="5" t="s">
        <v>30</v>
      </c>
      <c r="J840" s="5" t="s">
        <v>31</v>
      </c>
      <c r="K840" s="5" t="s">
        <v>31</v>
      </c>
      <c r="L840" s="7" t="s">
        <v>2052</v>
      </c>
      <c r="M840" s="5" t="s">
        <v>31</v>
      </c>
      <c r="N840" s="5" t="s">
        <v>31</v>
      </c>
      <c r="O840" s="5" t="s">
        <v>32</v>
      </c>
      <c r="P840" s="2">
        <v>45945</v>
      </c>
      <c r="Q840" s="2">
        <v>45965</v>
      </c>
      <c r="R840" s="1" t="s">
        <v>2053</v>
      </c>
      <c r="V840" s="45">
        <f>IF(OR(ISNUMBER(SEARCH("unable to locate acct",G840)),ISNUMBER(SEARCH("unknown",G840)),ISNUMBER(SEARCH("inactive",G840)),H840=""),0,1)</f>
        <v>1</v>
      </c>
    </row>
    <row r="841" spans="1:22" hidden="1">
      <c r="A841" s="2">
        <v>45906</v>
      </c>
      <c r="B841" s="1" t="s">
        <v>2054</v>
      </c>
      <c r="C841" s="1" t="s">
        <v>65</v>
      </c>
      <c r="D841" s="1" t="s">
        <v>57</v>
      </c>
      <c r="E841" s="1">
        <v>85006</v>
      </c>
      <c r="F841" s="1" t="s">
        <v>304</v>
      </c>
      <c r="G841" s="1" t="s">
        <v>1999</v>
      </c>
      <c r="H841" s="4" t="s">
        <v>5267</v>
      </c>
      <c r="I841" s="5" t="s">
        <v>67</v>
      </c>
      <c r="J841" s="5" t="s">
        <v>31</v>
      </c>
      <c r="K841" s="5" t="s">
        <v>31</v>
      </c>
      <c r="L841" s="5" t="s">
        <v>32</v>
      </c>
      <c r="M841" s="5" t="s">
        <v>31</v>
      </c>
      <c r="N841" s="5" t="s">
        <v>31</v>
      </c>
      <c r="O841" s="5" t="s">
        <v>32</v>
      </c>
      <c r="P841" s="5" t="s">
        <v>33</v>
      </c>
      <c r="Q841" s="2">
        <v>45965</v>
      </c>
      <c r="V841" s="45">
        <f>IF(OR(ISNUMBER(SEARCH("unable to locate acct",G841)),ISNUMBER(SEARCH("unknown",G841)),ISNUMBER(SEARCH("inactive",G841)),H841=""),0,1)</f>
        <v>1</v>
      </c>
    </row>
    <row r="842" spans="1:22" hidden="1">
      <c r="A842" s="2">
        <v>45906</v>
      </c>
      <c r="B842" s="1" t="s">
        <v>2055</v>
      </c>
      <c r="C842" s="1" t="s">
        <v>2056</v>
      </c>
      <c r="D842" s="1" t="s">
        <v>196</v>
      </c>
      <c r="E842" s="1">
        <v>85383</v>
      </c>
      <c r="F842" s="1" t="s">
        <v>304</v>
      </c>
      <c r="G842" s="1" t="s">
        <v>1999</v>
      </c>
      <c r="H842" s="4" t="s">
        <v>5005</v>
      </c>
      <c r="I842" s="5" t="s">
        <v>40</v>
      </c>
      <c r="J842" s="5" t="s">
        <v>31</v>
      </c>
      <c r="K842" s="5" t="s">
        <v>31</v>
      </c>
      <c r="L842" s="7" t="s">
        <v>2057</v>
      </c>
      <c r="M842" s="5" t="s">
        <v>31</v>
      </c>
      <c r="N842" s="5" t="s">
        <v>31</v>
      </c>
      <c r="O842" s="5" t="s">
        <v>32</v>
      </c>
      <c r="P842" s="2">
        <v>45939</v>
      </c>
      <c r="Q842" s="2">
        <v>45965</v>
      </c>
      <c r="R842" s="1" t="s">
        <v>475</v>
      </c>
      <c r="V842" s="45">
        <f>IF(OR(ISNUMBER(SEARCH("unable to locate acct",G842)),ISNUMBER(SEARCH("unknown",G842)),ISNUMBER(SEARCH("inactive",G842)),H842=""),0,1)</f>
        <v>1</v>
      </c>
    </row>
    <row r="843" spans="1:22" hidden="1">
      <c r="A843" s="2">
        <v>45906</v>
      </c>
      <c r="B843" s="1" t="s">
        <v>2058</v>
      </c>
      <c r="C843" s="1" t="s">
        <v>328</v>
      </c>
      <c r="D843" s="1" t="s">
        <v>57</v>
      </c>
      <c r="E843" s="1">
        <v>85027</v>
      </c>
      <c r="F843" s="1" t="s">
        <v>304</v>
      </c>
      <c r="G843" s="1" t="s">
        <v>1999</v>
      </c>
      <c r="H843" s="4" t="s">
        <v>5268</v>
      </c>
      <c r="I843" s="5" t="s">
        <v>244</v>
      </c>
      <c r="J843" s="5" t="s">
        <v>31</v>
      </c>
      <c r="K843" s="5" t="s">
        <v>31</v>
      </c>
      <c r="L843" s="5" t="s">
        <v>32</v>
      </c>
      <c r="M843" s="5" t="s">
        <v>31</v>
      </c>
      <c r="N843" s="5" t="s">
        <v>31</v>
      </c>
      <c r="O843" s="5" t="s">
        <v>32</v>
      </c>
      <c r="P843" s="5" t="s">
        <v>33</v>
      </c>
      <c r="Q843" s="2">
        <v>45965</v>
      </c>
      <c r="V843" s="45">
        <f>IF(OR(ISNUMBER(SEARCH("unable to locate acct",G843)),ISNUMBER(SEARCH("unknown",G843)),ISNUMBER(SEARCH("inactive",G843)),H843=""),0,1)</f>
        <v>1</v>
      </c>
    </row>
    <row r="844" spans="1:22" hidden="1">
      <c r="A844" s="2">
        <v>45906</v>
      </c>
      <c r="B844" s="1" t="s">
        <v>2059</v>
      </c>
      <c r="C844" s="1" t="s">
        <v>2060</v>
      </c>
      <c r="D844" s="1" t="s">
        <v>106</v>
      </c>
      <c r="E844" s="1">
        <v>85338</v>
      </c>
      <c r="F844" s="1" t="s">
        <v>304</v>
      </c>
      <c r="G844" s="1" t="s">
        <v>1999</v>
      </c>
      <c r="H844" s="4" t="s">
        <v>5269</v>
      </c>
      <c r="I844" s="5" t="s">
        <v>30</v>
      </c>
      <c r="J844" s="5" t="s">
        <v>31</v>
      </c>
      <c r="K844" s="5" t="s">
        <v>31</v>
      </c>
      <c r="L844" s="5" t="s">
        <v>32</v>
      </c>
      <c r="M844" s="5" t="s">
        <v>31</v>
      </c>
      <c r="N844" s="5" t="s">
        <v>31</v>
      </c>
      <c r="O844" s="5" t="s">
        <v>32</v>
      </c>
      <c r="P844" s="5" t="s">
        <v>33</v>
      </c>
      <c r="Q844" s="2">
        <v>45964</v>
      </c>
      <c r="V844" s="45">
        <f>IF(OR(ISNUMBER(SEARCH("unable to locate acct",G844)),ISNUMBER(SEARCH("unknown",G844)),ISNUMBER(SEARCH("inactive",G844)),H844=""),0,1)</f>
        <v>1</v>
      </c>
    </row>
    <row r="845" spans="1:22" hidden="1">
      <c r="A845" s="2">
        <v>45906</v>
      </c>
      <c r="B845" s="1" t="s">
        <v>2061</v>
      </c>
      <c r="C845" s="1" t="s">
        <v>2022</v>
      </c>
      <c r="D845" s="1" t="s">
        <v>57</v>
      </c>
      <c r="E845" s="1">
        <v>85050</v>
      </c>
      <c r="F845" s="1" t="s">
        <v>304</v>
      </c>
      <c r="G845" s="1" t="s">
        <v>1999</v>
      </c>
      <c r="H845" s="4" t="s">
        <v>21</v>
      </c>
      <c r="V845" s="45">
        <f>IF(OR(ISNUMBER(SEARCH("unable to locate acct",G845)),ISNUMBER(SEARCH("unknown",G845)),ISNUMBER(SEARCH("inactive",G845)),H845=""),0,1)</f>
        <v>1</v>
      </c>
    </row>
    <row r="846" spans="1:22" hidden="1">
      <c r="A846" s="2">
        <v>45906</v>
      </c>
      <c r="B846" s="1" t="s">
        <v>2062</v>
      </c>
      <c r="C846" s="1" t="s">
        <v>2063</v>
      </c>
      <c r="D846" s="1" t="s">
        <v>57</v>
      </c>
      <c r="E846" s="1">
        <v>85024</v>
      </c>
      <c r="F846" s="1" t="s">
        <v>304</v>
      </c>
      <c r="G846" s="1" t="s">
        <v>1999</v>
      </c>
      <c r="H846" s="4" t="s">
        <v>5006</v>
      </c>
      <c r="I846" s="5" t="s">
        <v>51</v>
      </c>
      <c r="J846" s="5" t="s">
        <v>31</v>
      </c>
      <c r="K846" s="5" t="s">
        <v>31</v>
      </c>
      <c r="L846" s="5" t="s">
        <v>2064</v>
      </c>
      <c r="M846" s="5" t="s">
        <v>31</v>
      </c>
      <c r="N846" s="5" t="s">
        <v>31</v>
      </c>
      <c r="O846" s="5" t="s">
        <v>32</v>
      </c>
      <c r="P846" s="5" t="s">
        <v>33</v>
      </c>
      <c r="Q846" s="2">
        <v>45964</v>
      </c>
      <c r="V846" s="45">
        <f>IF(OR(ISNUMBER(SEARCH("unable to locate acct",G846)),ISNUMBER(SEARCH("unknown",G846)),ISNUMBER(SEARCH("inactive",G846)),H846=""),0,1)</f>
        <v>1</v>
      </c>
    </row>
    <row r="847" spans="1:22" hidden="1">
      <c r="A847" s="2">
        <v>45906</v>
      </c>
      <c r="B847" s="1" t="s">
        <v>2065</v>
      </c>
      <c r="C847" s="1" t="s">
        <v>2066</v>
      </c>
      <c r="D847" s="1" t="s">
        <v>626</v>
      </c>
      <c r="E847" s="1">
        <v>85281</v>
      </c>
      <c r="F847" s="1" t="s">
        <v>25</v>
      </c>
      <c r="G847" s="1" t="s">
        <v>1999</v>
      </c>
      <c r="H847" s="4" t="s">
        <v>5007</v>
      </c>
      <c r="I847" s="5" t="s">
        <v>190</v>
      </c>
      <c r="J847" s="5" t="s">
        <v>31</v>
      </c>
      <c r="K847" s="5" t="s">
        <v>31</v>
      </c>
      <c r="L847" s="5" t="s">
        <v>2067</v>
      </c>
      <c r="M847" s="5" t="s">
        <v>31</v>
      </c>
      <c r="N847" s="5" t="s">
        <v>31</v>
      </c>
      <c r="O847" s="5" t="s">
        <v>32</v>
      </c>
      <c r="P847" s="5" t="s">
        <v>33</v>
      </c>
      <c r="Q847" s="2">
        <v>45964</v>
      </c>
      <c r="V847" s="45">
        <f>IF(OR(ISNUMBER(SEARCH("unable to locate acct",G847)),ISNUMBER(SEARCH("unknown",G847)),ISNUMBER(SEARCH("inactive",G847)),H847=""),0,1)</f>
        <v>1</v>
      </c>
    </row>
    <row r="848" spans="1:22" hidden="1">
      <c r="A848" s="2">
        <v>45906</v>
      </c>
      <c r="B848" s="1" t="s">
        <v>363</v>
      </c>
      <c r="C848" s="1" t="s">
        <v>759</v>
      </c>
      <c r="D848" s="1" t="s">
        <v>57</v>
      </c>
      <c r="E848" s="1">
        <v>85024</v>
      </c>
      <c r="F848" s="1" t="s">
        <v>2068</v>
      </c>
      <c r="G848" s="1" t="s">
        <v>1999</v>
      </c>
      <c r="H848" s="4" t="s">
        <v>5008</v>
      </c>
      <c r="I848" s="5" t="s">
        <v>51</v>
      </c>
      <c r="J848" s="5" t="s">
        <v>31</v>
      </c>
      <c r="K848" s="5" t="s">
        <v>31</v>
      </c>
      <c r="L848" s="7" t="s">
        <v>2069</v>
      </c>
      <c r="M848" s="5" t="s">
        <v>31</v>
      </c>
      <c r="N848" s="5" t="s">
        <v>31</v>
      </c>
      <c r="O848" s="5" t="s">
        <v>32</v>
      </c>
      <c r="P848" s="5" t="s">
        <v>33</v>
      </c>
      <c r="Q848" s="2">
        <v>45964</v>
      </c>
      <c r="R848" s="1" t="s">
        <v>2070</v>
      </c>
      <c r="V848" s="45">
        <f>IF(OR(ISNUMBER(SEARCH("unable to locate acct",G848)),ISNUMBER(SEARCH("unknown",G848)),ISNUMBER(SEARCH("inactive",G848)),H848=""),0,1)</f>
        <v>1</v>
      </c>
    </row>
    <row r="849" spans="1:22" hidden="1">
      <c r="A849" s="2">
        <v>45906</v>
      </c>
      <c r="B849" s="1" t="s">
        <v>2071</v>
      </c>
      <c r="C849" s="1" t="s">
        <v>2072</v>
      </c>
      <c r="D849" s="1" t="s">
        <v>57</v>
      </c>
      <c r="E849" s="1">
        <v>85018</v>
      </c>
      <c r="F849" s="1" t="s">
        <v>304</v>
      </c>
      <c r="G849" s="1" t="s">
        <v>1999</v>
      </c>
      <c r="H849" s="4" t="s">
        <v>21</v>
      </c>
      <c r="V849" s="45">
        <f>IF(OR(ISNUMBER(SEARCH("unable to locate acct",G849)),ISNUMBER(SEARCH("unknown",G849)),ISNUMBER(SEARCH("inactive",G849)),H849=""),0,1)</f>
        <v>1</v>
      </c>
    </row>
    <row r="850" spans="1:22" hidden="1">
      <c r="A850" s="2">
        <v>45906</v>
      </c>
      <c r="B850" s="1" t="s">
        <v>2073</v>
      </c>
      <c r="C850" s="1" t="s">
        <v>375</v>
      </c>
      <c r="D850" s="1" t="s">
        <v>57</v>
      </c>
      <c r="E850" s="1">
        <v>85023</v>
      </c>
      <c r="F850" s="1" t="s">
        <v>304</v>
      </c>
      <c r="G850" s="1" t="s">
        <v>1999</v>
      </c>
      <c r="H850" s="4" t="s">
        <v>84</v>
      </c>
      <c r="V850" s="45">
        <f>IF(OR(ISNUMBER(SEARCH("unable to locate acct",G850)),ISNUMBER(SEARCH("unknown",G850)),ISNUMBER(SEARCH("inactive",G850)),H850=""),0,1)</f>
        <v>1</v>
      </c>
    </row>
    <row r="851" spans="1:22" ht="11.45" hidden="1" customHeight="1">
      <c r="A851" s="2">
        <v>45906</v>
      </c>
      <c r="B851" s="1" t="s">
        <v>2074</v>
      </c>
      <c r="C851" s="1" t="s">
        <v>472</v>
      </c>
      <c r="D851" s="1" t="s">
        <v>495</v>
      </c>
      <c r="E851" s="1">
        <v>86005</v>
      </c>
      <c r="F851" s="1" t="s">
        <v>304</v>
      </c>
      <c r="G851" s="1" t="s">
        <v>1999</v>
      </c>
      <c r="H851" s="4" t="s">
        <v>5270</v>
      </c>
      <c r="I851" s="5" t="s">
        <v>67</v>
      </c>
      <c r="J851" s="5" t="s">
        <v>31</v>
      </c>
      <c r="K851" s="5" t="s">
        <v>31</v>
      </c>
      <c r="L851" s="5" t="s">
        <v>32</v>
      </c>
      <c r="M851" s="5" t="s">
        <v>31</v>
      </c>
      <c r="N851" s="5" t="s">
        <v>31</v>
      </c>
      <c r="O851" s="5" t="s">
        <v>32</v>
      </c>
      <c r="P851" s="5" t="s">
        <v>33</v>
      </c>
      <c r="Q851" s="2">
        <v>45964</v>
      </c>
      <c r="V851" s="45">
        <f>IF(OR(ISNUMBER(SEARCH("unable to locate acct",G851)),ISNUMBER(SEARCH("unknown",G851)),ISNUMBER(SEARCH("inactive",G851)),H851=""),0,1)</f>
        <v>1</v>
      </c>
    </row>
    <row r="852" spans="1:22" hidden="1">
      <c r="A852" s="2">
        <v>45906</v>
      </c>
      <c r="B852" s="1" t="s">
        <v>256</v>
      </c>
      <c r="C852" s="1" t="s">
        <v>649</v>
      </c>
      <c r="D852" s="1" t="s">
        <v>57</v>
      </c>
      <c r="E852" s="1">
        <v>85028</v>
      </c>
      <c r="F852" s="1" t="s">
        <v>304</v>
      </c>
      <c r="G852" s="1" t="s">
        <v>1999</v>
      </c>
      <c r="H852" s="4" t="s">
        <v>5271</v>
      </c>
      <c r="I852" s="5" t="s">
        <v>40</v>
      </c>
      <c r="J852" s="5" t="s">
        <v>31</v>
      </c>
      <c r="K852" s="5" t="s">
        <v>31</v>
      </c>
      <c r="L852" s="5" t="s">
        <v>32</v>
      </c>
      <c r="M852" s="5" t="s">
        <v>31</v>
      </c>
      <c r="N852" s="5" t="s">
        <v>31</v>
      </c>
      <c r="O852" s="5" t="s">
        <v>32</v>
      </c>
      <c r="P852" s="5" t="s">
        <v>33</v>
      </c>
      <c r="Q852" s="2">
        <v>45964</v>
      </c>
      <c r="V852" s="45">
        <f>IF(OR(ISNUMBER(SEARCH("unable to locate acct",G852)),ISNUMBER(SEARCH("unknown",G852)),ISNUMBER(SEARCH("inactive",G852)),H852=""),0,1)</f>
        <v>1</v>
      </c>
    </row>
    <row r="853" spans="1:22" hidden="1">
      <c r="A853" s="2">
        <v>45906</v>
      </c>
      <c r="B853" s="1" t="s">
        <v>2075</v>
      </c>
      <c r="C853" s="1" t="s">
        <v>369</v>
      </c>
      <c r="D853" s="1" t="s">
        <v>62</v>
      </c>
      <c r="E853" s="1">
        <v>85331</v>
      </c>
      <c r="F853" s="1" t="s">
        <v>304</v>
      </c>
      <c r="G853" s="1" t="s">
        <v>1999</v>
      </c>
      <c r="H853" s="4" t="s">
        <v>5009</v>
      </c>
      <c r="I853" s="5" t="s">
        <v>190</v>
      </c>
      <c r="J853" s="5" t="s">
        <v>31</v>
      </c>
      <c r="K853" s="5" t="s">
        <v>31</v>
      </c>
      <c r="L853" s="7" t="s">
        <v>2076</v>
      </c>
      <c r="M853" s="5" t="s">
        <v>31</v>
      </c>
      <c r="N853" s="5" t="s">
        <v>31</v>
      </c>
      <c r="O853" s="5" t="s">
        <v>32</v>
      </c>
      <c r="P853" s="2">
        <v>45939</v>
      </c>
      <c r="Q853" s="2">
        <v>45964</v>
      </c>
      <c r="R853" s="27" t="s">
        <v>2077</v>
      </c>
      <c r="V853" s="45">
        <f>IF(OR(ISNUMBER(SEARCH("unable to locate acct",G853)),ISNUMBER(SEARCH("unknown",G853)),ISNUMBER(SEARCH("inactive",G853)),H853=""),0,1)</f>
        <v>1</v>
      </c>
    </row>
    <row r="854" spans="1:22" hidden="1">
      <c r="A854" s="2">
        <v>45906</v>
      </c>
      <c r="B854" s="1" t="s">
        <v>2078</v>
      </c>
      <c r="C854" s="1" t="s">
        <v>2079</v>
      </c>
      <c r="D854" s="1" t="s">
        <v>57</v>
      </c>
      <c r="E854" s="1">
        <v>85032</v>
      </c>
      <c r="F854" s="1" t="s">
        <v>304</v>
      </c>
      <c r="G854" s="1" t="s">
        <v>1999</v>
      </c>
      <c r="H854" s="4" t="s">
        <v>5272</v>
      </c>
      <c r="I854" s="5" t="s">
        <v>410</v>
      </c>
      <c r="J854" s="5" t="s">
        <v>31</v>
      </c>
      <c r="K854" s="5" t="s">
        <v>31</v>
      </c>
      <c r="L854" s="5" t="s">
        <v>381</v>
      </c>
      <c r="M854" s="5" t="s">
        <v>31</v>
      </c>
      <c r="N854" s="5" t="s">
        <v>31</v>
      </c>
      <c r="O854" s="5" t="s">
        <v>32</v>
      </c>
      <c r="P854" s="5" t="s">
        <v>33</v>
      </c>
      <c r="Q854" s="2">
        <v>45964</v>
      </c>
      <c r="V854" s="45">
        <f>IF(OR(ISNUMBER(SEARCH("unable to locate acct",G854)),ISNUMBER(SEARCH("unknown",G854)),ISNUMBER(SEARCH("inactive",G854)),H854=""),0,1)</f>
        <v>1</v>
      </c>
    </row>
    <row r="855" spans="1:22" hidden="1">
      <c r="A855" s="2">
        <v>45906</v>
      </c>
      <c r="B855" s="1" t="s">
        <v>648</v>
      </c>
      <c r="C855" s="1" t="s">
        <v>2080</v>
      </c>
      <c r="D855" s="1" t="s">
        <v>123</v>
      </c>
      <c r="E855" s="1">
        <v>85234</v>
      </c>
      <c r="F855" s="1" t="s">
        <v>25</v>
      </c>
      <c r="G855" s="1" t="s">
        <v>1999</v>
      </c>
      <c r="H855" s="4" t="s">
        <v>5273</v>
      </c>
      <c r="I855" s="5" t="s">
        <v>120</v>
      </c>
      <c r="J855" s="5" t="s">
        <v>31</v>
      </c>
      <c r="K855" s="5" t="s">
        <v>31</v>
      </c>
      <c r="L855" s="5" t="s">
        <v>32</v>
      </c>
      <c r="M855" s="5" t="s">
        <v>31</v>
      </c>
      <c r="N855" s="5" t="s">
        <v>31</v>
      </c>
      <c r="O855" s="5" t="s">
        <v>32</v>
      </c>
      <c r="P855" s="5" t="s">
        <v>33</v>
      </c>
      <c r="Q855" s="2">
        <v>45964</v>
      </c>
      <c r="V855" s="45">
        <f>IF(OR(ISNUMBER(SEARCH("unable to locate acct",G855)),ISNUMBER(SEARCH("unknown",G855)),ISNUMBER(SEARCH("inactive",G855)),H855=""),0,1)</f>
        <v>1</v>
      </c>
    </row>
    <row r="856" spans="1:22" hidden="1">
      <c r="A856" s="2">
        <v>45906</v>
      </c>
      <c r="B856" s="1" t="s">
        <v>2081</v>
      </c>
      <c r="C856" s="1" t="s">
        <v>356</v>
      </c>
      <c r="D856" s="1" t="s">
        <v>610</v>
      </c>
      <c r="E856" s="1">
        <v>85367</v>
      </c>
      <c r="F856" s="1" t="s">
        <v>25</v>
      </c>
      <c r="G856" s="1" t="s">
        <v>1999</v>
      </c>
      <c r="H856" s="4" t="s">
        <v>5095</v>
      </c>
      <c r="I856" s="5" t="s">
        <v>40</v>
      </c>
      <c r="J856" s="5" t="s">
        <v>31</v>
      </c>
      <c r="K856" s="5" t="s">
        <v>31</v>
      </c>
      <c r="L856" s="5" t="s">
        <v>32</v>
      </c>
      <c r="M856" s="5" t="s">
        <v>32</v>
      </c>
      <c r="N856" s="13">
        <v>122.88</v>
      </c>
      <c r="O856" s="5" t="s">
        <v>32</v>
      </c>
      <c r="P856" s="5" t="s">
        <v>33</v>
      </c>
      <c r="Q856" s="2">
        <v>45964</v>
      </c>
      <c r="V856" s="45">
        <f>IF(OR(ISNUMBER(SEARCH("unable to locate acct",G856)),ISNUMBER(SEARCH("unknown",G856)),ISNUMBER(SEARCH("inactive",G856)),H856=""),0,1)</f>
        <v>1</v>
      </c>
    </row>
    <row r="857" spans="1:22" hidden="1">
      <c r="A857" s="2">
        <v>45906</v>
      </c>
      <c r="B857" s="1" t="s">
        <v>2082</v>
      </c>
      <c r="C857" s="1" t="s">
        <v>56</v>
      </c>
      <c r="D857" s="1" t="s">
        <v>57</v>
      </c>
      <c r="E857" s="1">
        <v>85024</v>
      </c>
      <c r="F857" s="1" t="s">
        <v>2001</v>
      </c>
      <c r="G857" s="1" t="s">
        <v>1999</v>
      </c>
      <c r="H857" s="4" t="s">
        <v>5274</v>
      </c>
      <c r="I857" s="5" t="s">
        <v>30</v>
      </c>
      <c r="J857" s="5" t="s">
        <v>31</v>
      </c>
      <c r="K857" s="5" t="s">
        <v>31</v>
      </c>
      <c r="L857" s="5" t="s">
        <v>32</v>
      </c>
      <c r="M857" s="5" t="s">
        <v>31</v>
      </c>
      <c r="N857" s="5" t="s">
        <v>31</v>
      </c>
      <c r="O857" s="5" t="s">
        <v>32</v>
      </c>
      <c r="P857" s="5" t="s">
        <v>33</v>
      </c>
      <c r="Q857" s="2">
        <v>45964</v>
      </c>
      <c r="V857" s="45">
        <f>IF(OR(ISNUMBER(SEARCH("unable to locate acct",G857)),ISNUMBER(SEARCH("unknown",G857)),ISNUMBER(SEARCH("inactive",G857)),H857=""),0,1)</f>
        <v>1</v>
      </c>
    </row>
    <row r="858" spans="1:22" hidden="1">
      <c r="A858" s="2">
        <v>45906</v>
      </c>
      <c r="B858" s="1" t="s">
        <v>2083</v>
      </c>
      <c r="C858" s="1" t="s">
        <v>314</v>
      </c>
      <c r="D858" s="1" t="s">
        <v>495</v>
      </c>
      <c r="E858" s="1">
        <v>86005</v>
      </c>
      <c r="F858" s="1" t="s">
        <v>304</v>
      </c>
      <c r="G858" s="1" t="s">
        <v>1999</v>
      </c>
      <c r="H858" s="4" t="s">
        <v>21</v>
      </c>
      <c r="V858" s="45">
        <f>IF(OR(ISNUMBER(SEARCH("unable to locate acct",G858)),ISNUMBER(SEARCH("unknown",G858)),ISNUMBER(SEARCH("inactive",G858)),H858=""),0,1)</f>
        <v>1</v>
      </c>
    </row>
    <row r="859" spans="1:22" hidden="1">
      <c r="A859" s="2">
        <v>45906</v>
      </c>
      <c r="B859" s="1" t="s">
        <v>2084</v>
      </c>
      <c r="C859" s="1" t="s">
        <v>748</v>
      </c>
      <c r="D859" s="1" t="s">
        <v>626</v>
      </c>
      <c r="E859" s="1">
        <v>85281</v>
      </c>
      <c r="F859" s="1" t="s">
        <v>304</v>
      </c>
      <c r="G859" s="1" t="s">
        <v>1999</v>
      </c>
      <c r="H859" s="4" t="s">
        <v>5275</v>
      </c>
      <c r="I859" s="5" t="s">
        <v>30</v>
      </c>
      <c r="J859" s="5" t="s">
        <v>31</v>
      </c>
      <c r="K859" s="5" t="s">
        <v>31</v>
      </c>
      <c r="L859" s="5" t="s">
        <v>32</v>
      </c>
      <c r="M859" s="5" t="s">
        <v>31</v>
      </c>
      <c r="N859" s="5" t="s">
        <v>31</v>
      </c>
      <c r="O859" s="5" t="s">
        <v>32</v>
      </c>
      <c r="P859" s="5" t="s">
        <v>33</v>
      </c>
      <c r="Q859" s="2">
        <v>45964</v>
      </c>
      <c r="V859" s="45">
        <f>IF(OR(ISNUMBER(SEARCH("unable to locate acct",G859)),ISNUMBER(SEARCH("unknown",G859)),ISNUMBER(SEARCH("inactive",G859)),H859=""),0,1)</f>
        <v>1</v>
      </c>
    </row>
    <row r="860" spans="1:22" hidden="1">
      <c r="A860" s="2">
        <v>45906</v>
      </c>
      <c r="B860" s="1" t="s">
        <v>411</v>
      </c>
      <c r="C860" s="1" t="s">
        <v>2085</v>
      </c>
      <c r="D860" s="1" t="s">
        <v>18</v>
      </c>
      <c r="E860" s="1">
        <v>85301</v>
      </c>
      <c r="F860" s="1" t="s">
        <v>304</v>
      </c>
      <c r="G860" s="1" t="s">
        <v>1999</v>
      </c>
      <c r="H860" s="4" t="s">
        <v>21</v>
      </c>
      <c r="V860" s="45">
        <f>IF(OR(ISNUMBER(SEARCH("unable to locate acct",G860)),ISNUMBER(SEARCH("unknown",G860)),ISNUMBER(SEARCH("inactive",G860)),H860=""),0,1)</f>
        <v>1</v>
      </c>
    </row>
    <row r="861" spans="1:22" hidden="1">
      <c r="A861" s="2">
        <v>45906</v>
      </c>
      <c r="B861" s="1" t="s">
        <v>2086</v>
      </c>
      <c r="C861" s="1" t="s">
        <v>472</v>
      </c>
      <c r="D861" s="1" t="s">
        <v>57</v>
      </c>
      <c r="E861" s="1">
        <v>85004</v>
      </c>
      <c r="F861" s="1" t="s">
        <v>304</v>
      </c>
      <c r="G861" s="1" t="s">
        <v>1999</v>
      </c>
      <c r="H861" s="4" t="s">
        <v>5010</v>
      </c>
      <c r="I861" s="5" t="s">
        <v>120</v>
      </c>
      <c r="J861" s="5" t="s">
        <v>31</v>
      </c>
      <c r="K861" s="5" t="s">
        <v>31</v>
      </c>
      <c r="L861" s="5" t="s">
        <v>2087</v>
      </c>
      <c r="M861" s="5" t="s">
        <v>31</v>
      </c>
      <c r="N861" s="5" t="s">
        <v>31</v>
      </c>
      <c r="O861" s="5" t="s">
        <v>32</v>
      </c>
      <c r="P861" s="5" t="s">
        <v>33</v>
      </c>
      <c r="Q861" s="2">
        <v>45964</v>
      </c>
      <c r="V861" s="45">
        <f>IF(OR(ISNUMBER(SEARCH("unable to locate acct",G861)),ISNUMBER(SEARCH("unknown",G861)),ISNUMBER(SEARCH("inactive",G861)),H861=""),0,1)</f>
        <v>1</v>
      </c>
    </row>
    <row r="862" spans="1:22" hidden="1">
      <c r="A862" s="2">
        <v>45906</v>
      </c>
      <c r="B862" s="1" t="s">
        <v>2088</v>
      </c>
      <c r="C862" s="1" t="s">
        <v>2089</v>
      </c>
      <c r="D862" s="1" t="s">
        <v>196</v>
      </c>
      <c r="E862" s="1">
        <v>85382</v>
      </c>
      <c r="F862" s="1" t="s">
        <v>304</v>
      </c>
      <c r="G862" s="1" t="s">
        <v>1999</v>
      </c>
      <c r="H862" s="4" t="s">
        <v>5276</v>
      </c>
      <c r="I862" s="5" t="s">
        <v>30</v>
      </c>
      <c r="J862" s="5" t="s">
        <v>31</v>
      </c>
      <c r="K862" s="5" t="s">
        <v>31</v>
      </c>
      <c r="L862" s="5" t="s">
        <v>32</v>
      </c>
      <c r="M862" s="5" t="s">
        <v>31</v>
      </c>
      <c r="N862" s="5" t="s">
        <v>31</v>
      </c>
      <c r="O862" s="5" t="s">
        <v>32</v>
      </c>
      <c r="P862" s="5" t="s">
        <v>33</v>
      </c>
      <c r="Q862" s="2">
        <v>45964</v>
      </c>
      <c r="V862" s="45">
        <f>IF(OR(ISNUMBER(SEARCH("unable to locate acct",G862)),ISNUMBER(SEARCH("unknown",G862)),ISNUMBER(SEARCH("inactive",G862)),H862=""),0,1)</f>
        <v>1</v>
      </c>
    </row>
    <row r="863" spans="1:22" ht="11.45" hidden="1" customHeight="1">
      <c r="A863" s="2">
        <v>45906</v>
      </c>
      <c r="B863" s="1" t="s">
        <v>2090</v>
      </c>
      <c r="C863" s="1" t="s">
        <v>2091</v>
      </c>
      <c r="D863" s="1" t="s">
        <v>57</v>
      </c>
      <c r="E863" s="1">
        <v>85014</v>
      </c>
      <c r="F863" s="1" t="s">
        <v>304</v>
      </c>
      <c r="G863" s="1" t="s">
        <v>1999</v>
      </c>
      <c r="H863" s="4" t="s">
        <v>5011</v>
      </c>
      <c r="I863" s="5" t="s">
        <v>190</v>
      </c>
      <c r="J863" s="5" t="s">
        <v>31</v>
      </c>
      <c r="K863" s="5" t="s">
        <v>31</v>
      </c>
      <c r="L863" s="5" t="s">
        <v>2092</v>
      </c>
      <c r="M863" s="5" t="s">
        <v>31</v>
      </c>
      <c r="N863" s="5" t="s">
        <v>31</v>
      </c>
      <c r="O863" s="5" t="s">
        <v>32</v>
      </c>
      <c r="P863" s="5" t="s">
        <v>33</v>
      </c>
      <c r="Q863" s="2">
        <v>45964</v>
      </c>
      <c r="V863" s="45">
        <f>IF(OR(ISNUMBER(SEARCH("unable to locate acct",G863)),ISNUMBER(SEARCH("unknown",G863)),ISNUMBER(SEARCH("inactive",G863)),H863=""),0,1)</f>
        <v>1</v>
      </c>
    </row>
    <row r="864" spans="1:22" ht="11.45" hidden="1" customHeight="1">
      <c r="A864" s="2">
        <v>45906</v>
      </c>
      <c r="B864" s="1" t="s">
        <v>2093</v>
      </c>
      <c r="C864" s="1" t="s">
        <v>2094</v>
      </c>
      <c r="D864" s="1" t="s">
        <v>196</v>
      </c>
      <c r="E864" s="1">
        <v>85383</v>
      </c>
      <c r="F864" s="1" t="s">
        <v>2095</v>
      </c>
      <c r="G864" s="1" t="s">
        <v>1999</v>
      </c>
      <c r="H864" s="4" t="s">
        <v>5012</v>
      </c>
      <c r="I864" s="5" t="s">
        <v>40</v>
      </c>
      <c r="J864" s="5" t="s">
        <v>31</v>
      </c>
      <c r="K864" s="5" t="s">
        <v>31</v>
      </c>
      <c r="L864" s="5" t="s">
        <v>2096</v>
      </c>
      <c r="M864" s="5" t="s">
        <v>31</v>
      </c>
      <c r="N864" s="5" t="s">
        <v>31</v>
      </c>
      <c r="O864" s="5" t="s">
        <v>32</v>
      </c>
      <c r="P864" s="2">
        <v>45939</v>
      </c>
      <c r="Q864" s="2">
        <v>45964</v>
      </c>
      <c r="R864" s="1" t="s">
        <v>2097</v>
      </c>
      <c r="V864" s="45">
        <f>IF(OR(ISNUMBER(SEARCH("unable to locate acct",G864)),ISNUMBER(SEARCH("unknown",G864)),ISNUMBER(SEARCH("inactive",G864)),H864=""),0,1)</f>
        <v>1</v>
      </c>
    </row>
    <row r="865" spans="1:22" ht="11.45" hidden="1" customHeight="1">
      <c r="A865" s="2">
        <v>45906</v>
      </c>
      <c r="B865" s="1" t="s">
        <v>2098</v>
      </c>
      <c r="C865" s="1" t="s">
        <v>2099</v>
      </c>
      <c r="D865" s="1" t="s">
        <v>62</v>
      </c>
      <c r="E865" s="1">
        <v>85331</v>
      </c>
      <c r="F865" s="1" t="s">
        <v>304</v>
      </c>
      <c r="G865" s="1" t="s">
        <v>1999</v>
      </c>
      <c r="H865" s="4" t="s">
        <v>5277</v>
      </c>
      <c r="I865" s="5" t="s">
        <v>190</v>
      </c>
      <c r="J865" s="5" t="s">
        <v>31</v>
      </c>
      <c r="K865" s="5" t="s">
        <v>31</v>
      </c>
      <c r="L865" s="5" t="s">
        <v>32</v>
      </c>
      <c r="M865" s="5" t="s">
        <v>31</v>
      </c>
      <c r="N865" s="5" t="s">
        <v>31</v>
      </c>
      <c r="O865" s="5" t="s">
        <v>32</v>
      </c>
      <c r="P865" s="5" t="s">
        <v>33</v>
      </c>
      <c r="Q865" s="2">
        <v>45964</v>
      </c>
      <c r="V865" s="45">
        <f>IF(OR(ISNUMBER(SEARCH("unable to locate acct",G865)),ISNUMBER(SEARCH("unknown",G865)),ISNUMBER(SEARCH("inactive",G865)),H865=""),0,1)</f>
        <v>1</v>
      </c>
    </row>
    <row r="866" spans="1:22" ht="11.45" hidden="1" customHeight="1">
      <c r="A866" s="2">
        <v>45906</v>
      </c>
      <c r="B866" s="1" t="s">
        <v>2100</v>
      </c>
      <c r="C866" s="1" t="s">
        <v>61</v>
      </c>
      <c r="D866" s="1" t="s">
        <v>106</v>
      </c>
      <c r="E866" s="1">
        <v>85378</v>
      </c>
      <c r="F866" s="1" t="s">
        <v>732</v>
      </c>
      <c r="G866" s="1" t="s">
        <v>1999</v>
      </c>
      <c r="H866" s="4" t="s">
        <v>5278</v>
      </c>
      <c r="I866" s="5" t="s">
        <v>30</v>
      </c>
      <c r="J866" s="5" t="s">
        <v>31</v>
      </c>
      <c r="K866" s="5" t="s">
        <v>31</v>
      </c>
      <c r="L866" s="5" t="s">
        <v>32</v>
      </c>
      <c r="M866" s="5" t="s">
        <v>31</v>
      </c>
      <c r="N866" s="5" t="s">
        <v>31</v>
      </c>
      <c r="O866" s="5" t="s">
        <v>32</v>
      </c>
      <c r="P866" s="5" t="s">
        <v>33</v>
      </c>
      <c r="Q866" s="2">
        <v>45964</v>
      </c>
      <c r="R866" s="1" t="s">
        <v>2101</v>
      </c>
      <c r="V866" s="45">
        <f>IF(OR(ISNUMBER(SEARCH("unable to locate acct",G866)),ISNUMBER(SEARCH("unknown",G866)),ISNUMBER(SEARCH("inactive",G866)),H866=""),0,1)</f>
        <v>1</v>
      </c>
    </row>
    <row r="867" spans="1:22" ht="11.45" hidden="1" customHeight="1">
      <c r="A867" s="2">
        <v>45906</v>
      </c>
      <c r="B867" s="1" t="s">
        <v>2102</v>
      </c>
      <c r="C867" s="1" t="s">
        <v>356</v>
      </c>
      <c r="D867" s="1" t="s">
        <v>57</v>
      </c>
      <c r="E867" s="1">
        <v>85083</v>
      </c>
      <c r="F867" s="1" t="s">
        <v>25</v>
      </c>
      <c r="G867" s="1" t="s">
        <v>1999</v>
      </c>
      <c r="H867" s="4" t="s">
        <v>5279</v>
      </c>
      <c r="I867" s="5" t="s">
        <v>30</v>
      </c>
      <c r="J867" s="5" t="s">
        <v>31</v>
      </c>
      <c r="K867" s="5" t="s">
        <v>31</v>
      </c>
      <c r="L867" s="5" t="s">
        <v>32</v>
      </c>
      <c r="M867" s="5" t="s">
        <v>31</v>
      </c>
      <c r="N867" s="5" t="s">
        <v>31</v>
      </c>
      <c r="O867" s="5" t="s">
        <v>32</v>
      </c>
      <c r="P867" s="5" t="s">
        <v>33</v>
      </c>
      <c r="Q867" s="2">
        <v>45964</v>
      </c>
      <c r="V867" s="45">
        <f>IF(OR(ISNUMBER(SEARCH("unable to locate acct",G867)),ISNUMBER(SEARCH("unknown",G867)),ISNUMBER(SEARCH("inactive",G867)),H867=""),0,1)</f>
        <v>1</v>
      </c>
    </row>
    <row r="868" spans="1:22" ht="11.45" hidden="1" customHeight="1">
      <c r="A868" s="2">
        <v>45906</v>
      </c>
      <c r="B868" s="1" t="s">
        <v>2103</v>
      </c>
      <c r="C868" s="1" t="s">
        <v>566</v>
      </c>
      <c r="D868" s="1" t="s">
        <v>62</v>
      </c>
      <c r="E868" s="1">
        <v>85331</v>
      </c>
      <c r="F868" s="1" t="s">
        <v>304</v>
      </c>
      <c r="G868" s="1" t="s">
        <v>1999</v>
      </c>
      <c r="H868" s="4" t="s">
        <v>21</v>
      </c>
      <c r="V868" s="45">
        <f>IF(OR(ISNUMBER(SEARCH("unable to locate acct",G868)),ISNUMBER(SEARCH("unknown",G868)),ISNUMBER(SEARCH("inactive",G868)),H868=""),0,1)</f>
        <v>1</v>
      </c>
    </row>
    <row r="869" spans="1:22" ht="11.45" hidden="1" customHeight="1">
      <c r="A869" s="2">
        <v>45906</v>
      </c>
      <c r="B869" s="1" t="s">
        <v>641</v>
      </c>
      <c r="C869" s="1" t="s">
        <v>1602</v>
      </c>
      <c r="D869" s="1" t="s">
        <v>119</v>
      </c>
      <c r="E869" s="1">
        <v>85260</v>
      </c>
      <c r="F869" s="1" t="s">
        <v>304</v>
      </c>
      <c r="G869" s="1" t="s">
        <v>1999</v>
      </c>
      <c r="H869" s="4" t="s">
        <v>5013</v>
      </c>
      <c r="I869" s="5" t="s">
        <v>67</v>
      </c>
      <c r="J869" s="5" t="s">
        <v>31</v>
      </c>
      <c r="K869" s="5" t="s">
        <v>31</v>
      </c>
      <c r="L869" s="5" t="s">
        <v>393</v>
      </c>
      <c r="M869" s="5" t="s">
        <v>31</v>
      </c>
      <c r="N869" s="5" t="s">
        <v>31</v>
      </c>
      <c r="O869" s="5" t="s">
        <v>32</v>
      </c>
      <c r="P869" s="5" t="s">
        <v>33</v>
      </c>
      <c r="Q869" s="2">
        <v>45964</v>
      </c>
      <c r="V869" s="45">
        <f>IF(OR(ISNUMBER(SEARCH("unable to locate acct",G869)),ISNUMBER(SEARCH("unknown",G869)),ISNUMBER(SEARCH("inactive",G869)),H869=""),0,1)</f>
        <v>1</v>
      </c>
    </row>
    <row r="870" spans="1:22" ht="11.45" hidden="1" customHeight="1">
      <c r="A870" s="2">
        <v>45906</v>
      </c>
      <c r="B870" s="1" t="s">
        <v>2104</v>
      </c>
      <c r="C870" s="1" t="s">
        <v>1645</v>
      </c>
      <c r="D870" s="1" t="s">
        <v>119</v>
      </c>
      <c r="E870" s="1">
        <v>85260</v>
      </c>
      <c r="F870" s="1" t="s">
        <v>25</v>
      </c>
      <c r="G870" s="1" t="s">
        <v>1999</v>
      </c>
      <c r="H870" s="4" t="s">
        <v>5280</v>
      </c>
      <c r="I870" s="5" t="s">
        <v>30</v>
      </c>
      <c r="J870" s="5" t="s">
        <v>31</v>
      </c>
      <c r="K870" s="5" t="s">
        <v>31</v>
      </c>
      <c r="L870" s="5" t="s">
        <v>32</v>
      </c>
      <c r="M870" s="5" t="s">
        <v>31</v>
      </c>
      <c r="N870" s="5" t="s">
        <v>31</v>
      </c>
      <c r="O870" s="5" t="s">
        <v>32</v>
      </c>
      <c r="P870" s="5" t="s">
        <v>33</v>
      </c>
      <c r="Q870" s="2">
        <v>45964</v>
      </c>
      <c r="V870" s="45">
        <f>IF(OR(ISNUMBER(SEARCH("unable to locate acct",G870)),ISNUMBER(SEARCH("unknown",G870)),ISNUMBER(SEARCH("inactive",G870)),H870=""),0,1)</f>
        <v>1</v>
      </c>
    </row>
    <row r="871" spans="1:22" ht="11.45" hidden="1" customHeight="1">
      <c r="A871" s="2">
        <v>45906</v>
      </c>
      <c r="B871" s="1" t="s">
        <v>2105</v>
      </c>
      <c r="C871" s="1" t="s">
        <v>1039</v>
      </c>
      <c r="D871" s="1" t="s">
        <v>119</v>
      </c>
      <c r="E871" s="1">
        <v>85260</v>
      </c>
      <c r="F871" s="1" t="s">
        <v>304</v>
      </c>
      <c r="G871" s="1" t="s">
        <v>1999</v>
      </c>
      <c r="H871" s="4" t="s">
        <v>5281</v>
      </c>
      <c r="I871" s="5" t="s">
        <v>120</v>
      </c>
      <c r="J871" s="5" t="s">
        <v>31</v>
      </c>
      <c r="K871" s="5" t="s">
        <v>31</v>
      </c>
      <c r="L871" s="5" t="s">
        <v>32</v>
      </c>
      <c r="M871" s="5" t="s">
        <v>31</v>
      </c>
      <c r="N871" s="5" t="s">
        <v>31</v>
      </c>
      <c r="O871" s="5" t="s">
        <v>32</v>
      </c>
      <c r="P871" s="5" t="s">
        <v>33</v>
      </c>
      <c r="Q871" s="2">
        <v>45964</v>
      </c>
      <c r="V871" s="45">
        <f>IF(OR(ISNUMBER(SEARCH("unable to locate acct",G871)),ISNUMBER(SEARCH("unknown",G871)),ISNUMBER(SEARCH("inactive",G871)),H871=""),0,1)</f>
        <v>1</v>
      </c>
    </row>
    <row r="872" spans="1:22" ht="11.45" hidden="1" customHeight="1">
      <c r="A872" s="2">
        <v>45906</v>
      </c>
      <c r="B872" s="1" t="s">
        <v>327</v>
      </c>
      <c r="C872" s="1" t="s">
        <v>139</v>
      </c>
      <c r="D872" s="1" t="s">
        <v>57</v>
      </c>
      <c r="E872" s="1">
        <v>85085</v>
      </c>
      <c r="F872" s="1" t="s">
        <v>2106</v>
      </c>
      <c r="G872" s="1" t="s">
        <v>1999</v>
      </c>
      <c r="H872" s="4" t="s">
        <v>2107</v>
      </c>
      <c r="I872" s="5" t="s">
        <v>30</v>
      </c>
      <c r="J872" s="5" t="s">
        <v>31</v>
      </c>
      <c r="K872" s="5" t="s">
        <v>31</v>
      </c>
      <c r="L872" s="5" t="s">
        <v>32</v>
      </c>
      <c r="M872" s="5" t="s">
        <v>31</v>
      </c>
      <c r="N872" s="5" t="s">
        <v>31</v>
      </c>
      <c r="O872" s="5" t="s">
        <v>32</v>
      </c>
      <c r="P872" s="5" t="s">
        <v>33</v>
      </c>
      <c r="Q872" s="2">
        <v>45964</v>
      </c>
      <c r="V872" s="45">
        <f>IF(OR(ISNUMBER(SEARCH("unable to locate acct",G872)),ISNUMBER(SEARCH("unknown",G872)),ISNUMBER(SEARCH("inactive",G872)),H872=""),0,1)</f>
        <v>1</v>
      </c>
    </row>
    <row r="873" spans="1:22" ht="11.45" hidden="1" customHeight="1">
      <c r="A873" s="2">
        <v>45906</v>
      </c>
      <c r="B873" s="1" t="s">
        <v>2108</v>
      </c>
      <c r="C873" s="1" t="s">
        <v>2109</v>
      </c>
      <c r="D873" s="1" t="s">
        <v>163</v>
      </c>
      <c r="E873" s="1">
        <v>85338</v>
      </c>
      <c r="F873" s="1" t="s">
        <v>2110</v>
      </c>
      <c r="G873" s="1" t="s">
        <v>1999</v>
      </c>
      <c r="H873" s="4" t="s">
        <v>21</v>
      </c>
      <c r="V873" s="45">
        <f>IF(OR(ISNUMBER(SEARCH("unable to locate acct",G873)),ISNUMBER(SEARCH("unknown",G873)),ISNUMBER(SEARCH("inactive",G873)),H873=""),0,1)</f>
        <v>1</v>
      </c>
    </row>
    <row r="874" spans="1:22" ht="11.45" hidden="1" customHeight="1">
      <c r="A874" s="2">
        <v>45906</v>
      </c>
      <c r="B874" s="1" t="s">
        <v>2111</v>
      </c>
      <c r="C874" s="1" t="s">
        <v>751</v>
      </c>
      <c r="D874" s="1" t="s">
        <v>2112</v>
      </c>
      <c r="E874" s="1">
        <v>85122</v>
      </c>
      <c r="F874" s="1" t="s">
        <v>2113</v>
      </c>
      <c r="G874" s="1" t="s">
        <v>1999</v>
      </c>
      <c r="H874" s="4" t="s">
        <v>5282</v>
      </c>
      <c r="I874" s="5" t="s">
        <v>30</v>
      </c>
      <c r="J874" s="5" t="s">
        <v>31</v>
      </c>
      <c r="K874" s="5" t="s">
        <v>31</v>
      </c>
      <c r="L874" s="5" t="s">
        <v>32</v>
      </c>
      <c r="M874" s="5" t="s">
        <v>31</v>
      </c>
      <c r="N874" s="5" t="s">
        <v>31</v>
      </c>
      <c r="O874" s="5" t="s">
        <v>32</v>
      </c>
      <c r="P874" s="5" t="s">
        <v>33</v>
      </c>
      <c r="Q874" s="2">
        <v>45964</v>
      </c>
      <c r="V874" s="45">
        <f>IF(OR(ISNUMBER(SEARCH("unable to locate acct",G874)),ISNUMBER(SEARCH("unknown",G874)),ISNUMBER(SEARCH("inactive",G874)),H874=""),0,1)</f>
        <v>1</v>
      </c>
    </row>
    <row r="875" spans="1:22" ht="11.45" hidden="1" customHeight="1">
      <c r="A875" s="2">
        <v>45906</v>
      </c>
      <c r="B875" s="1" t="s">
        <v>2114</v>
      </c>
      <c r="C875" s="1" t="s">
        <v>2115</v>
      </c>
      <c r="D875" s="1" t="s">
        <v>196</v>
      </c>
      <c r="E875" s="1">
        <v>85383</v>
      </c>
      <c r="F875" s="1" t="s">
        <v>304</v>
      </c>
      <c r="G875" s="1" t="s">
        <v>1999</v>
      </c>
      <c r="H875" s="4" t="s">
        <v>5014</v>
      </c>
      <c r="I875" s="5" t="s">
        <v>51</v>
      </c>
      <c r="J875" s="5" t="s">
        <v>31</v>
      </c>
      <c r="K875" s="5" t="s">
        <v>31</v>
      </c>
      <c r="L875" s="7" t="s">
        <v>2116</v>
      </c>
      <c r="M875" s="5" t="s">
        <v>31</v>
      </c>
      <c r="N875" s="5" t="s">
        <v>31</v>
      </c>
      <c r="O875" s="5" t="s">
        <v>32</v>
      </c>
      <c r="P875" s="2">
        <v>45939</v>
      </c>
      <c r="Q875" s="2">
        <v>45964</v>
      </c>
      <c r="R875" s="1" t="s">
        <v>2077</v>
      </c>
      <c r="V875" s="45">
        <f>IF(OR(ISNUMBER(SEARCH("unable to locate acct",G875)),ISNUMBER(SEARCH("unknown",G875)),ISNUMBER(SEARCH("inactive",G875)),H875=""),0,1)</f>
        <v>1</v>
      </c>
    </row>
    <row r="876" spans="1:22" ht="11.45" hidden="1" customHeight="1">
      <c r="A876" s="2">
        <v>45906</v>
      </c>
      <c r="B876" s="1" t="s">
        <v>2117</v>
      </c>
      <c r="C876" s="1" t="s">
        <v>520</v>
      </c>
      <c r="D876" s="1" t="s">
        <v>18</v>
      </c>
      <c r="E876" s="1">
        <v>85307</v>
      </c>
      <c r="F876" s="1" t="s">
        <v>2118</v>
      </c>
      <c r="G876" s="1" t="s">
        <v>1999</v>
      </c>
      <c r="H876" s="4" t="s">
        <v>5283</v>
      </c>
      <c r="I876" s="5" t="s">
        <v>40</v>
      </c>
      <c r="J876" s="5" t="s">
        <v>31</v>
      </c>
      <c r="K876" s="5" t="s">
        <v>31</v>
      </c>
      <c r="L876" s="5" t="s">
        <v>32</v>
      </c>
      <c r="M876" s="5" t="s">
        <v>31</v>
      </c>
      <c r="N876" s="5" t="s">
        <v>31</v>
      </c>
      <c r="O876" s="5" t="s">
        <v>32</v>
      </c>
      <c r="P876" s="5" t="s">
        <v>33</v>
      </c>
      <c r="Q876" s="2">
        <v>45964</v>
      </c>
      <c r="V876" s="45">
        <f>IF(OR(ISNUMBER(SEARCH("unable to locate acct",G876)),ISNUMBER(SEARCH("unknown",G876)),ISNUMBER(SEARCH("inactive",G876)),H876=""),0,1)</f>
        <v>1</v>
      </c>
    </row>
    <row r="877" spans="1:22" ht="11.45" hidden="1" customHeight="1">
      <c r="A877" s="2">
        <v>45906</v>
      </c>
      <c r="B877" s="1" t="s">
        <v>2119</v>
      </c>
      <c r="C877" s="1" t="s">
        <v>171</v>
      </c>
      <c r="D877" s="1" t="s">
        <v>57</v>
      </c>
      <c r="E877" s="1">
        <v>85053</v>
      </c>
      <c r="F877" s="1" t="s">
        <v>304</v>
      </c>
      <c r="G877" s="1" t="s">
        <v>1999</v>
      </c>
      <c r="H877" s="4" t="s">
        <v>5284</v>
      </c>
      <c r="I877" s="5" t="s">
        <v>30</v>
      </c>
      <c r="J877" s="5" t="s">
        <v>31</v>
      </c>
      <c r="K877" s="5" t="s">
        <v>31</v>
      </c>
      <c r="L877" s="5" t="s">
        <v>32</v>
      </c>
      <c r="M877" s="5" t="s">
        <v>31</v>
      </c>
      <c r="N877" s="5" t="s">
        <v>31</v>
      </c>
      <c r="O877" s="5" t="s">
        <v>32</v>
      </c>
      <c r="P877" s="5" t="s">
        <v>33</v>
      </c>
      <c r="Q877" s="2">
        <v>45964</v>
      </c>
      <c r="V877" s="45">
        <f>IF(OR(ISNUMBER(SEARCH("unable to locate acct",G877)),ISNUMBER(SEARCH("unknown",G877)),ISNUMBER(SEARCH("inactive",G877)),H877=""),0,1)</f>
        <v>1</v>
      </c>
    </row>
    <row r="878" spans="1:22" ht="11.45" hidden="1" customHeight="1">
      <c r="A878" s="2">
        <v>45906</v>
      </c>
      <c r="B878" s="1" t="s">
        <v>2120</v>
      </c>
      <c r="C878" s="1" t="s">
        <v>129</v>
      </c>
      <c r="D878" s="1" t="s">
        <v>83</v>
      </c>
      <c r="E878" s="1">
        <v>86336</v>
      </c>
      <c r="F878" s="1" t="s">
        <v>1828</v>
      </c>
      <c r="G878" s="1" t="s">
        <v>1999</v>
      </c>
      <c r="H878" s="4" t="s">
        <v>5285</v>
      </c>
      <c r="I878" s="5" t="s">
        <v>237</v>
      </c>
      <c r="J878" s="5" t="s">
        <v>31</v>
      </c>
      <c r="K878" s="5" t="s">
        <v>31</v>
      </c>
      <c r="L878" s="5" t="s">
        <v>381</v>
      </c>
      <c r="M878" s="5" t="s">
        <v>31</v>
      </c>
      <c r="N878" s="5" t="s">
        <v>31</v>
      </c>
      <c r="O878" s="5" t="s">
        <v>32</v>
      </c>
      <c r="P878" s="5" t="s">
        <v>33</v>
      </c>
      <c r="Q878" s="2">
        <v>45964</v>
      </c>
      <c r="V878" s="45">
        <f>IF(OR(ISNUMBER(SEARCH("unable to locate acct",G878)),ISNUMBER(SEARCH("unknown",G878)),ISNUMBER(SEARCH("inactive",G878)),H878=""),0,1)</f>
        <v>1</v>
      </c>
    </row>
    <row r="879" spans="1:22" ht="11.45" hidden="1" customHeight="1">
      <c r="A879" s="2">
        <v>45906</v>
      </c>
      <c r="B879" s="1" t="s">
        <v>2121</v>
      </c>
      <c r="C879" s="1" t="s">
        <v>1837</v>
      </c>
      <c r="D879" s="1" t="s">
        <v>57</v>
      </c>
      <c r="E879" s="1">
        <v>85012</v>
      </c>
      <c r="F879" s="1" t="s">
        <v>304</v>
      </c>
      <c r="G879" s="1" t="s">
        <v>1999</v>
      </c>
      <c r="H879" s="4" t="s">
        <v>2122</v>
      </c>
      <c r="I879" s="5" t="s">
        <v>30</v>
      </c>
      <c r="J879" s="5" t="s">
        <v>31</v>
      </c>
      <c r="K879" s="5" t="s">
        <v>31</v>
      </c>
      <c r="L879" s="5" t="s">
        <v>393</v>
      </c>
      <c r="M879" s="5" t="s">
        <v>31</v>
      </c>
      <c r="N879" s="5" t="s">
        <v>31</v>
      </c>
      <c r="O879" s="5" t="s">
        <v>32</v>
      </c>
      <c r="P879" s="5" t="s">
        <v>33</v>
      </c>
      <c r="Q879" s="2">
        <v>45964</v>
      </c>
      <c r="V879" s="45">
        <f>IF(OR(ISNUMBER(SEARCH("unable to locate acct",G879)),ISNUMBER(SEARCH("unknown",G879)),ISNUMBER(SEARCH("inactive",G879)),H879=""),0,1)</f>
        <v>1</v>
      </c>
    </row>
    <row r="880" spans="1:22" ht="11.45" hidden="1" customHeight="1">
      <c r="A880" s="2">
        <v>45906</v>
      </c>
      <c r="B880" s="1" t="s">
        <v>2123</v>
      </c>
      <c r="C880" s="1" t="s">
        <v>2124</v>
      </c>
      <c r="D880" s="1" t="s">
        <v>2125</v>
      </c>
      <c r="E880" s="1">
        <v>86325</v>
      </c>
      <c r="F880" s="1" t="s">
        <v>2126</v>
      </c>
      <c r="G880" s="1" t="s">
        <v>1999</v>
      </c>
      <c r="H880" s="4" t="s">
        <v>5286</v>
      </c>
      <c r="I880" s="5" t="s">
        <v>67</v>
      </c>
      <c r="J880" s="5" t="s">
        <v>31</v>
      </c>
      <c r="K880" s="5" t="s">
        <v>31</v>
      </c>
      <c r="L880" s="5" t="s">
        <v>32</v>
      </c>
      <c r="M880" s="5" t="s">
        <v>31</v>
      </c>
      <c r="N880" s="5" t="s">
        <v>31</v>
      </c>
      <c r="O880" s="5" t="s">
        <v>32</v>
      </c>
      <c r="P880" s="5" t="s">
        <v>33</v>
      </c>
      <c r="Q880" s="2">
        <v>45964</v>
      </c>
      <c r="V880" s="45">
        <f>IF(OR(ISNUMBER(SEARCH("unable to locate acct",G880)),ISNUMBER(SEARCH("unknown",G880)),ISNUMBER(SEARCH("inactive",G880)),H880=""),0,1)</f>
        <v>1</v>
      </c>
    </row>
    <row r="881" spans="1:22" ht="11.45" hidden="1" customHeight="1">
      <c r="A881" s="2">
        <v>45906</v>
      </c>
      <c r="B881" s="1" t="s">
        <v>2127</v>
      </c>
      <c r="C881" s="1" t="s">
        <v>534</v>
      </c>
      <c r="D881" s="1" t="s">
        <v>57</v>
      </c>
      <c r="E881" s="1">
        <v>85003</v>
      </c>
      <c r="F881" s="1" t="s">
        <v>304</v>
      </c>
      <c r="G881" s="1" t="s">
        <v>1999</v>
      </c>
      <c r="H881" s="4" t="s">
        <v>5287</v>
      </c>
      <c r="I881" s="5" t="s">
        <v>67</v>
      </c>
      <c r="J881" s="5" t="s">
        <v>31</v>
      </c>
      <c r="K881" s="5" t="s">
        <v>31</v>
      </c>
      <c r="L881" s="5" t="s">
        <v>32</v>
      </c>
      <c r="M881" s="5" t="s">
        <v>31</v>
      </c>
      <c r="N881" s="5" t="s">
        <v>31</v>
      </c>
      <c r="O881" s="5" t="s">
        <v>32</v>
      </c>
      <c r="P881" s="5" t="s">
        <v>33</v>
      </c>
      <c r="Q881" s="2">
        <v>45964</v>
      </c>
      <c r="V881" s="45">
        <f>IF(OR(ISNUMBER(SEARCH("unable to locate acct",G881)),ISNUMBER(SEARCH("unknown",G881)),ISNUMBER(SEARCH("inactive",G881)),H881=""),0,1)</f>
        <v>1</v>
      </c>
    </row>
    <row r="882" spans="1:22" ht="11.45" hidden="1" customHeight="1">
      <c r="A882" s="2">
        <v>45906</v>
      </c>
      <c r="B882" s="1" t="s">
        <v>2128</v>
      </c>
      <c r="C882" s="1" t="s">
        <v>602</v>
      </c>
      <c r="D882" s="1" t="s">
        <v>196</v>
      </c>
      <c r="E882" s="1">
        <v>85383</v>
      </c>
      <c r="F882" s="1" t="s">
        <v>2129</v>
      </c>
      <c r="G882" s="1" t="s">
        <v>1999</v>
      </c>
      <c r="H882" s="4" t="s">
        <v>5288</v>
      </c>
      <c r="I882" s="5" t="s">
        <v>410</v>
      </c>
      <c r="J882" s="5" t="s">
        <v>32</v>
      </c>
      <c r="K882" s="5" t="s">
        <v>31</v>
      </c>
      <c r="L882" s="5" t="s">
        <v>381</v>
      </c>
      <c r="M882" s="5" t="s">
        <v>31</v>
      </c>
      <c r="N882" s="5" t="s">
        <v>31</v>
      </c>
      <c r="O882" s="5" t="s">
        <v>32</v>
      </c>
      <c r="P882" s="5" t="s">
        <v>33</v>
      </c>
      <c r="Q882" s="2">
        <v>45964</v>
      </c>
      <c r="V882" s="45">
        <f>IF(OR(ISNUMBER(SEARCH("unable to locate acct",G882)),ISNUMBER(SEARCH("unknown",G882)),ISNUMBER(SEARCH("inactive",G882)),H882=""),0,1)</f>
        <v>1</v>
      </c>
    </row>
    <row r="883" spans="1:22" ht="11.45" hidden="1" customHeight="1">
      <c r="A883" s="2">
        <v>45906</v>
      </c>
      <c r="B883" s="1" t="s">
        <v>2130</v>
      </c>
      <c r="C883" s="1" t="s">
        <v>2131</v>
      </c>
      <c r="D883" s="1" t="s">
        <v>163</v>
      </c>
      <c r="E883" s="1">
        <v>85338</v>
      </c>
      <c r="F883" s="1" t="s">
        <v>25</v>
      </c>
      <c r="G883" s="1" t="s">
        <v>1999</v>
      </c>
      <c r="H883" s="4" t="s">
        <v>5289</v>
      </c>
      <c r="I883" s="5" t="s">
        <v>30</v>
      </c>
      <c r="J883" s="5" t="s">
        <v>31</v>
      </c>
      <c r="K883" s="5" t="s">
        <v>31</v>
      </c>
      <c r="L883" s="5" t="s">
        <v>32</v>
      </c>
      <c r="M883" s="5" t="s">
        <v>31</v>
      </c>
      <c r="N883" s="5" t="s">
        <v>31</v>
      </c>
      <c r="O883" s="5" t="s">
        <v>32</v>
      </c>
      <c r="P883" s="5" t="s">
        <v>33</v>
      </c>
      <c r="Q883" s="2">
        <v>45964</v>
      </c>
      <c r="V883" s="45">
        <f>IF(OR(ISNUMBER(SEARCH("unable to locate acct",G883)),ISNUMBER(SEARCH("unknown",G883)),ISNUMBER(SEARCH("inactive",G883)),H883=""),0,1)</f>
        <v>1</v>
      </c>
    </row>
    <row r="884" spans="1:22" ht="11.45" hidden="1" customHeight="1">
      <c r="A884" s="2">
        <v>45906</v>
      </c>
      <c r="B884" s="1" t="s">
        <v>2132</v>
      </c>
      <c r="C884" s="1" t="s">
        <v>2133</v>
      </c>
      <c r="D884" s="1" t="s">
        <v>57</v>
      </c>
      <c r="E884" s="1">
        <v>85032</v>
      </c>
      <c r="F884" s="1" t="s">
        <v>304</v>
      </c>
      <c r="G884" s="1" t="s">
        <v>1999</v>
      </c>
      <c r="H884" s="21" t="s">
        <v>5665</v>
      </c>
      <c r="I884" s="5" t="s">
        <v>51</v>
      </c>
      <c r="J884" s="5" t="s">
        <v>31</v>
      </c>
      <c r="K884" s="5" t="s">
        <v>31</v>
      </c>
      <c r="L884" s="5" t="s">
        <v>2134</v>
      </c>
      <c r="M884" s="5" t="s">
        <v>31</v>
      </c>
      <c r="N884" s="5" t="s">
        <v>31</v>
      </c>
      <c r="O884" s="5" t="s">
        <v>32</v>
      </c>
      <c r="P884" s="5" t="s">
        <v>33</v>
      </c>
      <c r="Q884" s="2">
        <v>45964</v>
      </c>
      <c r="V884" s="45">
        <f>IF(OR(ISNUMBER(SEARCH("unable to locate acct",G884)),ISNUMBER(SEARCH("unknown",G884)),ISNUMBER(SEARCH("inactive",G884)),H884=""),0,1)</f>
        <v>1</v>
      </c>
    </row>
    <row r="885" spans="1:22" ht="11.45" hidden="1" customHeight="1">
      <c r="A885" s="2">
        <v>45906</v>
      </c>
      <c r="B885" s="1" t="s">
        <v>2135</v>
      </c>
      <c r="C885" s="1" t="s">
        <v>2136</v>
      </c>
      <c r="D885" s="1" t="s">
        <v>57</v>
      </c>
      <c r="E885" s="1">
        <v>85014</v>
      </c>
      <c r="F885" s="1" t="s">
        <v>2137</v>
      </c>
      <c r="G885" s="1" t="s">
        <v>1999</v>
      </c>
      <c r="H885" s="4" t="s">
        <v>5290</v>
      </c>
      <c r="I885" s="5" t="s">
        <v>67</v>
      </c>
      <c r="J885" s="5" t="s">
        <v>31</v>
      </c>
      <c r="K885" s="5" t="s">
        <v>31</v>
      </c>
      <c r="L885" s="5" t="s">
        <v>32</v>
      </c>
      <c r="M885" s="5" t="s">
        <v>31</v>
      </c>
      <c r="N885" s="5" t="s">
        <v>31</v>
      </c>
      <c r="O885" s="5" t="s">
        <v>32</v>
      </c>
      <c r="P885" s="5" t="s">
        <v>33</v>
      </c>
      <c r="Q885" s="2">
        <v>45964</v>
      </c>
      <c r="V885" s="45">
        <f>IF(OR(ISNUMBER(SEARCH("unable to locate acct",G885)),ISNUMBER(SEARCH("unknown",G885)),ISNUMBER(SEARCH("inactive",G885)),H885=""),0,1)</f>
        <v>1</v>
      </c>
    </row>
    <row r="886" spans="1:22" ht="11.45" hidden="1" customHeight="1">
      <c r="A886" s="2">
        <v>45906</v>
      </c>
      <c r="B886" s="1" t="s">
        <v>2138</v>
      </c>
      <c r="C886" s="1" t="s">
        <v>2139</v>
      </c>
      <c r="D886" s="1" t="s">
        <v>106</v>
      </c>
      <c r="E886" s="1">
        <v>85388</v>
      </c>
      <c r="F886" s="1" t="s">
        <v>304</v>
      </c>
      <c r="G886" s="1" t="s">
        <v>2140</v>
      </c>
      <c r="H886" s="4" t="s">
        <v>2141</v>
      </c>
      <c r="I886" s="5" t="s">
        <v>40</v>
      </c>
      <c r="J886" s="5" t="s">
        <v>31</v>
      </c>
      <c r="K886" s="5" t="s">
        <v>31</v>
      </c>
      <c r="L886" s="5" t="s">
        <v>1429</v>
      </c>
      <c r="M886" s="5" t="s">
        <v>31</v>
      </c>
      <c r="N886" s="5" t="s">
        <v>31</v>
      </c>
      <c r="O886" s="5" t="s">
        <v>32</v>
      </c>
      <c r="P886" s="5" t="s">
        <v>33</v>
      </c>
      <c r="Q886" s="2">
        <v>45960</v>
      </c>
      <c r="R886" s="1" t="s">
        <v>2142</v>
      </c>
      <c r="V886" s="45">
        <f>IF(OR(ISNUMBER(SEARCH("unable to locate acct",G886)),ISNUMBER(SEARCH("unknown",G886)),ISNUMBER(SEARCH("inactive",G886)),H886=""),0,1)</f>
        <v>1</v>
      </c>
    </row>
    <row r="887" spans="1:22" ht="11.45" hidden="1" customHeight="1">
      <c r="A887" s="2">
        <v>45906</v>
      </c>
      <c r="B887" s="1" t="s">
        <v>2143</v>
      </c>
      <c r="C887" s="1" t="s">
        <v>432</v>
      </c>
      <c r="D887" s="1" t="s">
        <v>106</v>
      </c>
      <c r="E887" s="1">
        <v>85379</v>
      </c>
      <c r="F887" s="1" t="s">
        <v>2144</v>
      </c>
      <c r="G887" s="1" t="s">
        <v>1999</v>
      </c>
      <c r="H887" s="4" t="s">
        <v>21</v>
      </c>
      <c r="V887" s="45">
        <f>IF(OR(ISNUMBER(SEARCH("unable to locate acct",G887)),ISNUMBER(SEARCH("unknown",G887)),ISNUMBER(SEARCH("inactive",G887)),H887=""),0,1)</f>
        <v>1</v>
      </c>
    </row>
    <row r="888" spans="1:22" ht="11.45" hidden="1" customHeight="1">
      <c r="A888" s="2">
        <v>45906</v>
      </c>
      <c r="B888" s="1" t="s">
        <v>2145</v>
      </c>
      <c r="C888" s="1" t="s">
        <v>2146</v>
      </c>
      <c r="D888" s="1" t="s">
        <v>196</v>
      </c>
      <c r="E888" s="1">
        <v>85383</v>
      </c>
      <c r="F888" s="1" t="s">
        <v>19</v>
      </c>
      <c r="G888" s="1" t="s">
        <v>1999</v>
      </c>
      <c r="H888" s="21" t="s">
        <v>5666</v>
      </c>
      <c r="I888" s="5" t="s">
        <v>30</v>
      </c>
      <c r="J888" s="5" t="s">
        <v>31</v>
      </c>
      <c r="K888" s="5" t="s">
        <v>31</v>
      </c>
      <c r="L888" s="5" t="s">
        <v>32</v>
      </c>
      <c r="M888" s="5" t="s">
        <v>31</v>
      </c>
      <c r="N888" s="5" t="s">
        <v>31</v>
      </c>
      <c r="O888" s="5" t="s">
        <v>32</v>
      </c>
      <c r="P888" s="5" t="s">
        <v>33</v>
      </c>
      <c r="Q888" s="2">
        <v>45964</v>
      </c>
      <c r="V888" s="45">
        <f>IF(OR(ISNUMBER(SEARCH("unable to locate acct",G888)),ISNUMBER(SEARCH("unknown",G888)),ISNUMBER(SEARCH("inactive",G888)),H888=""),0,1)</f>
        <v>1</v>
      </c>
    </row>
    <row r="889" spans="1:22" ht="11.45" hidden="1" customHeight="1">
      <c r="A889" s="2">
        <v>45907</v>
      </c>
      <c r="B889" s="1" t="s">
        <v>2147</v>
      </c>
      <c r="C889" s="1" t="s">
        <v>2148</v>
      </c>
      <c r="D889" s="1" t="s">
        <v>610</v>
      </c>
      <c r="E889" s="1">
        <v>85364</v>
      </c>
      <c r="F889" s="1" t="s">
        <v>304</v>
      </c>
      <c r="G889" s="1" t="s">
        <v>1999</v>
      </c>
      <c r="H889" s="4" t="s">
        <v>203</v>
      </c>
      <c r="V889" s="45">
        <f>IF(OR(ISNUMBER(SEARCH("unable to locate acct",G889)),ISNUMBER(SEARCH("unknown",G889)),ISNUMBER(SEARCH("inactive",G889)),H889=""),0,1)</f>
        <v>1</v>
      </c>
    </row>
    <row r="890" spans="1:22" ht="11.45" hidden="1" customHeight="1">
      <c r="A890" s="2">
        <v>45907</v>
      </c>
      <c r="B890" s="1" t="s">
        <v>2149</v>
      </c>
      <c r="C890" s="1" t="s">
        <v>306</v>
      </c>
      <c r="D890" s="1" t="s">
        <v>119</v>
      </c>
      <c r="E890" s="1">
        <v>85254</v>
      </c>
      <c r="F890" s="1" t="s">
        <v>2150</v>
      </c>
      <c r="G890" s="1" t="s">
        <v>1999</v>
      </c>
      <c r="H890" s="4" t="s">
        <v>2151</v>
      </c>
      <c r="I890" s="5" t="s">
        <v>30</v>
      </c>
      <c r="J890" s="5" t="s">
        <v>31</v>
      </c>
      <c r="K890" s="5" t="s">
        <v>31</v>
      </c>
      <c r="L890" s="5" t="s">
        <v>32</v>
      </c>
      <c r="M890" s="5" t="s">
        <v>31</v>
      </c>
      <c r="N890" s="5" t="s">
        <v>31</v>
      </c>
      <c r="O890" s="5" t="s">
        <v>32</v>
      </c>
      <c r="P890" s="5" t="s">
        <v>33</v>
      </c>
      <c r="Q890" s="2">
        <v>45964</v>
      </c>
      <c r="V890" s="45">
        <f>IF(OR(ISNUMBER(SEARCH("unable to locate acct",G890)),ISNUMBER(SEARCH("unknown",G890)),ISNUMBER(SEARCH("inactive",G890)),H890=""),0,1)</f>
        <v>1</v>
      </c>
    </row>
    <row r="891" spans="1:22" ht="11.45" hidden="1" customHeight="1">
      <c r="A891" s="2">
        <v>45907</v>
      </c>
      <c r="B891" s="1" t="s">
        <v>2152</v>
      </c>
      <c r="C891" s="1" t="s">
        <v>2153</v>
      </c>
      <c r="D891" s="1" t="s">
        <v>196</v>
      </c>
      <c r="E891" s="1">
        <v>85382</v>
      </c>
      <c r="F891" s="1" t="s">
        <v>304</v>
      </c>
      <c r="G891" s="1" t="s">
        <v>1999</v>
      </c>
      <c r="H891" s="4" t="s">
        <v>5015</v>
      </c>
      <c r="I891" s="5" t="s">
        <v>190</v>
      </c>
      <c r="J891" s="5" t="s">
        <v>31</v>
      </c>
      <c r="K891" s="5" t="s">
        <v>31</v>
      </c>
      <c r="L891" s="7" t="s">
        <v>2154</v>
      </c>
      <c r="M891" s="5" t="s">
        <v>31</v>
      </c>
      <c r="N891" s="5" t="s">
        <v>31</v>
      </c>
      <c r="O891" s="5" t="s">
        <v>32</v>
      </c>
      <c r="P891" s="2">
        <v>45939</v>
      </c>
      <c r="Q891" s="2">
        <v>45964</v>
      </c>
      <c r="R891" s="1" t="s">
        <v>2077</v>
      </c>
      <c r="V891" s="45">
        <f>IF(OR(ISNUMBER(SEARCH("unable to locate acct",G891)),ISNUMBER(SEARCH("unknown",G891)),ISNUMBER(SEARCH("inactive",G891)),H891=""),0,1)</f>
        <v>1</v>
      </c>
    </row>
    <row r="892" spans="1:22" ht="11.45" hidden="1" customHeight="1">
      <c r="A892" s="2">
        <v>45907</v>
      </c>
      <c r="B892" s="1" t="s">
        <v>2155</v>
      </c>
      <c r="C892" s="1" t="s">
        <v>907</v>
      </c>
      <c r="D892" s="1" t="s">
        <v>57</v>
      </c>
      <c r="E892" s="1">
        <v>85022</v>
      </c>
      <c r="F892" s="1" t="s">
        <v>2156</v>
      </c>
      <c r="G892" s="1" t="s">
        <v>1999</v>
      </c>
      <c r="H892" s="4" t="s">
        <v>5291</v>
      </c>
      <c r="I892" s="5" t="s">
        <v>30</v>
      </c>
      <c r="J892" s="5" t="s">
        <v>31</v>
      </c>
      <c r="K892" s="5" t="s">
        <v>31</v>
      </c>
      <c r="L892" s="5" t="s">
        <v>32</v>
      </c>
      <c r="M892" s="5" t="s">
        <v>31</v>
      </c>
      <c r="N892" s="5" t="s">
        <v>31</v>
      </c>
      <c r="O892" s="5" t="s">
        <v>32</v>
      </c>
      <c r="P892" s="5" t="s">
        <v>33</v>
      </c>
      <c r="Q892" s="2">
        <v>45964</v>
      </c>
      <c r="V892" s="45">
        <f>IF(OR(ISNUMBER(SEARCH("unable to locate acct",G892)),ISNUMBER(SEARCH("unknown",G892)),ISNUMBER(SEARCH("inactive",G892)),H892=""),0,1)</f>
        <v>1</v>
      </c>
    </row>
    <row r="893" spans="1:22" ht="11.45" hidden="1" customHeight="1">
      <c r="A893" s="2">
        <v>45907</v>
      </c>
      <c r="B893" s="1" t="s">
        <v>2157</v>
      </c>
      <c r="C893" s="1" t="s">
        <v>2079</v>
      </c>
      <c r="D893" s="1" t="s">
        <v>57</v>
      </c>
      <c r="E893" s="1">
        <v>85024</v>
      </c>
      <c r="F893" s="1" t="s">
        <v>304</v>
      </c>
      <c r="G893" s="1" t="s">
        <v>1999</v>
      </c>
      <c r="H893" s="4" t="s">
        <v>21</v>
      </c>
      <c r="V893" s="45">
        <f>IF(OR(ISNUMBER(SEARCH("unable to locate acct",G893)),ISNUMBER(SEARCH("unknown",G893)),ISNUMBER(SEARCH("inactive",G893)),H893=""),0,1)</f>
        <v>1</v>
      </c>
    </row>
    <row r="894" spans="1:22" ht="11.45" hidden="1" customHeight="1">
      <c r="A894" s="2">
        <v>45907</v>
      </c>
      <c r="B894" s="1" t="s">
        <v>2158</v>
      </c>
      <c r="C894" s="1" t="s">
        <v>352</v>
      </c>
      <c r="D894" s="1" t="s">
        <v>106</v>
      </c>
      <c r="E894" s="1">
        <v>85387</v>
      </c>
      <c r="F894" s="1" t="s">
        <v>304</v>
      </c>
      <c r="G894" s="1" t="s">
        <v>1999</v>
      </c>
      <c r="H894" s="4" t="s">
        <v>5292</v>
      </c>
      <c r="I894" s="5" t="s">
        <v>190</v>
      </c>
      <c r="J894" s="5" t="s">
        <v>31</v>
      </c>
      <c r="K894" s="5" t="s">
        <v>31</v>
      </c>
      <c r="L894" s="5" t="s">
        <v>32</v>
      </c>
      <c r="M894" s="5" t="s">
        <v>31</v>
      </c>
      <c r="N894" s="5" t="s">
        <v>31</v>
      </c>
      <c r="O894" s="5" t="s">
        <v>32</v>
      </c>
      <c r="P894" s="5" t="s">
        <v>33</v>
      </c>
      <c r="Q894" s="2">
        <v>45964</v>
      </c>
      <c r="V894" s="45">
        <f>IF(OR(ISNUMBER(SEARCH("unable to locate acct",G894)),ISNUMBER(SEARCH("unknown",G894)),ISNUMBER(SEARCH("inactive",G894)),H894=""),0,1)</f>
        <v>1</v>
      </c>
    </row>
    <row r="895" spans="1:22" ht="11.45" hidden="1" customHeight="1">
      <c r="A895" s="2">
        <v>45907</v>
      </c>
      <c r="B895" s="1" t="s">
        <v>2159</v>
      </c>
      <c r="C895" s="1" t="s">
        <v>2160</v>
      </c>
      <c r="D895" s="1" t="s">
        <v>119</v>
      </c>
      <c r="E895" s="1">
        <v>85251</v>
      </c>
      <c r="F895" s="1" t="s">
        <v>2161</v>
      </c>
      <c r="G895" s="1" t="s">
        <v>1999</v>
      </c>
      <c r="H895" s="21" t="s">
        <v>5667</v>
      </c>
      <c r="I895" s="5" t="s">
        <v>67</v>
      </c>
      <c r="J895" s="5" t="s">
        <v>31</v>
      </c>
      <c r="K895" s="5" t="s">
        <v>31</v>
      </c>
      <c r="L895" s="5" t="s">
        <v>32</v>
      </c>
      <c r="M895" s="5" t="s">
        <v>31</v>
      </c>
      <c r="N895" s="5" t="s">
        <v>31</v>
      </c>
      <c r="O895" s="5" t="s">
        <v>32</v>
      </c>
      <c r="P895" s="5" t="s">
        <v>33</v>
      </c>
      <c r="Q895" s="2">
        <v>45964</v>
      </c>
      <c r="V895" s="45">
        <f>IF(OR(ISNUMBER(SEARCH("unable to locate acct",G895)),ISNUMBER(SEARCH("unknown",G895)),ISNUMBER(SEARCH("inactive",G895)),H895=""),0,1)</f>
        <v>1</v>
      </c>
    </row>
    <row r="896" spans="1:22" ht="11.45" hidden="1" customHeight="1">
      <c r="A896" s="2">
        <v>45907</v>
      </c>
      <c r="B896" s="1" t="s">
        <v>2162</v>
      </c>
      <c r="C896" s="1" t="s">
        <v>1608</v>
      </c>
      <c r="D896" s="1" t="s">
        <v>106</v>
      </c>
      <c r="E896" s="1">
        <v>85379</v>
      </c>
      <c r="F896" s="1" t="s">
        <v>2163</v>
      </c>
      <c r="G896" s="1" t="s">
        <v>1999</v>
      </c>
      <c r="H896" s="4" t="s">
        <v>4945</v>
      </c>
      <c r="I896" s="5" t="s">
        <v>190</v>
      </c>
      <c r="J896" s="5" t="s">
        <v>31</v>
      </c>
      <c r="K896" s="5" t="s">
        <v>31</v>
      </c>
      <c r="L896" s="5" t="s">
        <v>2164</v>
      </c>
      <c r="M896" s="5" t="s">
        <v>32</v>
      </c>
      <c r="N896" s="15">
        <v>803.66</v>
      </c>
      <c r="O896" s="5" t="s">
        <v>32</v>
      </c>
      <c r="P896" s="7"/>
      <c r="Q896" s="2">
        <v>45964</v>
      </c>
      <c r="R896" s="1" t="s">
        <v>486</v>
      </c>
      <c r="V896" s="45">
        <f>IF(OR(ISNUMBER(SEARCH("unable to locate acct",G896)),ISNUMBER(SEARCH("unknown",G896)),ISNUMBER(SEARCH("inactive",G896)),H896=""),0,1)</f>
        <v>1</v>
      </c>
    </row>
    <row r="897" spans="1:22" ht="11.45" hidden="1" customHeight="1">
      <c r="A897" s="2">
        <v>45907</v>
      </c>
      <c r="B897" s="1" t="s">
        <v>2165</v>
      </c>
      <c r="C897" s="1" t="s">
        <v>2166</v>
      </c>
      <c r="D897" s="1" t="s">
        <v>650</v>
      </c>
      <c r="E897" s="1">
        <v>85350</v>
      </c>
      <c r="F897" s="1" t="s">
        <v>2167</v>
      </c>
      <c r="G897" s="1" t="s">
        <v>1999</v>
      </c>
      <c r="H897" s="4" t="s">
        <v>5096</v>
      </c>
      <c r="I897" s="5" t="s">
        <v>30</v>
      </c>
      <c r="J897" s="5" t="s">
        <v>32</v>
      </c>
      <c r="K897" s="5" t="s">
        <v>31</v>
      </c>
      <c r="L897" s="5" t="s">
        <v>32</v>
      </c>
      <c r="M897" s="5" t="s">
        <v>32</v>
      </c>
      <c r="N897" s="15">
        <v>1530.91</v>
      </c>
      <c r="O897" s="5" t="s">
        <v>32</v>
      </c>
      <c r="P897" s="7"/>
      <c r="Q897" s="2">
        <v>45964</v>
      </c>
      <c r="R897" s="1" t="s">
        <v>486</v>
      </c>
      <c r="V897" s="45">
        <f>IF(OR(ISNUMBER(SEARCH("unable to locate acct",G897)),ISNUMBER(SEARCH("unknown",G897)),ISNUMBER(SEARCH("inactive",G897)),H897=""),0,1)</f>
        <v>1</v>
      </c>
    </row>
    <row r="898" spans="1:22" ht="11.45" hidden="1" customHeight="1">
      <c r="A898" s="2">
        <v>45907</v>
      </c>
      <c r="B898" s="1" t="s">
        <v>2168</v>
      </c>
      <c r="C898" s="1" t="s">
        <v>2060</v>
      </c>
      <c r="D898" s="1" t="s">
        <v>689</v>
      </c>
      <c r="E898" s="1">
        <v>85375</v>
      </c>
      <c r="F898" s="1" t="s">
        <v>2169</v>
      </c>
      <c r="G898" s="1" t="s">
        <v>1999</v>
      </c>
      <c r="H898" s="4" t="s">
        <v>21</v>
      </c>
      <c r="V898" s="45">
        <f>IF(OR(ISNUMBER(SEARCH("unable to locate acct",G898)),ISNUMBER(SEARCH("unknown",G898)),ISNUMBER(SEARCH("inactive",G898)),H898=""),0,1)</f>
        <v>1</v>
      </c>
    </row>
    <row r="899" spans="1:22" ht="11.45" hidden="1" customHeight="1">
      <c r="A899" s="2">
        <v>45907</v>
      </c>
      <c r="B899" s="1" t="s">
        <v>2170</v>
      </c>
      <c r="C899" s="1" t="s">
        <v>2171</v>
      </c>
      <c r="D899" s="1" t="s">
        <v>37</v>
      </c>
      <c r="E899" s="1">
        <v>85363</v>
      </c>
      <c r="F899" s="1" t="s">
        <v>304</v>
      </c>
      <c r="G899" s="1" t="s">
        <v>1999</v>
      </c>
      <c r="H899" s="4" t="s">
        <v>5016</v>
      </c>
      <c r="I899" s="5" t="s">
        <v>190</v>
      </c>
      <c r="J899" s="5" t="s">
        <v>31</v>
      </c>
      <c r="K899" s="5" t="s">
        <v>31</v>
      </c>
      <c r="L899" s="7" t="s">
        <v>2172</v>
      </c>
      <c r="M899" s="5" t="s">
        <v>31</v>
      </c>
      <c r="N899" s="5" t="s">
        <v>31</v>
      </c>
      <c r="O899" s="5" t="s">
        <v>32</v>
      </c>
      <c r="P899" s="2">
        <v>45964</v>
      </c>
      <c r="Q899" s="2">
        <v>45964</v>
      </c>
      <c r="R899" s="1" t="s">
        <v>2024</v>
      </c>
      <c r="V899" s="45">
        <f>IF(OR(ISNUMBER(SEARCH("unable to locate acct",G899)),ISNUMBER(SEARCH("unknown",G899)),ISNUMBER(SEARCH("inactive",G899)),H899=""),0,1)</f>
        <v>1</v>
      </c>
    </row>
    <row r="900" spans="1:22" ht="11.45" hidden="1" customHeight="1">
      <c r="A900" s="2">
        <v>45907</v>
      </c>
      <c r="B900" s="1" t="s">
        <v>2143</v>
      </c>
      <c r="C900" s="1" t="s">
        <v>2008</v>
      </c>
      <c r="D900" s="1" t="s">
        <v>689</v>
      </c>
      <c r="E900" s="1">
        <v>85376</v>
      </c>
      <c r="F900" s="1" t="s">
        <v>2173</v>
      </c>
      <c r="G900" s="1" t="s">
        <v>1999</v>
      </c>
      <c r="H900" s="4" t="s">
        <v>5017</v>
      </c>
      <c r="I900" s="5" t="s">
        <v>190</v>
      </c>
      <c r="J900" s="5" t="s">
        <v>31</v>
      </c>
      <c r="K900" s="5" t="s">
        <v>31</v>
      </c>
      <c r="L900" s="7" t="s">
        <v>2174</v>
      </c>
      <c r="M900" s="5" t="s">
        <v>31</v>
      </c>
      <c r="N900" s="5" t="s">
        <v>31</v>
      </c>
      <c r="O900" s="5" t="s">
        <v>32</v>
      </c>
      <c r="P900" s="5" t="s">
        <v>33</v>
      </c>
      <c r="Q900" s="2">
        <v>45964</v>
      </c>
      <c r="R900" s="1" t="s">
        <v>2175</v>
      </c>
      <c r="V900" s="45">
        <f>IF(OR(ISNUMBER(SEARCH("unable to locate acct",G900)),ISNUMBER(SEARCH("unknown",G900)),ISNUMBER(SEARCH("inactive",G900)),H900=""),0,1)</f>
        <v>1</v>
      </c>
    </row>
    <row r="901" spans="1:22" ht="11.45" hidden="1" customHeight="1">
      <c r="A901" s="2">
        <v>45907</v>
      </c>
      <c r="B901" s="1" t="s">
        <v>2176</v>
      </c>
      <c r="C901" s="1" t="s">
        <v>2177</v>
      </c>
      <c r="D901" s="1" t="s">
        <v>57</v>
      </c>
      <c r="E901" s="1">
        <v>85024</v>
      </c>
      <c r="F901" s="1" t="s">
        <v>304</v>
      </c>
      <c r="G901" s="1" t="s">
        <v>1999</v>
      </c>
      <c r="H901" s="4" t="s">
        <v>5018</v>
      </c>
      <c r="I901" s="5" t="s">
        <v>51</v>
      </c>
      <c r="J901" s="5" t="s">
        <v>31</v>
      </c>
      <c r="K901" s="5" t="s">
        <v>31</v>
      </c>
      <c r="L901" s="7" t="s">
        <v>2178</v>
      </c>
      <c r="M901" s="5" t="s">
        <v>31</v>
      </c>
      <c r="N901" s="5" t="s">
        <v>31</v>
      </c>
      <c r="O901" s="5" t="s">
        <v>32</v>
      </c>
      <c r="P901" s="2">
        <v>45939</v>
      </c>
      <c r="Q901" s="2">
        <v>45964</v>
      </c>
      <c r="R901" s="1" t="s">
        <v>2077</v>
      </c>
      <c r="V901" s="45">
        <f>IF(OR(ISNUMBER(SEARCH("unable to locate acct",G901)),ISNUMBER(SEARCH("unknown",G901)),ISNUMBER(SEARCH("inactive",G901)),H901=""),0,1)</f>
        <v>1</v>
      </c>
    </row>
    <row r="902" spans="1:22" ht="11.85" hidden="1" customHeight="1">
      <c r="A902" s="2">
        <v>45907</v>
      </c>
      <c r="B902" s="1" t="s">
        <v>2179</v>
      </c>
      <c r="C902" s="1" t="s">
        <v>463</v>
      </c>
      <c r="D902" s="1" t="s">
        <v>106</v>
      </c>
      <c r="E902" s="1">
        <v>85387</v>
      </c>
      <c r="F902" s="1" t="s">
        <v>2180</v>
      </c>
      <c r="G902" s="1" t="s">
        <v>1999</v>
      </c>
      <c r="H902" s="4" t="s">
        <v>5019</v>
      </c>
      <c r="I902" s="5" t="s">
        <v>190</v>
      </c>
      <c r="J902" s="5" t="s">
        <v>31</v>
      </c>
      <c r="K902" s="5" t="s">
        <v>31</v>
      </c>
      <c r="L902" s="7" t="s">
        <v>2181</v>
      </c>
      <c r="M902" s="5" t="s">
        <v>31</v>
      </c>
      <c r="N902" s="5" t="s">
        <v>31</v>
      </c>
      <c r="O902" s="5" t="s">
        <v>32</v>
      </c>
      <c r="P902" s="5" t="s">
        <v>33</v>
      </c>
      <c r="Q902" s="2">
        <v>45964</v>
      </c>
      <c r="R902" s="1" t="s">
        <v>2182</v>
      </c>
      <c r="V902" s="45">
        <f>IF(OR(ISNUMBER(SEARCH("unable to locate acct",G902)),ISNUMBER(SEARCH("unknown",G902)),ISNUMBER(SEARCH("inactive",G902)),H902=""),0,1)</f>
        <v>1</v>
      </c>
    </row>
    <row r="903" spans="1:22" ht="11.85" hidden="1" customHeight="1">
      <c r="A903" s="2">
        <v>45907</v>
      </c>
      <c r="B903" s="1" t="s">
        <v>2183</v>
      </c>
      <c r="C903" s="1" t="s">
        <v>1674</v>
      </c>
      <c r="D903" s="1" t="s">
        <v>57</v>
      </c>
      <c r="E903" s="1">
        <v>85032</v>
      </c>
      <c r="F903" s="1" t="s">
        <v>2184</v>
      </c>
      <c r="G903" s="1" t="s">
        <v>1999</v>
      </c>
      <c r="H903" s="4" t="s">
        <v>5293</v>
      </c>
      <c r="I903" s="5" t="s">
        <v>67</v>
      </c>
      <c r="J903" s="5" t="s">
        <v>31</v>
      </c>
      <c r="K903" s="5" t="s">
        <v>31</v>
      </c>
      <c r="L903" s="5" t="s">
        <v>32</v>
      </c>
      <c r="M903" s="5" t="s">
        <v>31</v>
      </c>
      <c r="N903" s="5" t="s">
        <v>31</v>
      </c>
      <c r="O903" s="5" t="s">
        <v>32</v>
      </c>
      <c r="P903" s="5" t="s">
        <v>33</v>
      </c>
      <c r="Q903" s="2">
        <v>45964</v>
      </c>
      <c r="R903" s="1" t="s">
        <v>2185</v>
      </c>
      <c r="V903" s="45">
        <f>IF(OR(ISNUMBER(SEARCH("unable to locate acct",G903)),ISNUMBER(SEARCH("unknown",G903)),ISNUMBER(SEARCH("inactive",G903)),H903=""),0,1)</f>
        <v>1</v>
      </c>
    </row>
    <row r="904" spans="1:22" ht="11.85" hidden="1" customHeight="1">
      <c r="A904" s="2">
        <v>45907</v>
      </c>
      <c r="B904" s="1" t="s">
        <v>2186</v>
      </c>
      <c r="C904" s="1" t="s">
        <v>762</v>
      </c>
      <c r="D904" s="1" t="s">
        <v>258</v>
      </c>
      <c r="E904" s="1">
        <v>85541</v>
      </c>
      <c r="F904" s="1" t="s">
        <v>304</v>
      </c>
      <c r="G904" s="1" t="s">
        <v>1999</v>
      </c>
      <c r="H904" s="4" t="s">
        <v>21</v>
      </c>
      <c r="V904" s="45">
        <f>IF(OR(ISNUMBER(SEARCH("unable to locate acct",G904)),ISNUMBER(SEARCH("unknown",G904)),ISNUMBER(SEARCH("inactive",G904)),H904=""),0,1)</f>
        <v>1</v>
      </c>
    </row>
    <row r="905" spans="1:22" ht="11.85" hidden="1" customHeight="1">
      <c r="A905" s="2">
        <v>45907</v>
      </c>
      <c r="B905" s="1" t="s">
        <v>1081</v>
      </c>
      <c r="C905" s="1" t="s">
        <v>306</v>
      </c>
      <c r="D905" s="1" t="s">
        <v>57</v>
      </c>
      <c r="E905" s="1">
        <v>85027</v>
      </c>
      <c r="F905" s="1" t="s">
        <v>798</v>
      </c>
      <c r="G905" s="1" t="s">
        <v>1999</v>
      </c>
      <c r="H905" s="4" t="s">
        <v>5294</v>
      </c>
      <c r="I905" s="5" t="s">
        <v>30</v>
      </c>
      <c r="J905" s="5" t="s">
        <v>31</v>
      </c>
      <c r="K905" s="5" t="s">
        <v>31</v>
      </c>
      <c r="L905" s="5" t="s">
        <v>32</v>
      </c>
      <c r="M905" s="5" t="s">
        <v>31</v>
      </c>
      <c r="N905" s="5" t="s">
        <v>31</v>
      </c>
      <c r="O905" s="5" t="s">
        <v>32</v>
      </c>
      <c r="P905" s="5" t="s">
        <v>33</v>
      </c>
      <c r="Q905" s="2">
        <v>45964</v>
      </c>
      <c r="V905" s="45">
        <f>IF(OR(ISNUMBER(SEARCH("unable to locate acct",G905)),ISNUMBER(SEARCH("unknown",G905)),ISNUMBER(SEARCH("inactive",G905)),H905=""),0,1)</f>
        <v>1</v>
      </c>
    </row>
    <row r="906" spans="1:22" ht="11.85" hidden="1" customHeight="1">
      <c r="A906" s="2">
        <v>45907</v>
      </c>
      <c r="B906" s="1" t="s">
        <v>2187</v>
      </c>
      <c r="C906" s="1" t="s">
        <v>1305</v>
      </c>
      <c r="D906" s="1" t="s">
        <v>57</v>
      </c>
      <c r="E906" s="1">
        <v>85008</v>
      </c>
      <c r="F906" s="1" t="s">
        <v>304</v>
      </c>
      <c r="G906" s="1" t="s">
        <v>1999</v>
      </c>
      <c r="H906" s="4" t="s">
        <v>5020</v>
      </c>
      <c r="I906" s="5" t="s">
        <v>120</v>
      </c>
      <c r="J906" s="5" t="s">
        <v>31</v>
      </c>
      <c r="K906" s="5" t="s">
        <v>31</v>
      </c>
      <c r="L906" s="5" t="s">
        <v>2188</v>
      </c>
      <c r="M906" s="5" t="s">
        <v>31</v>
      </c>
      <c r="N906" s="5" t="s">
        <v>31</v>
      </c>
      <c r="O906" s="5" t="s">
        <v>32</v>
      </c>
      <c r="P906" s="5" t="s">
        <v>33</v>
      </c>
      <c r="Q906" s="2">
        <v>45964</v>
      </c>
      <c r="V906" s="45">
        <f>IF(OR(ISNUMBER(SEARCH("unable to locate acct",G906)),ISNUMBER(SEARCH("unknown",G906)),ISNUMBER(SEARCH("inactive",G906)),H906=""),0,1)</f>
        <v>1</v>
      </c>
    </row>
    <row r="907" spans="1:22" ht="11.85" hidden="1" customHeight="1">
      <c r="A907" s="2">
        <v>45907</v>
      </c>
      <c r="B907" s="1" t="s">
        <v>2189</v>
      </c>
      <c r="C907" s="1" t="s">
        <v>419</v>
      </c>
      <c r="D907" s="1" t="s">
        <v>106</v>
      </c>
      <c r="E907" s="1">
        <v>85379</v>
      </c>
      <c r="F907" s="1" t="s">
        <v>2037</v>
      </c>
      <c r="G907" s="1" t="s">
        <v>1999</v>
      </c>
      <c r="H907" s="4" t="s">
        <v>5021</v>
      </c>
      <c r="I907" s="5" t="s">
        <v>67</v>
      </c>
      <c r="J907" s="5" t="s">
        <v>31</v>
      </c>
      <c r="K907" s="5" t="s">
        <v>31</v>
      </c>
      <c r="L907" s="7" t="s">
        <v>2190</v>
      </c>
      <c r="M907" s="5" t="s">
        <v>31</v>
      </c>
      <c r="N907" s="5" t="s">
        <v>31</v>
      </c>
      <c r="O907" s="5" t="s">
        <v>32</v>
      </c>
      <c r="P907" s="2">
        <v>45939</v>
      </c>
      <c r="Q907" s="2">
        <v>45964</v>
      </c>
      <c r="R907" s="1" t="s">
        <v>2191</v>
      </c>
      <c r="V907" s="45">
        <f>IF(OR(ISNUMBER(SEARCH("unable to locate acct",G907)),ISNUMBER(SEARCH("unknown",G907)),ISNUMBER(SEARCH("inactive",G907)),H907=""),0,1)</f>
        <v>1</v>
      </c>
    </row>
    <row r="908" spans="1:22" ht="11.85" hidden="1" customHeight="1">
      <c r="A908" s="2">
        <v>45907</v>
      </c>
      <c r="B908" s="1" t="s">
        <v>2192</v>
      </c>
      <c r="C908" s="1" t="s">
        <v>125</v>
      </c>
      <c r="D908" s="1" t="s">
        <v>363</v>
      </c>
      <c r="E908" s="1">
        <v>85225</v>
      </c>
      <c r="F908" s="1" t="s">
        <v>304</v>
      </c>
      <c r="G908" s="1" t="s">
        <v>1999</v>
      </c>
      <c r="H908" s="4" t="s">
        <v>2193</v>
      </c>
      <c r="I908" s="5" t="s">
        <v>237</v>
      </c>
      <c r="J908" s="5" t="s">
        <v>31</v>
      </c>
      <c r="K908" s="5" t="s">
        <v>31</v>
      </c>
      <c r="L908" s="5" t="s">
        <v>381</v>
      </c>
      <c r="M908" s="5" t="s">
        <v>31</v>
      </c>
      <c r="N908" s="5" t="s">
        <v>31</v>
      </c>
      <c r="O908" s="5" t="s">
        <v>32</v>
      </c>
      <c r="P908" s="5" t="s">
        <v>33</v>
      </c>
      <c r="Q908" s="2">
        <v>45964</v>
      </c>
      <c r="V908" s="45">
        <f>IF(OR(ISNUMBER(SEARCH("unable to locate acct",G908)),ISNUMBER(SEARCH("unknown",G908)),ISNUMBER(SEARCH("inactive",G908)),H908=""),0,1)</f>
        <v>1</v>
      </c>
    </row>
    <row r="909" spans="1:22" ht="11.85" hidden="1" customHeight="1">
      <c r="A909" s="2">
        <v>45907</v>
      </c>
      <c r="B909" s="1" t="s">
        <v>2194</v>
      </c>
      <c r="C909" s="1" t="s">
        <v>2195</v>
      </c>
      <c r="D909" s="1" t="s">
        <v>119</v>
      </c>
      <c r="E909" s="1">
        <v>85259</v>
      </c>
      <c r="F909" s="1" t="s">
        <v>304</v>
      </c>
      <c r="G909" s="1" t="s">
        <v>1999</v>
      </c>
      <c r="H909" s="4" t="s">
        <v>21</v>
      </c>
      <c r="V909" s="45">
        <f>IF(OR(ISNUMBER(SEARCH("unable to locate acct",G909)),ISNUMBER(SEARCH("unknown",G909)),ISNUMBER(SEARCH("inactive",G909)),H909=""),0,1)</f>
        <v>1</v>
      </c>
    </row>
    <row r="910" spans="1:22" ht="11.85" hidden="1" customHeight="1">
      <c r="A910" s="2">
        <v>45907</v>
      </c>
      <c r="B910" s="1" t="s">
        <v>2196</v>
      </c>
      <c r="C910" s="1" t="s">
        <v>2139</v>
      </c>
      <c r="D910" s="1" t="s">
        <v>1092</v>
      </c>
      <c r="E910" s="1">
        <v>85355</v>
      </c>
      <c r="F910" s="1" t="s">
        <v>2197</v>
      </c>
      <c r="G910" s="1" t="s">
        <v>1999</v>
      </c>
      <c r="H910" s="4" t="s">
        <v>5097</v>
      </c>
      <c r="I910" s="5" t="s">
        <v>30</v>
      </c>
      <c r="J910" s="5" t="s">
        <v>31</v>
      </c>
      <c r="K910" s="5" t="s">
        <v>31</v>
      </c>
      <c r="L910" s="5" t="s">
        <v>32</v>
      </c>
      <c r="M910" s="5" t="s">
        <v>32</v>
      </c>
      <c r="N910" s="13">
        <v>189.57</v>
      </c>
      <c r="O910" s="5" t="s">
        <v>32</v>
      </c>
      <c r="P910" s="5" t="s">
        <v>33</v>
      </c>
      <c r="Q910" s="2">
        <v>45964</v>
      </c>
      <c r="V910" s="45">
        <f>IF(OR(ISNUMBER(SEARCH("unable to locate acct",G910)),ISNUMBER(SEARCH("unknown",G910)),ISNUMBER(SEARCH("inactive",G910)),H910=""),0,1)</f>
        <v>1</v>
      </c>
    </row>
    <row r="911" spans="1:22" ht="11.85" hidden="1" customHeight="1">
      <c r="A911" s="2">
        <v>45907</v>
      </c>
      <c r="B911" s="1" t="s">
        <v>2198</v>
      </c>
      <c r="C911" s="1" t="s">
        <v>2199</v>
      </c>
      <c r="D911" s="1" t="s">
        <v>196</v>
      </c>
      <c r="E911" s="1">
        <v>85383</v>
      </c>
      <c r="F911" s="1" t="s">
        <v>25</v>
      </c>
      <c r="G911" s="1" t="s">
        <v>1999</v>
      </c>
      <c r="H911" s="21" t="s">
        <v>5668</v>
      </c>
      <c r="I911" s="5" t="s">
        <v>30</v>
      </c>
      <c r="J911" s="5" t="s">
        <v>31</v>
      </c>
      <c r="K911" s="5" t="s">
        <v>31</v>
      </c>
      <c r="L911" s="5" t="s">
        <v>32</v>
      </c>
      <c r="M911" s="5" t="s">
        <v>31</v>
      </c>
      <c r="N911" s="5" t="s">
        <v>31</v>
      </c>
      <c r="O911" s="5" t="s">
        <v>32</v>
      </c>
      <c r="P911" s="5" t="s">
        <v>33</v>
      </c>
      <c r="Q911" s="2">
        <v>45964</v>
      </c>
      <c r="V911" s="45">
        <f>IF(OR(ISNUMBER(SEARCH("unable to locate acct",G911)),ISNUMBER(SEARCH("unknown",G911)),ISNUMBER(SEARCH("inactive",G911)),H911=""),0,1)</f>
        <v>1</v>
      </c>
    </row>
    <row r="912" spans="1:22" ht="11.85" hidden="1" customHeight="1">
      <c r="A912" s="2">
        <v>45907</v>
      </c>
      <c r="B912" s="1" t="s">
        <v>2200</v>
      </c>
      <c r="C912" s="1" t="s">
        <v>748</v>
      </c>
      <c r="D912" s="1" t="s">
        <v>2201</v>
      </c>
      <c r="E912" s="1">
        <v>85087</v>
      </c>
      <c r="F912" s="1" t="s">
        <v>25</v>
      </c>
      <c r="G912" s="1" t="s">
        <v>1999</v>
      </c>
      <c r="H912" s="4" t="s">
        <v>5295</v>
      </c>
      <c r="I912" s="5" t="s">
        <v>244</v>
      </c>
      <c r="J912" s="5" t="s">
        <v>31</v>
      </c>
      <c r="K912" s="5" t="s">
        <v>31</v>
      </c>
      <c r="L912" s="5" t="s">
        <v>32</v>
      </c>
      <c r="M912" s="5" t="s">
        <v>31</v>
      </c>
      <c r="N912" s="5" t="s">
        <v>31</v>
      </c>
      <c r="O912" s="5" t="s">
        <v>32</v>
      </c>
      <c r="P912" s="5" t="s">
        <v>33</v>
      </c>
      <c r="Q912" s="2">
        <v>45964</v>
      </c>
      <c r="V912" s="45">
        <f>IF(OR(ISNUMBER(SEARCH("unable to locate acct",G912)),ISNUMBER(SEARCH("unknown",G912)),ISNUMBER(SEARCH("inactive",G912)),H912=""),0,1)</f>
        <v>1</v>
      </c>
    </row>
    <row r="913" spans="1:22" ht="11.85" hidden="1" customHeight="1">
      <c r="A913" s="2">
        <v>45907</v>
      </c>
      <c r="B913" s="1" t="s">
        <v>818</v>
      </c>
      <c r="C913" s="1" t="s">
        <v>2202</v>
      </c>
      <c r="D913" s="1" t="s">
        <v>57</v>
      </c>
      <c r="E913" s="1">
        <v>85013</v>
      </c>
      <c r="F913" s="1" t="s">
        <v>304</v>
      </c>
      <c r="G913" s="1" t="s">
        <v>1999</v>
      </c>
      <c r="H913" s="4" t="s">
        <v>5296</v>
      </c>
      <c r="I913" s="5" t="s">
        <v>120</v>
      </c>
      <c r="J913" s="5" t="s">
        <v>31</v>
      </c>
      <c r="K913" s="5" t="s">
        <v>31</v>
      </c>
      <c r="L913" s="5" t="s">
        <v>32</v>
      </c>
      <c r="M913" s="5" t="s">
        <v>31</v>
      </c>
      <c r="N913" s="5" t="s">
        <v>31</v>
      </c>
      <c r="O913" s="5" t="s">
        <v>32</v>
      </c>
      <c r="P913" s="5" t="s">
        <v>33</v>
      </c>
      <c r="Q913" s="2">
        <v>45964</v>
      </c>
      <c r="V913" s="45">
        <f>IF(OR(ISNUMBER(SEARCH("unable to locate acct",G913)),ISNUMBER(SEARCH("unknown",G913)),ISNUMBER(SEARCH("inactive",G913)),H913=""),0,1)</f>
        <v>1</v>
      </c>
    </row>
    <row r="914" spans="1:22" ht="11.85" hidden="1" customHeight="1">
      <c r="A914" s="2">
        <v>45907</v>
      </c>
      <c r="B914" s="1" t="s">
        <v>2203</v>
      </c>
      <c r="C914" s="1" t="s">
        <v>2204</v>
      </c>
      <c r="D914" s="1" t="s">
        <v>57</v>
      </c>
      <c r="E914" s="1">
        <v>85023</v>
      </c>
      <c r="F914" s="1" t="s">
        <v>2205</v>
      </c>
      <c r="G914" s="1" t="s">
        <v>1999</v>
      </c>
      <c r="H914" s="4" t="s">
        <v>5297</v>
      </c>
      <c r="I914" s="5" t="s">
        <v>67</v>
      </c>
      <c r="J914" s="5" t="s">
        <v>31</v>
      </c>
      <c r="K914" s="5" t="s">
        <v>31</v>
      </c>
      <c r="L914" s="5" t="s">
        <v>32</v>
      </c>
      <c r="M914" s="5" t="s">
        <v>31</v>
      </c>
      <c r="N914" s="5" t="s">
        <v>31</v>
      </c>
      <c r="O914" s="5" t="s">
        <v>32</v>
      </c>
      <c r="P914" s="5" t="s">
        <v>33</v>
      </c>
      <c r="Q914" s="2">
        <v>45964</v>
      </c>
      <c r="V914" s="45">
        <f>IF(OR(ISNUMBER(SEARCH("unable to locate acct",G914)),ISNUMBER(SEARCH("unknown",G914)),ISNUMBER(SEARCH("inactive",G914)),H914=""),0,1)</f>
        <v>1</v>
      </c>
    </row>
    <row r="915" spans="1:22" ht="11.85" hidden="1" customHeight="1">
      <c r="A915" s="2">
        <v>45907</v>
      </c>
      <c r="B915" s="1" t="s">
        <v>2206</v>
      </c>
      <c r="C915" s="1" t="s">
        <v>2207</v>
      </c>
      <c r="D915" s="1" t="s">
        <v>57</v>
      </c>
      <c r="E915" s="1">
        <v>85027</v>
      </c>
      <c r="F915" s="1" t="s">
        <v>25</v>
      </c>
      <c r="G915" s="1" t="s">
        <v>1999</v>
      </c>
      <c r="H915" s="4" t="s">
        <v>21</v>
      </c>
      <c r="V915" s="45">
        <f>IF(OR(ISNUMBER(SEARCH("unable to locate acct",G915)),ISNUMBER(SEARCH("unknown",G915)),ISNUMBER(SEARCH("inactive",G915)),H915=""),0,1)</f>
        <v>1</v>
      </c>
    </row>
    <row r="916" spans="1:22" ht="11.85" hidden="1" customHeight="1">
      <c r="A916" s="2">
        <v>45907</v>
      </c>
      <c r="B916" s="1" t="s">
        <v>2208</v>
      </c>
      <c r="C916" s="1" t="s">
        <v>2209</v>
      </c>
      <c r="D916" s="1" t="s">
        <v>196</v>
      </c>
      <c r="E916" s="1">
        <v>85383</v>
      </c>
      <c r="F916" s="1" t="s">
        <v>2210</v>
      </c>
      <c r="G916" s="1" t="s">
        <v>1999</v>
      </c>
      <c r="H916" s="4" t="s">
        <v>5298</v>
      </c>
      <c r="I916" s="5" t="s">
        <v>30</v>
      </c>
      <c r="J916" s="5" t="s">
        <v>31</v>
      </c>
      <c r="K916" s="5" t="s">
        <v>31</v>
      </c>
      <c r="L916" s="5" t="s">
        <v>32</v>
      </c>
      <c r="M916" s="5" t="s">
        <v>31</v>
      </c>
      <c r="N916" s="5" t="s">
        <v>31</v>
      </c>
      <c r="O916" s="5" t="s">
        <v>32</v>
      </c>
      <c r="P916" s="5" t="s">
        <v>33</v>
      </c>
      <c r="Q916" s="2">
        <v>45964</v>
      </c>
      <c r="V916" s="45">
        <f>IF(OR(ISNUMBER(SEARCH("unable to locate acct",G916)),ISNUMBER(SEARCH("unknown",G916)),ISNUMBER(SEARCH("inactive",G916)),H916=""),0,1)</f>
        <v>1</v>
      </c>
    </row>
    <row r="917" spans="1:22" ht="11.85" hidden="1" customHeight="1">
      <c r="A917" s="2">
        <v>45907</v>
      </c>
      <c r="B917" s="1" t="s">
        <v>499</v>
      </c>
      <c r="C917" s="1" t="s">
        <v>909</v>
      </c>
      <c r="D917" s="1" t="s">
        <v>119</v>
      </c>
      <c r="E917" s="1">
        <v>85266</v>
      </c>
      <c r="F917" s="1" t="s">
        <v>25</v>
      </c>
      <c r="G917" s="1" t="s">
        <v>1999</v>
      </c>
      <c r="H917" s="21" t="s">
        <v>5669</v>
      </c>
      <c r="I917" s="5" t="s">
        <v>30</v>
      </c>
      <c r="J917" s="5" t="s">
        <v>31</v>
      </c>
      <c r="K917" s="5" t="s">
        <v>31</v>
      </c>
      <c r="L917" s="5" t="s">
        <v>32</v>
      </c>
      <c r="M917" s="5" t="s">
        <v>31</v>
      </c>
      <c r="N917" s="5" t="s">
        <v>31</v>
      </c>
      <c r="O917" s="5" t="s">
        <v>32</v>
      </c>
      <c r="P917" s="5" t="s">
        <v>33</v>
      </c>
      <c r="Q917" s="2">
        <v>45964</v>
      </c>
      <c r="V917" s="45">
        <f>IF(OR(ISNUMBER(SEARCH("unable to locate acct",G917)),ISNUMBER(SEARCH("unknown",G917)),ISNUMBER(SEARCH("inactive",G917)),H917=""),0,1)</f>
        <v>1</v>
      </c>
    </row>
    <row r="918" spans="1:22" ht="11.85" hidden="1" customHeight="1">
      <c r="A918" s="2">
        <v>45907</v>
      </c>
      <c r="B918" s="1" t="s">
        <v>677</v>
      </c>
      <c r="C918" s="1" t="s">
        <v>472</v>
      </c>
      <c r="D918" s="1" t="s">
        <v>196</v>
      </c>
      <c r="E918" s="1">
        <v>85383</v>
      </c>
      <c r="F918" s="1" t="s">
        <v>304</v>
      </c>
      <c r="G918" s="1" t="s">
        <v>1999</v>
      </c>
      <c r="H918" s="4" t="s">
        <v>203</v>
      </c>
      <c r="V918" s="45">
        <f>IF(OR(ISNUMBER(SEARCH("unable to locate acct",G918)),ISNUMBER(SEARCH("unknown",G918)),ISNUMBER(SEARCH("inactive",G918)),H918=""),0,1)</f>
        <v>1</v>
      </c>
    </row>
    <row r="919" spans="1:22" ht="11.85" hidden="1" customHeight="1">
      <c r="A919" s="2">
        <v>45907</v>
      </c>
      <c r="B919" s="1" t="s">
        <v>2211</v>
      </c>
      <c r="C919" s="1" t="s">
        <v>2212</v>
      </c>
      <c r="D919" s="1" t="s">
        <v>196</v>
      </c>
      <c r="E919" s="1">
        <v>85381</v>
      </c>
      <c r="F919" s="1" t="s">
        <v>304</v>
      </c>
      <c r="G919" s="1" t="s">
        <v>1999</v>
      </c>
      <c r="H919" s="4" t="s">
        <v>21</v>
      </c>
      <c r="V919" s="45">
        <f>IF(OR(ISNUMBER(SEARCH("unable to locate acct",G919)),ISNUMBER(SEARCH("unknown",G919)),ISNUMBER(SEARCH("inactive",G919)),H919=""),0,1)</f>
        <v>1</v>
      </c>
    </row>
    <row r="920" spans="1:22" ht="11.85" hidden="1" customHeight="1">
      <c r="A920" s="2">
        <v>45907</v>
      </c>
      <c r="B920" s="1" t="s">
        <v>1358</v>
      </c>
      <c r="C920" s="1" t="s">
        <v>2213</v>
      </c>
      <c r="D920" s="1" t="s">
        <v>163</v>
      </c>
      <c r="E920" s="1">
        <v>85395</v>
      </c>
      <c r="F920" s="1" t="s">
        <v>25</v>
      </c>
      <c r="G920" s="1" t="s">
        <v>1999</v>
      </c>
      <c r="H920" s="21" t="s">
        <v>5670</v>
      </c>
      <c r="I920" s="5" t="s">
        <v>1501</v>
      </c>
      <c r="J920" s="5" t="s">
        <v>31</v>
      </c>
      <c r="K920" s="5" t="s">
        <v>31</v>
      </c>
      <c r="L920" s="5" t="s">
        <v>32</v>
      </c>
      <c r="M920" s="5" t="s">
        <v>31</v>
      </c>
      <c r="N920" s="5" t="s">
        <v>31</v>
      </c>
      <c r="O920" s="5" t="s">
        <v>32</v>
      </c>
      <c r="P920" s="5" t="s">
        <v>33</v>
      </c>
      <c r="Q920" s="2">
        <v>45964</v>
      </c>
      <c r="V920" s="45">
        <f>IF(OR(ISNUMBER(SEARCH("unable to locate acct",G920)),ISNUMBER(SEARCH("unknown",G920)),ISNUMBER(SEARCH("inactive",G920)),H920=""),0,1)</f>
        <v>1</v>
      </c>
    </row>
    <row r="921" spans="1:22" ht="11.85" hidden="1" customHeight="1">
      <c r="A921" s="2">
        <v>45907</v>
      </c>
      <c r="B921" s="1" t="s">
        <v>2214</v>
      </c>
      <c r="C921" s="1" t="s">
        <v>1747</v>
      </c>
      <c r="D921" s="1" t="s">
        <v>163</v>
      </c>
      <c r="E921" s="1">
        <v>85395</v>
      </c>
      <c r="F921" s="1" t="s">
        <v>2129</v>
      </c>
      <c r="G921" s="1" t="s">
        <v>1999</v>
      </c>
      <c r="H921" s="4" t="s">
        <v>5299</v>
      </c>
      <c r="I921" s="5" t="s">
        <v>30</v>
      </c>
      <c r="J921" s="5" t="s">
        <v>31</v>
      </c>
      <c r="K921" s="5" t="s">
        <v>31</v>
      </c>
      <c r="L921" s="5" t="s">
        <v>32</v>
      </c>
      <c r="M921" s="5" t="s">
        <v>31</v>
      </c>
      <c r="N921" s="5" t="s">
        <v>31</v>
      </c>
      <c r="O921" s="5" t="s">
        <v>32</v>
      </c>
      <c r="P921" s="5" t="s">
        <v>33</v>
      </c>
      <c r="Q921" s="2">
        <v>45964</v>
      </c>
      <c r="V921" s="45">
        <f>IF(OR(ISNUMBER(SEARCH("unable to locate acct",G921)),ISNUMBER(SEARCH("unknown",G921)),ISNUMBER(SEARCH("inactive",G921)),H921=""),0,1)</f>
        <v>1</v>
      </c>
    </row>
    <row r="922" spans="1:22" ht="11.85" hidden="1" customHeight="1">
      <c r="A922" s="2">
        <v>45907</v>
      </c>
      <c r="B922" s="1" t="s">
        <v>2215</v>
      </c>
      <c r="C922" s="1" t="s">
        <v>2216</v>
      </c>
      <c r="D922" s="1" t="s">
        <v>123</v>
      </c>
      <c r="E922" s="1">
        <v>85223</v>
      </c>
      <c r="F922" s="1" t="s">
        <v>304</v>
      </c>
      <c r="G922" s="1" t="s">
        <v>1999</v>
      </c>
      <c r="H922" s="4" t="s">
        <v>5022</v>
      </c>
      <c r="I922" s="5" t="s">
        <v>51</v>
      </c>
      <c r="J922" s="5" t="s">
        <v>31</v>
      </c>
      <c r="K922" s="5" t="s">
        <v>31</v>
      </c>
      <c r="L922" s="5" t="s">
        <v>2217</v>
      </c>
      <c r="M922" s="5" t="s">
        <v>31</v>
      </c>
      <c r="N922" s="5" t="s">
        <v>31</v>
      </c>
      <c r="O922" s="5" t="s">
        <v>32</v>
      </c>
      <c r="P922" s="5" t="s">
        <v>33</v>
      </c>
      <c r="Q922" s="2">
        <v>45964</v>
      </c>
      <c r="V922" s="45">
        <f>IF(OR(ISNUMBER(SEARCH("unable to locate acct",G922)),ISNUMBER(SEARCH("unknown",G922)),ISNUMBER(SEARCH("inactive",G922)),H922=""),0,1)</f>
        <v>1</v>
      </c>
    </row>
    <row r="923" spans="1:22" ht="11.85" hidden="1" customHeight="1">
      <c r="A923" s="2">
        <v>45907</v>
      </c>
      <c r="B923" s="1" t="s">
        <v>2218</v>
      </c>
      <c r="C923" s="1" t="s">
        <v>2219</v>
      </c>
      <c r="D923" s="1" t="s">
        <v>2220</v>
      </c>
      <c r="E923" s="1">
        <v>85086</v>
      </c>
      <c r="F923" s="1" t="s">
        <v>2221</v>
      </c>
      <c r="G923" s="1" t="s">
        <v>1999</v>
      </c>
      <c r="H923" s="4" t="s">
        <v>21</v>
      </c>
      <c r="V923" s="45">
        <f>IF(OR(ISNUMBER(SEARCH("unable to locate acct",G923)),ISNUMBER(SEARCH("unknown",G923)),ISNUMBER(SEARCH("inactive",G923)),H923=""),0,1)</f>
        <v>1</v>
      </c>
    </row>
    <row r="924" spans="1:22" ht="11.85" hidden="1" customHeight="1">
      <c r="A924" s="2">
        <v>45907</v>
      </c>
      <c r="B924" s="1" t="s">
        <v>2222</v>
      </c>
      <c r="C924" s="1" t="s">
        <v>2223</v>
      </c>
      <c r="D924" s="1" t="s">
        <v>130</v>
      </c>
      <c r="E924" s="1">
        <v>85377</v>
      </c>
      <c r="F924" s="1" t="s">
        <v>2224</v>
      </c>
      <c r="G924" s="1" t="s">
        <v>1999</v>
      </c>
      <c r="H924" s="4" t="s">
        <v>5300</v>
      </c>
      <c r="I924" s="5" t="s">
        <v>30</v>
      </c>
      <c r="J924" s="5" t="s">
        <v>31</v>
      </c>
      <c r="K924" s="5" t="s">
        <v>31</v>
      </c>
      <c r="L924" s="5" t="s">
        <v>32</v>
      </c>
      <c r="M924" s="5" t="s">
        <v>31</v>
      </c>
      <c r="N924" s="5" t="s">
        <v>31</v>
      </c>
      <c r="O924" s="5" t="s">
        <v>32</v>
      </c>
      <c r="P924" s="5" t="s">
        <v>33</v>
      </c>
      <c r="Q924" s="2">
        <v>45961</v>
      </c>
      <c r="V924" s="45">
        <f>IF(OR(ISNUMBER(SEARCH("unable to locate acct",G924)),ISNUMBER(SEARCH("unknown",G924)),ISNUMBER(SEARCH("inactive",G924)),H924=""),0,1)</f>
        <v>1</v>
      </c>
    </row>
    <row r="925" spans="1:22" ht="11.85" hidden="1" customHeight="1">
      <c r="A925" s="2">
        <v>45907</v>
      </c>
      <c r="B925" s="1" t="s">
        <v>2225</v>
      </c>
      <c r="C925" s="1" t="s">
        <v>2226</v>
      </c>
      <c r="D925" s="1" t="s">
        <v>847</v>
      </c>
      <c r="E925" s="1">
        <v>85086</v>
      </c>
      <c r="F925" s="1" t="s">
        <v>2227</v>
      </c>
      <c r="G925" s="1" t="s">
        <v>1999</v>
      </c>
      <c r="H925" s="4" t="s">
        <v>5023</v>
      </c>
      <c r="I925" s="5" t="s">
        <v>190</v>
      </c>
      <c r="J925" s="5" t="s">
        <v>31</v>
      </c>
      <c r="K925" s="5" t="s">
        <v>31</v>
      </c>
      <c r="L925" s="5" t="s">
        <v>2228</v>
      </c>
      <c r="M925" s="5" t="s">
        <v>31</v>
      </c>
      <c r="N925" s="5" t="s">
        <v>31</v>
      </c>
      <c r="O925" s="5" t="s">
        <v>32</v>
      </c>
      <c r="P925" s="5" t="s">
        <v>33</v>
      </c>
      <c r="Q925" s="2">
        <v>45961</v>
      </c>
      <c r="V925" s="45">
        <f>IF(OR(ISNUMBER(SEARCH("unable to locate acct",G925)),ISNUMBER(SEARCH("unknown",G925)),ISNUMBER(SEARCH("inactive",G925)),H925=""),0,1)</f>
        <v>1</v>
      </c>
    </row>
    <row r="926" spans="1:22" ht="11.85" hidden="1" customHeight="1">
      <c r="A926" s="2">
        <v>45907</v>
      </c>
      <c r="B926" s="1" t="s">
        <v>2229</v>
      </c>
      <c r="C926" s="1" t="s">
        <v>2230</v>
      </c>
      <c r="D926" s="1" t="s">
        <v>2231</v>
      </c>
      <c r="E926" s="1">
        <v>85342</v>
      </c>
      <c r="F926" s="1" t="s">
        <v>25</v>
      </c>
      <c r="G926" s="1" t="s">
        <v>1999</v>
      </c>
      <c r="H926" s="4" t="s">
        <v>21</v>
      </c>
      <c r="V926" s="45">
        <f>IF(OR(ISNUMBER(SEARCH("unable to locate acct",G926)),ISNUMBER(SEARCH("unknown",G926)),ISNUMBER(SEARCH("inactive",G926)),H926=""),0,1)</f>
        <v>1</v>
      </c>
    </row>
    <row r="927" spans="1:22" ht="11.85" hidden="1" customHeight="1">
      <c r="A927" s="2">
        <v>45907</v>
      </c>
      <c r="B927" s="1" t="s">
        <v>2232</v>
      </c>
      <c r="C927" s="1" t="s">
        <v>1028</v>
      </c>
      <c r="D927" s="1" t="s">
        <v>2231</v>
      </c>
      <c r="E927" s="1">
        <v>85342</v>
      </c>
      <c r="F927" s="1" t="s">
        <v>25</v>
      </c>
      <c r="G927" s="1" t="s">
        <v>1999</v>
      </c>
      <c r="H927" s="4" t="s">
        <v>5024</v>
      </c>
      <c r="I927" s="5" t="s">
        <v>30</v>
      </c>
      <c r="J927" s="5" t="s">
        <v>31</v>
      </c>
      <c r="K927" s="5" t="s">
        <v>31</v>
      </c>
      <c r="L927" s="5" t="s">
        <v>2233</v>
      </c>
      <c r="M927" s="5" t="s">
        <v>31</v>
      </c>
      <c r="N927" s="5" t="s">
        <v>31</v>
      </c>
      <c r="O927" s="5" t="s">
        <v>32</v>
      </c>
      <c r="P927" s="5" t="s">
        <v>33</v>
      </c>
      <c r="Q927" s="2">
        <v>45961</v>
      </c>
      <c r="V927" s="45">
        <f>IF(OR(ISNUMBER(SEARCH("unable to locate acct",G927)),ISNUMBER(SEARCH("unknown",G927)),ISNUMBER(SEARCH("inactive",G927)),H927=""),0,1)</f>
        <v>1</v>
      </c>
    </row>
    <row r="928" spans="1:22" ht="11.85" hidden="1" customHeight="1">
      <c r="A928" s="2">
        <v>45907</v>
      </c>
      <c r="B928" s="1" t="s">
        <v>2234</v>
      </c>
      <c r="C928" s="1" t="s">
        <v>2235</v>
      </c>
      <c r="D928" s="1" t="s">
        <v>196</v>
      </c>
      <c r="E928" s="1">
        <v>85383</v>
      </c>
      <c r="F928" s="1" t="s">
        <v>25</v>
      </c>
      <c r="G928" s="1" t="s">
        <v>1999</v>
      </c>
      <c r="H928" s="4" t="s">
        <v>5301</v>
      </c>
      <c r="I928" s="5" t="s">
        <v>67</v>
      </c>
      <c r="J928" s="5" t="s">
        <v>31</v>
      </c>
      <c r="K928" s="5" t="s">
        <v>31</v>
      </c>
      <c r="L928" s="5" t="s">
        <v>32</v>
      </c>
      <c r="M928" s="5" t="s">
        <v>31</v>
      </c>
      <c r="N928" s="5" t="s">
        <v>31</v>
      </c>
      <c r="O928" s="5" t="s">
        <v>32</v>
      </c>
      <c r="P928" s="5" t="s">
        <v>33</v>
      </c>
      <c r="Q928" s="2">
        <v>45961</v>
      </c>
      <c r="V928" s="45">
        <f>IF(OR(ISNUMBER(SEARCH("unable to locate acct",G928)),ISNUMBER(SEARCH("unknown",G928)),ISNUMBER(SEARCH("inactive",G928)),H928=""),0,1)</f>
        <v>1</v>
      </c>
    </row>
    <row r="929" spans="1:22" ht="11.85" hidden="1" customHeight="1">
      <c r="A929" s="2">
        <v>45907</v>
      </c>
      <c r="B929" s="1" t="s">
        <v>2236</v>
      </c>
      <c r="C929" s="1" t="s">
        <v>2237</v>
      </c>
      <c r="D929" s="1" t="s">
        <v>57</v>
      </c>
      <c r="E929" s="1">
        <v>85028</v>
      </c>
      <c r="F929" s="1" t="s">
        <v>304</v>
      </c>
      <c r="G929" s="1" t="s">
        <v>1999</v>
      </c>
      <c r="H929" s="4" t="s">
        <v>21</v>
      </c>
      <c r="V929" s="45">
        <f>IF(OR(ISNUMBER(SEARCH("unable to locate acct",G929)),ISNUMBER(SEARCH("unknown",G929)),ISNUMBER(SEARCH("inactive",G929)),H929=""),0,1)</f>
        <v>1</v>
      </c>
    </row>
    <row r="930" spans="1:22" ht="11.85" hidden="1" customHeight="1">
      <c r="A930" s="2">
        <v>45907</v>
      </c>
      <c r="B930" s="1" t="s">
        <v>2238</v>
      </c>
      <c r="C930" s="1" t="s">
        <v>2239</v>
      </c>
      <c r="D930" s="1" t="s">
        <v>106</v>
      </c>
      <c r="E930" s="1">
        <v>85388</v>
      </c>
      <c r="F930" s="1" t="s">
        <v>304</v>
      </c>
      <c r="G930" s="1" t="s">
        <v>1999</v>
      </c>
      <c r="H930" s="4" t="s">
        <v>5302</v>
      </c>
      <c r="I930" s="5" t="s">
        <v>244</v>
      </c>
      <c r="J930" s="5" t="s">
        <v>31</v>
      </c>
      <c r="K930" s="5" t="s">
        <v>31</v>
      </c>
      <c r="L930" s="5" t="s">
        <v>32</v>
      </c>
      <c r="M930" s="5" t="s">
        <v>31</v>
      </c>
      <c r="N930" s="5" t="s">
        <v>31</v>
      </c>
      <c r="O930" s="5" t="s">
        <v>32</v>
      </c>
      <c r="P930" s="5" t="s">
        <v>33</v>
      </c>
      <c r="Q930" s="2">
        <v>45961</v>
      </c>
      <c r="V930" s="45">
        <f>IF(OR(ISNUMBER(SEARCH("unable to locate acct",G930)),ISNUMBER(SEARCH("unknown",G930)),ISNUMBER(SEARCH("inactive",G930)),H930=""),0,1)</f>
        <v>1</v>
      </c>
    </row>
    <row r="931" spans="1:22" ht="11.85" hidden="1" customHeight="1">
      <c r="A931" s="2">
        <v>45907</v>
      </c>
      <c r="B931" s="1" t="s">
        <v>2240</v>
      </c>
      <c r="C931" s="1" t="s">
        <v>1608</v>
      </c>
      <c r="D931" s="1" t="s">
        <v>196</v>
      </c>
      <c r="E931" s="1">
        <v>85345</v>
      </c>
      <c r="F931" s="1" t="s">
        <v>304</v>
      </c>
      <c r="G931" s="1" t="s">
        <v>1999</v>
      </c>
      <c r="H931" s="4" t="s">
        <v>5025</v>
      </c>
      <c r="I931" s="5" t="s">
        <v>51</v>
      </c>
      <c r="J931" s="5" t="s">
        <v>31</v>
      </c>
      <c r="K931" s="5" t="s">
        <v>31</v>
      </c>
      <c r="L931" s="7" t="s">
        <v>2241</v>
      </c>
      <c r="M931" s="5" t="s">
        <v>31</v>
      </c>
      <c r="N931" s="5" t="s">
        <v>31</v>
      </c>
      <c r="O931" s="5" t="s">
        <v>32</v>
      </c>
      <c r="P931" s="2">
        <v>45939</v>
      </c>
      <c r="Q931" s="2">
        <v>45961</v>
      </c>
      <c r="R931" s="1" t="s">
        <v>2077</v>
      </c>
      <c r="V931" s="45">
        <f>IF(OR(ISNUMBER(SEARCH("unable to locate acct",G931)),ISNUMBER(SEARCH("unknown",G931)),ISNUMBER(SEARCH("inactive",G931)),H931=""),0,1)</f>
        <v>1</v>
      </c>
    </row>
    <row r="932" spans="1:22" ht="11.85" hidden="1" customHeight="1">
      <c r="A932" s="2">
        <v>45907</v>
      </c>
      <c r="B932" s="1" t="s">
        <v>2242</v>
      </c>
      <c r="C932" s="1" t="s">
        <v>1476</v>
      </c>
      <c r="D932" s="1" t="s">
        <v>119</v>
      </c>
      <c r="E932" s="1">
        <v>85260</v>
      </c>
      <c r="F932" s="1" t="s">
        <v>304</v>
      </c>
      <c r="G932" s="1" t="s">
        <v>1999</v>
      </c>
      <c r="H932" s="4" t="s">
        <v>5303</v>
      </c>
      <c r="I932" s="5" t="s">
        <v>190</v>
      </c>
      <c r="J932" s="5" t="s">
        <v>31</v>
      </c>
      <c r="K932" s="5" t="s">
        <v>31</v>
      </c>
      <c r="L932" s="5" t="s">
        <v>32</v>
      </c>
      <c r="M932" s="5" t="s">
        <v>31</v>
      </c>
      <c r="N932" s="5" t="s">
        <v>31</v>
      </c>
      <c r="O932" s="5" t="s">
        <v>32</v>
      </c>
      <c r="P932" s="2">
        <v>45938</v>
      </c>
      <c r="Q932" s="2">
        <v>45961</v>
      </c>
      <c r="R932" s="1" t="s">
        <v>2243</v>
      </c>
      <c r="V932" s="45">
        <f>IF(OR(ISNUMBER(SEARCH("unable to locate acct",G932)),ISNUMBER(SEARCH("unknown",G932)),ISNUMBER(SEARCH("inactive",G932)),H932=""),0,1)</f>
        <v>1</v>
      </c>
    </row>
    <row r="933" spans="1:22" ht="11.85" hidden="1" customHeight="1">
      <c r="A933" s="2">
        <v>45907</v>
      </c>
      <c r="B933" s="1" t="s">
        <v>529</v>
      </c>
      <c r="C933" s="1" t="s">
        <v>118</v>
      </c>
      <c r="D933" s="1" t="s">
        <v>495</v>
      </c>
      <c r="E933" s="1">
        <v>86001</v>
      </c>
      <c r="F933" s="1" t="s">
        <v>304</v>
      </c>
      <c r="G933" s="1" t="s">
        <v>1999</v>
      </c>
      <c r="H933" s="4" t="s">
        <v>5304</v>
      </c>
      <c r="I933" s="5" t="s">
        <v>67</v>
      </c>
      <c r="J933" s="5" t="s">
        <v>31</v>
      </c>
      <c r="K933" s="5" t="s">
        <v>31</v>
      </c>
      <c r="L933" s="5" t="s">
        <v>32</v>
      </c>
      <c r="M933" s="5" t="s">
        <v>31</v>
      </c>
      <c r="N933" s="5" t="s">
        <v>31</v>
      </c>
      <c r="O933" s="5" t="s">
        <v>32</v>
      </c>
      <c r="P933" s="5" t="s">
        <v>33</v>
      </c>
      <c r="Q933" s="2">
        <v>45961</v>
      </c>
      <c r="V933" s="45">
        <f>IF(OR(ISNUMBER(SEARCH("unable to locate acct",G933)),ISNUMBER(SEARCH("unknown",G933)),ISNUMBER(SEARCH("inactive",G933)),H933=""),0,1)</f>
        <v>1</v>
      </c>
    </row>
    <row r="934" spans="1:22" ht="11.85" hidden="1" customHeight="1">
      <c r="A934" s="2">
        <v>45907</v>
      </c>
      <c r="B934" s="1" t="s">
        <v>439</v>
      </c>
      <c r="C934" s="1" t="s">
        <v>129</v>
      </c>
      <c r="D934" s="1" t="s">
        <v>18</v>
      </c>
      <c r="E934" s="1">
        <v>85304</v>
      </c>
      <c r="F934" s="1" t="s">
        <v>2244</v>
      </c>
      <c r="G934" s="1" t="s">
        <v>1999</v>
      </c>
      <c r="H934" s="4" t="s">
        <v>203</v>
      </c>
      <c r="V934" s="45">
        <f>IF(OR(ISNUMBER(SEARCH("unable to locate acct",G934)),ISNUMBER(SEARCH("unknown",G934)),ISNUMBER(SEARCH("inactive",G934)),H934=""),0,1)</f>
        <v>1</v>
      </c>
    </row>
    <row r="935" spans="1:22" ht="11.85" hidden="1" customHeight="1">
      <c r="A935" s="2">
        <v>45907</v>
      </c>
      <c r="B935" s="1" t="s">
        <v>2245</v>
      </c>
      <c r="C935" s="1" t="s">
        <v>2246</v>
      </c>
      <c r="D935" s="1" t="s">
        <v>106</v>
      </c>
      <c r="E935" s="1">
        <v>85379</v>
      </c>
      <c r="F935" s="1" t="s">
        <v>2247</v>
      </c>
      <c r="G935" s="1" t="s">
        <v>1999</v>
      </c>
      <c r="H935" s="4" t="s">
        <v>5305</v>
      </c>
      <c r="I935" s="5" t="s">
        <v>120</v>
      </c>
      <c r="J935" s="5" t="s">
        <v>31</v>
      </c>
      <c r="K935" s="5" t="s">
        <v>31</v>
      </c>
      <c r="L935" s="5" t="s">
        <v>32</v>
      </c>
      <c r="M935" s="5" t="s">
        <v>31</v>
      </c>
      <c r="N935" s="5" t="s">
        <v>31</v>
      </c>
      <c r="O935" s="5" t="s">
        <v>32</v>
      </c>
      <c r="P935" s="5" t="s">
        <v>33</v>
      </c>
      <c r="Q935" s="2">
        <v>45961</v>
      </c>
      <c r="V935" s="45">
        <f>IF(OR(ISNUMBER(SEARCH("unable to locate acct",G935)),ISNUMBER(SEARCH("unknown",G935)),ISNUMBER(SEARCH("inactive",G935)),H935=""),0,1)</f>
        <v>1</v>
      </c>
    </row>
    <row r="936" spans="1:22" ht="11.85" hidden="1" customHeight="1">
      <c r="A936" s="2">
        <v>45907</v>
      </c>
      <c r="B936" s="1" t="s">
        <v>2248</v>
      </c>
      <c r="C936" s="1" t="s">
        <v>2249</v>
      </c>
      <c r="D936" s="1" t="s">
        <v>514</v>
      </c>
      <c r="E936" s="1">
        <v>85392</v>
      </c>
      <c r="F936" s="1" t="s">
        <v>1034</v>
      </c>
      <c r="G936" s="1" t="s">
        <v>1999</v>
      </c>
      <c r="H936" s="4" t="s">
        <v>5026</v>
      </c>
      <c r="I936" s="5" t="s">
        <v>1501</v>
      </c>
      <c r="J936" s="5" t="s">
        <v>31</v>
      </c>
      <c r="K936" s="5" t="s">
        <v>31</v>
      </c>
      <c r="L936" s="5" t="s">
        <v>393</v>
      </c>
      <c r="M936" s="5" t="s">
        <v>31</v>
      </c>
      <c r="N936" s="5" t="s">
        <v>31</v>
      </c>
      <c r="O936" s="5" t="s">
        <v>32</v>
      </c>
      <c r="P936" s="5" t="s">
        <v>33</v>
      </c>
      <c r="Q936" s="2">
        <v>45961</v>
      </c>
      <c r="R936" s="1" t="s">
        <v>2250</v>
      </c>
      <c r="V936" s="45">
        <f>IF(OR(ISNUMBER(SEARCH("unable to locate acct",G936)),ISNUMBER(SEARCH("unknown",G936)),ISNUMBER(SEARCH("inactive",G936)),H936=""),0,1)</f>
        <v>1</v>
      </c>
    </row>
    <row r="937" spans="1:22" ht="11.85" hidden="1" customHeight="1">
      <c r="A937" s="2">
        <v>45907</v>
      </c>
      <c r="B937" s="1" t="s">
        <v>1269</v>
      </c>
      <c r="C937" s="1" t="s">
        <v>2251</v>
      </c>
      <c r="D937" s="1" t="s">
        <v>196</v>
      </c>
      <c r="E937" s="1">
        <v>85382</v>
      </c>
      <c r="F937" s="1" t="s">
        <v>1930</v>
      </c>
      <c r="G937" s="1" t="s">
        <v>1999</v>
      </c>
      <c r="H937" s="4" t="s">
        <v>2252</v>
      </c>
      <c r="I937" s="5" t="s">
        <v>67</v>
      </c>
      <c r="J937" s="5" t="s">
        <v>31</v>
      </c>
      <c r="K937" s="5" t="s">
        <v>31</v>
      </c>
      <c r="L937" s="5" t="s">
        <v>32</v>
      </c>
      <c r="M937" s="5" t="s">
        <v>31</v>
      </c>
      <c r="N937" s="5" t="s">
        <v>31</v>
      </c>
      <c r="O937" s="5" t="s">
        <v>32</v>
      </c>
      <c r="P937" s="5" t="s">
        <v>33</v>
      </c>
      <c r="Q937" s="2">
        <v>45961</v>
      </c>
      <c r="V937" s="45">
        <f>IF(OR(ISNUMBER(SEARCH("unable to locate acct",G937)),ISNUMBER(SEARCH("unknown",G937)),ISNUMBER(SEARCH("inactive",G937)),H937=""),0,1)</f>
        <v>1</v>
      </c>
    </row>
    <row r="938" spans="1:22" ht="11.85" hidden="1" customHeight="1">
      <c r="A938" s="2">
        <v>45907</v>
      </c>
      <c r="B938" s="1" t="s">
        <v>2253</v>
      </c>
      <c r="C938" s="1" t="s">
        <v>1774</v>
      </c>
      <c r="D938" s="1" t="s">
        <v>2254</v>
      </c>
      <c r="E938" s="1">
        <v>86023</v>
      </c>
      <c r="F938" s="1" t="s">
        <v>304</v>
      </c>
      <c r="G938" s="1" t="s">
        <v>1999</v>
      </c>
      <c r="H938" s="4" t="s">
        <v>5306</v>
      </c>
      <c r="I938" s="5" t="s">
        <v>67</v>
      </c>
      <c r="J938" s="5" t="s">
        <v>31</v>
      </c>
      <c r="K938" s="5" t="s">
        <v>31</v>
      </c>
      <c r="L938" s="5" t="s">
        <v>32</v>
      </c>
      <c r="M938" s="5" t="s">
        <v>31</v>
      </c>
      <c r="N938" s="5" t="s">
        <v>31</v>
      </c>
      <c r="O938" s="5" t="s">
        <v>32</v>
      </c>
      <c r="P938" s="5" t="s">
        <v>33</v>
      </c>
      <c r="Q938" s="2">
        <v>45961</v>
      </c>
      <c r="V938" s="45">
        <f>IF(OR(ISNUMBER(SEARCH("unable to locate acct",G938)),ISNUMBER(SEARCH("unknown",G938)),ISNUMBER(SEARCH("inactive",G938)),H938=""),0,1)</f>
        <v>1</v>
      </c>
    </row>
    <row r="939" spans="1:22" ht="11.85" hidden="1" customHeight="1">
      <c r="A939" s="2">
        <v>45907</v>
      </c>
      <c r="B939" s="1" t="s">
        <v>2255</v>
      </c>
      <c r="C939" s="1" t="s">
        <v>463</v>
      </c>
      <c r="D939" s="1" t="s">
        <v>57</v>
      </c>
      <c r="E939" s="1">
        <v>85020</v>
      </c>
      <c r="F939" s="1" t="s">
        <v>304</v>
      </c>
      <c r="G939" s="1" t="s">
        <v>1999</v>
      </c>
      <c r="H939" s="4" t="s">
        <v>4601</v>
      </c>
      <c r="I939" s="5" t="s">
        <v>532</v>
      </c>
      <c r="J939" s="5" t="s">
        <v>31</v>
      </c>
      <c r="K939" s="5" t="s">
        <v>31</v>
      </c>
      <c r="L939" s="5" t="s">
        <v>381</v>
      </c>
      <c r="M939" s="5" t="s">
        <v>31</v>
      </c>
      <c r="N939" s="5" t="s">
        <v>31</v>
      </c>
      <c r="O939" s="5" t="s">
        <v>32</v>
      </c>
      <c r="P939" s="5" t="s">
        <v>33</v>
      </c>
      <c r="Q939" s="2">
        <v>45961</v>
      </c>
      <c r="V939" s="45">
        <f>IF(OR(ISNUMBER(SEARCH("unable to locate acct",G939)),ISNUMBER(SEARCH("unknown",G939)),ISNUMBER(SEARCH("inactive",G939)),H939=""),0,1)</f>
        <v>1</v>
      </c>
    </row>
    <row r="940" spans="1:22" ht="11.85" hidden="1" customHeight="1">
      <c r="A940" s="2">
        <v>45907</v>
      </c>
      <c r="B940" s="1" t="s">
        <v>2256</v>
      </c>
      <c r="C940" s="1" t="s">
        <v>2257</v>
      </c>
      <c r="D940" s="1" t="s">
        <v>57</v>
      </c>
      <c r="E940" s="1">
        <v>85006</v>
      </c>
      <c r="F940" s="1" t="s">
        <v>25</v>
      </c>
      <c r="G940" s="1" t="s">
        <v>1999</v>
      </c>
      <c r="H940" s="4" t="s">
        <v>84</v>
      </c>
      <c r="V940" s="45">
        <f>IF(OR(ISNUMBER(SEARCH("unable to locate acct",G940)),ISNUMBER(SEARCH("unknown",G940)),ISNUMBER(SEARCH("inactive",G940)),H940=""),0,1)</f>
        <v>1</v>
      </c>
    </row>
    <row r="941" spans="1:22" ht="11.85" hidden="1" customHeight="1">
      <c r="A941" s="2">
        <v>45907</v>
      </c>
      <c r="B941" s="1" t="s">
        <v>2258</v>
      </c>
      <c r="C941" s="1" t="s">
        <v>2259</v>
      </c>
      <c r="D941" s="1" t="s">
        <v>57</v>
      </c>
      <c r="E941" s="1">
        <v>85006</v>
      </c>
      <c r="F941" s="1" t="s">
        <v>2260</v>
      </c>
      <c r="G941" s="1" t="s">
        <v>1999</v>
      </c>
      <c r="H941" s="4" t="s">
        <v>21</v>
      </c>
      <c r="V941" s="45">
        <f>IF(OR(ISNUMBER(SEARCH("unable to locate acct",G941)),ISNUMBER(SEARCH("unknown",G941)),ISNUMBER(SEARCH("inactive",G941)),H941=""),0,1)</f>
        <v>1</v>
      </c>
    </row>
    <row r="942" spans="1:22" ht="11.85" hidden="1" customHeight="1">
      <c r="A942" s="2">
        <v>45907</v>
      </c>
      <c r="B942" s="1" t="s">
        <v>2261</v>
      </c>
      <c r="C942" s="1" t="s">
        <v>375</v>
      </c>
      <c r="D942" s="1" t="s">
        <v>106</v>
      </c>
      <c r="E942" s="1">
        <v>85374</v>
      </c>
      <c r="F942" s="1" t="s">
        <v>304</v>
      </c>
      <c r="G942" s="1" t="s">
        <v>1999</v>
      </c>
      <c r="H942" s="4" t="s">
        <v>5027</v>
      </c>
      <c r="I942" s="5" t="s">
        <v>190</v>
      </c>
      <c r="J942" s="5" t="s">
        <v>31</v>
      </c>
      <c r="K942" s="5" t="s">
        <v>31</v>
      </c>
      <c r="L942" s="5" t="s">
        <v>2262</v>
      </c>
      <c r="M942" s="5" t="s">
        <v>31</v>
      </c>
      <c r="N942" s="5" t="s">
        <v>31</v>
      </c>
      <c r="O942" s="5" t="s">
        <v>32</v>
      </c>
      <c r="P942" s="5" t="s">
        <v>33</v>
      </c>
      <c r="Q942" s="2">
        <v>45961</v>
      </c>
      <c r="V942" s="45">
        <f>IF(OR(ISNUMBER(SEARCH("unable to locate acct",G942)),ISNUMBER(SEARCH("unknown",G942)),ISNUMBER(SEARCH("inactive",G942)),H942=""),0,1)</f>
        <v>1</v>
      </c>
    </row>
    <row r="943" spans="1:22" ht="11.85" hidden="1" customHeight="1">
      <c r="A943" s="2">
        <v>45907</v>
      </c>
      <c r="B943" s="1" t="s">
        <v>423</v>
      </c>
      <c r="C943" s="1" t="s">
        <v>2263</v>
      </c>
      <c r="D943" s="1" t="s">
        <v>57</v>
      </c>
      <c r="E943" s="1">
        <v>85016</v>
      </c>
      <c r="F943" s="1" t="s">
        <v>304</v>
      </c>
      <c r="G943" s="1" t="s">
        <v>1999</v>
      </c>
      <c r="H943" s="4" t="s">
        <v>5307</v>
      </c>
      <c r="I943" s="5" t="s">
        <v>120</v>
      </c>
      <c r="J943" s="5" t="s">
        <v>31</v>
      </c>
      <c r="K943" s="5" t="s">
        <v>31</v>
      </c>
      <c r="L943" s="5" t="s">
        <v>32</v>
      </c>
      <c r="M943" s="5" t="s">
        <v>31</v>
      </c>
      <c r="N943" s="5" t="s">
        <v>31</v>
      </c>
      <c r="O943" s="5" t="s">
        <v>32</v>
      </c>
      <c r="P943" s="5" t="s">
        <v>33</v>
      </c>
      <c r="Q943" s="2">
        <v>45961</v>
      </c>
      <c r="V943" s="45">
        <f>IF(OR(ISNUMBER(SEARCH("unable to locate acct",G943)),ISNUMBER(SEARCH("unknown",G943)),ISNUMBER(SEARCH("inactive",G943)),H943=""),0,1)</f>
        <v>1</v>
      </c>
    </row>
    <row r="944" spans="1:22" ht="11.85" hidden="1" customHeight="1">
      <c r="A944" s="2">
        <v>45907</v>
      </c>
      <c r="B944" s="1" t="s">
        <v>2264</v>
      </c>
      <c r="C944" s="1" t="s">
        <v>602</v>
      </c>
      <c r="D944" s="1" t="s">
        <v>2046</v>
      </c>
      <c r="E944" s="1">
        <v>85132</v>
      </c>
      <c r="F944" s="1" t="s">
        <v>25</v>
      </c>
      <c r="G944" s="1" t="s">
        <v>1999</v>
      </c>
      <c r="H944" s="4" t="s">
        <v>21</v>
      </c>
      <c r="V944" s="45">
        <f>IF(OR(ISNUMBER(SEARCH("unable to locate acct",G944)),ISNUMBER(SEARCH("unknown",G944)),ISNUMBER(SEARCH("inactive",G944)),H944=""),0,1)</f>
        <v>1</v>
      </c>
    </row>
    <row r="945" spans="1:22" ht="11.85" hidden="1" customHeight="1">
      <c r="A945" s="2">
        <v>45907</v>
      </c>
      <c r="B945" s="1" t="s">
        <v>2265</v>
      </c>
      <c r="C945" s="1" t="s">
        <v>387</v>
      </c>
      <c r="D945" s="1" t="s">
        <v>57</v>
      </c>
      <c r="E945" s="1">
        <v>85012</v>
      </c>
      <c r="F945" s="1" t="s">
        <v>304</v>
      </c>
      <c r="G945" s="1" t="s">
        <v>1999</v>
      </c>
      <c r="H945" s="4" t="s">
        <v>5028</v>
      </c>
      <c r="I945" s="5" t="s">
        <v>120</v>
      </c>
      <c r="J945" s="5" t="s">
        <v>31</v>
      </c>
      <c r="K945" s="5" t="s">
        <v>31</v>
      </c>
      <c r="L945" s="5" t="s">
        <v>2266</v>
      </c>
      <c r="M945" s="5" t="s">
        <v>31</v>
      </c>
      <c r="N945" s="5" t="s">
        <v>31</v>
      </c>
      <c r="O945" s="5" t="s">
        <v>32</v>
      </c>
      <c r="P945" s="5" t="s">
        <v>33</v>
      </c>
      <c r="Q945" s="2">
        <v>45961</v>
      </c>
      <c r="V945" s="45">
        <f>IF(OR(ISNUMBER(SEARCH("unable to locate acct",G945)),ISNUMBER(SEARCH("unknown",G945)),ISNUMBER(SEARCH("inactive",G945)),H945=""),0,1)</f>
        <v>1</v>
      </c>
    </row>
    <row r="946" spans="1:22" ht="11.85" hidden="1" customHeight="1">
      <c r="A946" s="2">
        <v>45907</v>
      </c>
      <c r="B946" s="1" t="s">
        <v>1515</v>
      </c>
      <c r="C946" s="1" t="s">
        <v>2267</v>
      </c>
      <c r="D946" s="1" t="s">
        <v>57</v>
      </c>
      <c r="E946" s="1">
        <v>85032</v>
      </c>
      <c r="F946" s="1" t="s">
        <v>304</v>
      </c>
      <c r="G946" s="1" t="s">
        <v>1999</v>
      </c>
      <c r="H946" s="4" t="s">
        <v>203</v>
      </c>
      <c r="V946" s="45">
        <f>IF(OR(ISNUMBER(SEARCH("unable to locate acct",G946)),ISNUMBER(SEARCH("unknown",G946)),ISNUMBER(SEARCH("inactive",G946)),H946=""),0,1)</f>
        <v>1</v>
      </c>
    </row>
    <row r="947" spans="1:22" ht="11.85" hidden="1" customHeight="1">
      <c r="A947" s="2">
        <v>45907</v>
      </c>
      <c r="B947" s="1" t="s">
        <v>1751</v>
      </c>
      <c r="C947" s="1" t="s">
        <v>893</v>
      </c>
      <c r="D947" s="1" t="s">
        <v>57</v>
      </c>
      <c r="E947" s="1">
        <v>85012</v>
      </c>
      <c r="F947" s="1" t="s">
        <v>25</v>
      </c>
      <c r="G947" s="1" t="s">
        <v>1999</v>
      </c>
      <c r="H947" s="4" t="s">
        <v>5308</v>
      </c>
      <c r="I947" s="5" t="s">
        <v>120</v>
      </c>
      <c r="J947" s="5" t="s">
        <v>31</v>
      </c>
      <c r="K947" s="5" t="s">
        <v>31</v>
      </c>
      <c r="L947" s="5" t="s">
        <v>32</v>
      </c>
      <c r="M947" s="5" t="s">
        <v>31</v>
      </c>
      <c r="N947" s="5" t="s">
        <v>31</v>
      </c>
      <c r="O947" s="5" t="s">
        <v>32</v>
      </c>
      <c r="P947" s="5" t="s">
        <v>33</v>
      </c>
      <c r="Q947" s="2">
        <v>45961</v>
      </c>
      <c r="V947" s="45">
        <f>IF(OR(ISNUMBER(SEARCH("unable to locate acct",G947)),ISNUMBER(SEARCH("unknown",G947)),ISNUMBER(SEARCH("inactive",G947)),H947=""),0,1)</f>
        <v>1</v>
      </c>
    </row>
    <row r="948" spans="1:22" ht="11.85" hidden="1" customHeight="1">
      <c r="A948" s="2">
        <v>45907</v>
      </c>
      <c r="B948" s="1" t="s">
        <v>1515</v>
      </c>
      <c r="C948" s="1" t="s">
        <v>472</v>
      </c>
      <c r="D948" s="1" t="s">
        <v>57</v>
      </c>
      <c r="E948" s="1">
        <v>85032</v>
      </c>
      <c r="F948" s="1" t="s">
        <v>2268</v>
      </c>
      <c r="G948" s="1" t="s">
        <v>1999</v>
      </c>
      <c r="H948" s="4" t="s">
        <v>5029</v>
      </c>
      <c r="I948" s="5" t="s">
        <v>30</v>
      </c>
      <c r="J948" s="5" t="s">
        <v>31</v>
      </c>
      <c r="K948" s="5" t="s">
        <v>31</v>
      </c>
      <c r="L948" s="5" t="s">
        <v>30</v>
      </c>
      <c r="M948" s="5" t="s">
        <v>31</v>
      </c>
      <c r="N948" s="5" t="s">
        <v>31</v>
      </c>
      <c r="O948" s="5" t="s">
        <v>32</v>
      </c>
      <c r="P948" s="5" t="s">
        <v>33</v>
      </c>
      <c r="Q948" s="2">
        <v>45961</v>
      </c>
      <c r="V948" s="45">
        <f>IF(OR(ISNUMBER(SEARCH("unable to locate acct",G948)),ISNUMBER(SEARCH("unknown",G948)),ISNUMBER(SEARCH("inactive",G948)),H948=""),0,1)</f>
        <v>1</v>
      </c>
    </row>
    <row r="949" spans="1:22" ht="11.85" hidden="1" customHeight="1">
      <c r="A949" s="2">
        <v>45907</v>
      </c>
      <c r="B949" s="1" t="s">
        <v>441</v>
      </c>
      <c r="C949" s="1" t="s">
        <v>2269</v>
      </c>
      <c r="D949" s="1" t="s">
        <v>57</v>
      </c>
      <c r="E949" s="1">
        <v>85032</v>
      </c>
      <c r="F949" s="1" t="s">
        <v>304</v>
      </c>
      <c r="G949" s="1" t="s">
        <v>1999</v>
      </c>
      <c r="H949" s="4" t="s">
        <v>5030</v>
      </c>
      <c r="I949" s="5" t="s">
        <v>190</v>
      </c>
      <c r="J949" s="5" t="s">
        <v>31</v>
      </c>
      <c r="K949" s="5" t="s">
        <v>31</v>
      </c>
      <c r="L949" s="5" t="s">
        <v>2270</v>
      </c>
      <c r="M949" s="5" t="s">
        <v>31</v>
      </c>
      <c r="N949" s="5" t="s">
        <v>31</v>
      </c>
      <c r="O949" s="5" t="s">
        <v>32</v>
      </c>
      <c r="P949" s="5" t="s">
        <v>33</v>
      </c>
      <c r="Q949" s="2">
        <v>45961</v>
      </c>
      <c r="R949" s="1" t="s">
        <v>2271</v>
      </c>
      <c r="V949" s="45">
        <f>IF(OR(ISNUMBER(SEARCH("unable to locate acct",G949)),ISNUMBER(SEARCH("unknown",G949)),ISNUMBER(SEARCH("inactive",G949)),H949=""),0,1)</f>
        <v>1</v>
      </c>
    </row>
    <row r="950" spans="1:22" ht="11.85" hidden="1" customHeight="1">
      <c r="A950" s="2">
        <v>45907</v>
      </c>
      <c r="B950" s="1" t="s">
        <v>2272</v>
      </c>
      <c r="C950" s="1" t="s">
        <v>193</v>
      </c>
      <c r="D950" s="1" t="s">
        <v>495</v>
      </c>
      <c r="E950" s="1">
        <v>86001</v>
      </c>
      <c r="F950" s="1" t="s">
        <v>25</v>
      </c>
      <c r="G950" s="1" t="s">
        <v>1999</v>
      </c>
      <c r="H950" s="4" t="s">
        <v>84</v>
      </c>
      <c r="V950" s="45">
        <f>IF(OR(ISNUMBER(SEARCH("unable to locate acct",G950)),ISNUMBER(SEARCH("unknown",G950)),ISNUMBER(SEARCH("inactive",G950)),H950=""),0,1)</f>
        <v>1</v>
      </c>
    </row>
    <row r="951" spans="1:22" ht="11.85" hidden="1" customHeight="1">
      <c r="A951" s="2">
        <v>45907</v>
      </c>
      <c r="B951" s="1" t="s">
        <v>2273</v>
      </c>
      <c r="C951" s="1" t="s">
        <v>1608</v>
      </c>
      <c r="D951" s="1" t="s">
        <v>18</v>
      </c>
      <c r="E951" s="1">
        <v>85308</v>
      </c>
      <c r="F951" s="1" t="s">
        <v>304</v>
      </c>
      <c r="G951" s="1" t="s">
        <v>1999</v>
      </c>
      <c r="H951" s="4" t="s">
        <v>5031</v>
      </c>
      <c r="I951" s="5" t="s">
        <v>190</v>
      </c>
      <c r="J951" s="5" t="s">
        <v>31</v>
      </c>
      <c r="K951" s="5" t="s">
        <v>31</v>
      </c>
      <c r="L951" s="5" t="s">
        <v>2274</v>
      </c>
      <c r="M951" s="5" t="s">
        <v>31</v>
      </c>
      <c r="N951" s="5" t="s">
        <v>31</v>
      </c>
      <c r="O951" s="5" t="s">
        <v>32</v>
      </c>
      <c r="P951" s="5" t="s">
        <v>33</v>
      </c>
      <c r="Q951" s="2">
        <v>45961</v>
      </c>
      <c r="V951" s="45">
        <f>IF(OR(ISNUMBER(SEARCH("unable to locate acct",G951)),ISNUMBER(SEARCH("unknown",G951)),ISNUMBER(SEARCH("inactive",G951)),H951=""),0,1)</f>
        <v>1</v>
      </c>
    </row>
    <row r="952" spans="1:22" ht="11.85" hidden="1" customHeight="1">
      <c r="A952" s="2">
        <v>45907</v>
      </c>
      <c r="B952" s="1" t="s">
        <v>2275</v>
      </c>
      <c r="C952" s="1" t="s">
        <v>615</v>
      </c>
      <c r="D952" s="1" t="s">
        <v>18</v>
      </c>
      <c r="E952" s="1">
        <v>85310</v>
      </c>
      <c r="F952" s="1" t="s">
        <v>2276</v>
      </c>
      <c r="G952" s="1" t="s">
        <v>1999</v>
      </c>
      <c r="H952" s="4" t="s">
        <v>5032</v>
      </c>
      <c r="I952" s="5" t="s">
        <v>190</v>
      </c>
      <c r="J952" s="5" t="s">
        <v>31</v>
      </c>
      <c r="K952" s="5" t="s">
        <v>31</v>
      </c>
      <c r="L952" s="7" t="s">
        <v>2277</v>
      </c>
      <c r="M952" s="5" t="s">
        <v>31</v>
      </c>
      <c r="N952" s="5" t="s">
        <v>31</v>
      </c>
      <c r="O952" s="5" t="s">
        <v>32</v>
      </c>
      <c r="P952" s="2">
        <v>45938</v>
      </c>
      <c r="Q952" s="2">
        <v>45961</v>
      </c>
      <c r="R952" s="1" t="s">
        <v>2278</v>
      </c>
      <c r="V952" s="45">
        <f>IF(OR(ISNUMBER(SEARCH("unable to locate acct",G952)),ISNUMBER(SEARCH("unknown",G952)),ISNUMBER(SEARCH("inactive",G952)),H952=""),0,1)</f>
        <v>1</v>
      </c>
    </row>
    <row r="953" spans="1:22" ht="11.85" hidden="1" customHeight="1">
      <c r="A953" s="2">
        <v>45907</v>
      </c>
      <c r="B953" s="1" t="s">
        <v>2279</v>
      </c>
      <c r="C953" s="1" t="s">
        <v>2280</v>
      </c>
      <c r="D953" s="1" t="s">
        <v>24</v>
      </c>
      <c r="E953" s="1" t="s">
        <v>24</v>
      </c>
      <c r="F953" s="1" t="s">
        <v>2281</v>
      </c>
      <c r="G953" s="1" t="s">
        <v>1999</v>
      </c>
      <c r="H953" s="4" t="s">
        <v>5309</v>
      </c>
      <c r="I953" s="5" t="s">
        <v>30</v>
      </c>
      <c r="J953" s="5" t="s">
        <v>31</v>
      </c>
      <c r="K953" s="5" t="s">
        <v>31</v>
      </c>
      <c r="L953" s="5" t="s">
        <v>32</v>
      </c>
      <c r="M953" s="5" t="s">
        <v>31</v>
      </c>
      <c r="N953" s="5" t="s">
        <v>31</v>
      </c>
      <c r="O953" s="5" t="s">
        <v>32</v>
      </c>
      <c r="P953" s="5" t="s">
        <v>33</v>
      </c>
      <c r="Q953" s="2">
        <v>45961</v>
      </c>
      <c r="V953" s="45">
        <f>IF(OR(ISNUMBER(SEARCH("unable to locate acct",G953)),ISNUMBER(SEARCH("unknown",G953)),ISNUMBER(SEARCH("inactive",G953)),H953=""),0,1)</f>
        <v>1</v>
      </c>
    </row>
    <row r="954" spans="1:22" ht="11.85" hidden="1" customHeight="1">
      <c r="A954" s="2">
        <v>45907</v>
      </c>
      <c r="B954" s="1" t="s">
        <v>2282</v>
      </c>
      <c r="C954" s="1" t="s">
        <v>2283</v>
      </c>
      <c r="D954" s="1" t="s">
        <v>57</v>
      </c>
      <c r="E954" s="1">
        <v>85022</v>
      </c>
      <c r="F954" s="1" t="s">
        <v>25</v>
      </c>
      <c r="G954" s="1" t="s">
        <v>1999</v>
      </c>
      <c r="H954" s="4" t="s">
        <v>5310</v>
      </c>
      <c r="I954" s="5" t="s">
        <v>190</v>
      </c>
      <c r="J954" s="5" t="s">
        <v>31</v>
      </c>
      <c r="K954" s="5" t="s">
        <v>31</v>
      </c>
      <c r="L954" s="5" t="s">
        <v>32</v>
      </c>
      <c r="M954" s="5" t="s">
        <v>31</v>
      </c>
      <c r="N954" s="5" t="s">
        <v>31</v>
      </c>
      <c r="O954" s="5" t="s">
        <v>32</v>
      </c>
      <c r="P954" s="5" t="s">
        <v>33</v>
      </c>
      <c r="Q954" s="2">
        <v>45961</v>
      </c>
      <c r="V954" s="45">
        <f>IF(OR(ISNUMBER(SEARCH("unable to locate acct",G954)),ISNUMBER(SEARCH("unknown",G954)),ISNUMBER(SEARCH("inactive",G954)),H954=""),0,1)</f>
        <v>1</v>
      </c>
    </row>
    <row r="955" spans="1:22" ht="11.85" hidden="1" customHeight="1">
      <c r="A955" s="2">
        <v>45907</v>
      </c>
      <c r="B955" s="1" t="s">
        <v>2284</v>
      </c>
      <c r="C955" s="1" t="s">
        <v>2285</v>
      </c>
      <c r="D955" s="1" t="s">
        <v>24</v>
      </c>
      <c r="E955" s="1" t="s">
        <v>24</v>
      </c>
      <c r="F955" s="1" t="s">
        <v>2286</v>
      </c>
      <c r="G955" s="1" t="s">
        <v>1999</v>
      </c>
      <c r="H955" s="4" t="s">
        <v>5311</v>
      </c>
      <c r="I955" s="5" t="s">
        <v>410</v>
      </c>
      <c r="J955" s="5" t="s">
        <v>31</v>
      </c>
      <c r="K955" s="5" t="s">
        <v>31</v>
      </c>
      <c r="L955" s="5" t="s">
        <v>381</v>
      </c>
      <c r="M955" s="5" t="s">
        <v>31</v>
      </c>
      <c r="N955" s="5" t="s">
        <v>31</v>
      </c>
      <c r="O955" s="5" t="s">
        <v>32</v>
      </c>
      <c r="P955" s="5" t="s">
        <v>33</v>
      </c>
      <c r="Q955" s="2">
        <v>45961</v>
      </c>
      <c r="V955" s="45">
        <f>IF(OR(ISNUMBER(SEARCH("unable to locate acct",G955)),ISNUMBER(SEARCH("unknown",G955)),ISNUMBER(SEARCH("inactive",G955)),H955=""),0,1)</f>
        <v>1</v>
      </c>
    </row>
    <row r="956" spans="1:22" ht="11.85" hidden="1" customHeight="1">
      <c r="A956" s="2">
        <v>45907</v>
      </c>
      <c r="B956" s="1" t="s">
        <v>2287</v>
      </c>
      <c r="C956" s="1" t="s">
        <v>1929</v>
      </c>
      <c r="D956" s="1" t="s">
        <v>106</v>
      </c>
      <c r="E956" s="1">
        <v>85388</v>
      </c>
      <c r="F956" s="1" t="s">
        <v>25</v>
      </c>
      <c r="G956" s="1" t="s">
        <v>1999</v>
      </c>
      <c r="H956" s="21" t="s">
        <v>5671</v>
      </c>
      <c r="I956" s="5" t="s">
        <v>120</v>
      </c>
      <c r="J956" s="5" t="s">
        <v>31</v>
      </c>
      <c r="K956" s="5" t="s">
        <v>31</v>
      </c>
      <c r="M956" s="5" t="s">
        <v>31</v>
      </c>
      <c r="N956" s="5" t="s">
        <v>31</v>
      </c>
      <c r="O956" s="5" t="s">
        <v>32</v>
      </c>
      <c r="P956" s="5" t="s">
        <v>33</v>
      </c>
      <c r="Q956" s="2">
        <v>45961</v>
      </c>
      <c r="R956" s="1" t="s">
        <v>2288</v>
      </c>
      <c r="V956" s="45">
        <f>IF(OR(ISNUMBER(SEARCH("unable to locate acct",G956)),ISNUMBER(SEARCH("unknown",G956)),ISNUMBER(SEARCH("inactive",G956)),H956=""),0,1)</f>
        <v>1</v>
      </c>
    </row>
    <row r="957" spans="1:22" ht="11.85" hidden="1" customHeight="1">
      <c r="A957" s="2">
        <v>45907</v>
      </c>
      <c r="B957" s="1" t="s">
        <v>2289</v>
      </c>
      <c r="C957" s="1" t="s">
        <v>2290</v>
      </c>
      <c r="D957" s="1" t="s">
        <v>57</v>
      </c>
      <c r="E957" s="1">
        <v>85086</v>
      </c>
      <c r="F957" s="1" t="s">
        <v>25</v>
      </c>
      <c r="G957" s="1" t="s">
        <v>1999</v>
      </c>
      <c r="H957" s="4" t="s">
        <v>2291</v>
      </c>
      <c r="I957" s="5" t="s">
        <v>244</v>
      </c>
      <c r="J957" s="5" t="s">
        <v>31</v>
      </c>
      <c r="K957" s="5" t="s">
        <v>31</v>
      </c>
      <c r="L957" s="5" t="s">
        <v>1429</v>
      </c>
      <c r="M957" s="5" t="s">
        <v>31</v>
      </c>
      <c r="N957" s="5" t="s">
        <v>31</v>
      </c>
      <c r="O957" s="5" t="s">
        <v>32</v>
      </c>
      <c r="P957" s="5" t="s">
        <v>33</v>
      </c>
      <c r="Q957" s="2">
        <v>45961</v>
      </c>
      <c r="V957" s="45">
        <f>IF(OR(ISNUMBER(SEARCH("unable to locate acct",G957)),ISNUMBER(SEARCH("unknown",G957)),ISNUMBER(SEARCH("inactive",G957)),H957=""),0,1)</f>
        <v>1</v>
      </c>
    </row>
    <row r="958" spans="1:22" ht="11.85" hidden="1" customHeight="1">
      <c r="A958" s="2">
        <v>45907</v>
      </c>
      <c r="B958" s="1" t="s">
        <v>2292</v>
      </c>
      <c r="C958" s="1" t="s">
        <v>2022</v>
      </c>
      <c r="D958" s="1" t="s">
        <v>87</v>
      </c>
      <c r="E958" s="1">
        <v>85373</v>
      </c>
      <c r="F958" s="1" t="s">
        <v>25</v>
      </c>
      <c r="G958" s="1" t="s">
        <v>1999</v>
      </c>
      <c r="H958" s="4" t="s">
        <v>2293</v>
      </c>
      <c r="I958" s="5" t="s">
        <v>244</v>
      </c>
      <c r="J958" s="5" t="s">
        <v>31</v>
      </c>
      <c r="K958" s="5" t="s">
        <v>31</v>
      </c>
      <c r="L958" s="7" t="s">
        <v>2294</v>
      </c>
      <c r="M958" s="5" t="s">
        <v>31</v>
      </c>
      <c r="N958" s="5" t="s">
        <v>31</v>
      </c>
      <c r="O958" s="5" t="s">
        <v>32</v>
      </c>
      <c r="P958" s="2">
        <v>45938</v>
      </c>
      <c r="Q958" s="2">
        <v>45961</v>
      </c>
      <c r="R958" s="1" t="s">
        <v>2295</v>
      </c>
      <c r="V958" s="45">
        <f>IF(OR(ISNUMBER(SEARCH("unable to locate acct",G958)),ISNUMBER(SEARCH("unknown",G958)),ISNUMBER(SEARCH("inactive",G958)),H958=""),0,1)</f>
        <v>1</v>
      </c>
    </row>
    <row r="959" spans="1:22" ht="11.85" hidden="1" customHeight="1">
      <c r="A959" s="2">
        <v>45907</v>
      </c>
      <c r="B959" s="1" t="s">
        <v>2296</v>
      </c>
      <c r="C959" s="1" t="s">
        <v>2297</v>
      </c>
      <c r="D959" s="1" t="s">
        <v>57</v>
      </c>
      <c r="E959" s="1">
        <v>85086</v>
      </c>
      <c r="F959" s="1" t="s">
        <v>25</v>
      </c>
      <c r="G959" s="1" t="s">
        <v>1999</v>
      </c>
      <c r="H959" s="4" t="s">
        <v>2298</v>
      </c>
      <c r="I959" s="5" t="s">
        <v>30</v>
      </c>
      <c r="J959" s="5" t="s">
        <v>31</v>
      </c>
      <c r="K959" s="5" t="s">
        <v>31</v>
      </c>
      <c r="L959" s="5" t="s">
        <v>1429</v>
      </c>
      <c r="M959" s="5" t="s">
        <v>31</v>
      </c>
      <c r="N959" s="5" t="s">
        <v>31</v>
      </c>
      <c r="O959" s="5" t="s">
        <v>32</v>
      </c>
      <c r="P959" s="5" t="s">
        <v>33</v>
      </c>
      <c r="Q959" s="2">
        <v>45961</v>
      </c>
      <c r="V959" s="45">
        <f>IF(OR(ISNUMBER(SEARCH("unable to locate acct",G959)),ISNUMBER(SEARCH("unknown",G959)),ISNUMBER(SEARCH("inactive",G959)),H959=""),0,1)</f>
        <v>1</v>
      </c>
    </row>
    <row r="960" spans="1:22" ht="11.85" hidden="1" customHeight="1">
      <c r="A960" s="2">
        <v>45907</v>
      </c>
      <c r="B960" s="1" t="s">
        <v>2299</v>
      </c>
      <c r="C960" s="1" t="s">
        <v>2300</v>
      </c>
      <c r="D960" s="1" t="s">
        <v>119</v>
      </c>
      <c r="E960" s="1">
        <v>85260</v>
      </c>
      <c r="F960" s="1" t="s">
        <v>25</v>
      </c>
      <c r="G960" s="1" t="s">
        <v>1999</v>
      </c>
      <c r="H960" s="4" t="s">
        <v>2301</v>
      </c>
      <c r="I960" s="5" t="s">
        <v>30</v>
      </c>
      <c r="J960" s="5" t="s">
        <v>31</v>
      </c>
      <c r="K960" s="5" t="s">
        <v>31</v>
      </c>
      <c r="L960" s="5" t="s">
        <v>1429</v>
      </c>
      <c r="M960" s="5" t="s">
        <v>31</v>
      </c>
      <c r="N960" s="5" t="s">
        <v>31</v>
      </c>
      <c r="O960" s="5" t="s">
        <v>32</v>
      </c>
      <c r="P960" s="5" t="s">
        <v>33</v>
      </c>
      <c r="Q960" s="2">
        <v>45961</v>
      </c>
      <c r="V960" s="45">
        <f>IF(OR(ISNUMBER(SEARCH("unable to locate acct",G960)),ISNUMBER(SEARCH("unknown",G960)),ISNUMBER(SEARCH("inactive",G960)),H960=""),0,1)</f>
        <v>1</v>
      </c>
    </row>
    <row r="961" spans="1:22" ht="11.85" hidden="1" customHeight="1">
      <c r="A961" s="2">
        <v>45907</v>
      </c>
      <c r="B961" s="1" t="s">
        <v>2302</v>
      </c>
      <c r="C961" s="1" t="s">
        <v>2022</v>
      </c>
      <c r="D961" s="1" t="s">
        <v>24</v>
      </c>
      <c r="E961" s="1" t="s">
        <v>24</v>
      </c>
      <c r="F961" s="1" t="s">
        <v>25</v>
      </c>
      <c r="G961" s="1" t="s">
        <v>1999</v>
      </c>
      <c r="H961" s="4" t="s">
        <v>21</v>
      </c>
      <c r="V961" s="45">
        <f>IF(OR(ISNUMBER(SEARCH("unable to locate acct",G961)),ISNUMBER(SEARCH("unknown",G961)),ISNUMBER(SEARCH("inactive",G961)),H961=""),0,1)</f>
        <v>1</v>
      </c>
    </row>
    <row r="962" spans="1:22" ht="11.85" hidden="1" customHeight="1">
      <c r="A962" s="2">
        <v>45907</v>
      </c>
      <c r="B962" s="1" t="s">
        <v>2303</v>
      </c>
      <c r="C962" s="1" t="s">
        <v>2063</v>
      </c>
      <c r="D962" s="1" t="s">
        <v>24</v>
      </c>
      <c r="E962" s="1" t="s">
        <v>24</v>
      </c>
      <c r="F962" s="1" t="s">
        <v>304</v>
      </c>
      <c r="G962" s="1" t="s">
        <v>1999</v>
      </c>
      <c r="H962" s="4" t="s">
        <v>203</v>
      </c>
      <c r="I962" s="1"/>
      <c r="V962" s="45">
        <f>IF(OR(ISNUMBER(SEARCH("unable to locate acct",G962)),ISNUMBER(SEARCH("unknown",G962)),ISNUMBER(SEARCH("inactive",G962)),H962=""),0,1)</f>
        <v>1</v>
      </c>
    </row>
    <row r="963" spans="1:22" ht="11.85" hidden="1" customHeight="1">
      <c r="A963" s="2">
        <v>45907</v>
      </c>
      <c r="B963" s="1" t="s">
        <v>2304</v>
      </c>
      <c r="C963" s="1" t="s">
        <v>879</v>
      </c>
      <c r="D963" s="1" t="s">
        <v>24</v>
      </c>
      <c r="E963" s="1" t="s">
        <v>24</v>
      </c>
      <c r="F963" s="1" t="s">
        <v>304</v>
      </c>
      <c r="G963" s="1" t="s">
        <v>1999</v>
      </c>
      <c r="H963" s="4" t="s">
        <v>21</v>
      </c>
      <c r="V963" s="45">
        <f>IF(OR(ISNUMBER(SEARCH("unable to locate acct",G963)),ISNUMBER(SEARCH("unknown",G963)),ISNUMBER(SEARCH("inactive",G963)),H963=""),0,1)</f>
        <v>1</v>
      </c>
    </row>
    <row r="964" spans="1:22" ht="11.85" hidden="1" customHeight="1">
      <c r="A964" s="2">
        <v>45907</v>
      </c>
      <c r="B964" s="1" t="s">
        <v>2305</v>
      </c>
      <c r="C964" s="1" t="s">
        <v>1825</v>
      </c>
      <c r="D964" s="1" t="s">
        <v>24</v>
      </c>
      <c r="E964" s="1" t="s">
        <v>24</v>
      </c>
      <c r="F964" s="1" t="s">
        <v>304</v>
      </c>
      <c r="G964" s="1" t="s">
        <v>1999</v>
      </c>
      <c r="H964" s="4" t="s">
        <v>21</v>
      </c>
      <c r="V964" s="45">
        <f>IF(OR(ISNUMBER(SEARCH("unable to locate acct",G964)),ISNUMBER(SEARCH("unknown",G964)),ISNUMBER(SEARCH("inactive",G964)),H964=""),0,1)</f>
        <v>1</v>
      </c>
    </row>
    <row r="965" spans="1:22" ht="11.85" hidden="1" customHeight="1">
      <c r="A965" s="2">
        <v>45907</v>
      </c>
      <c r="B965" s="1" t="s">
        <v>2306</v>
      </c>
      <c r="C965" s="1" t="s">
        <v>2195</v>
      </c>
      <c r="D965" s="1" t="s">
        <v>57</v>
      </c>
      <c r="E965" s="1">
        <v>85086</v>
      </c>
      <c r="F965" s="1" t="s">
        <v>304</v>
      </c>
      <c r="G965" s="1" t="s">
        <v>1999</v>
      </c>
      <c r="H965" s="4" t="s">
        <v>2307</v>
      </c>
      <c r="I965" s="5" t="s">
        <v>190</v>
      </c>
      <c r="J965" s="5" t="s">
        <v>31</v>
      </c>
      <c r="K965" s="5" t="s">
        <v>31</v>
      </c>
      <c r="L965" s="5" t="s">
        <v>2308</v>
      </c>
      <c r="M965" s="5" t="s">
        <v>32</v>
      </c>
      <c r="N965" s="13">
        <v>508.72</v>
      </c>
      <c r="O965" s="5" t="s">
        <v>32</v>
      </c>
      <c r="P965" s="5" t="s">
        <v>33</v>
      </c>
      <c r="Q965" s="2">
        <v>45961</v>
      </c>
      <c r="V965" s="45">
        <f>IF(OR(ISNUMBER(SEARCH("unable to locate acct",G965)),ISNUMBER(SEARCH("unknown",G965)),ISNUMBER(SEARCH("inactive",G965)),H965=""),0,1)</f>
        <v>1</v>
      </c>
    </row>
    <row r="966" spans="1:22" ht="11.85" hidden="1" customHeight="1">
      <c r="A966" s="2">
        <v>45908</v>
      </c>
      <c r="B966" s="1" t="s">
        <v>2309</v>
      </c>
      <c r="C966" s="1" t="s">
        <v>2011</v>
      </c>
      <c r="D966" s="1" t="s">
        <v>83</v>
      </c>
      <c r="E966" s="1">
        <v>86341</v>
      </c>
      <c r="F966" s="1" t="s">
        <v>1726</v>
      </c>
      <c r="G966" s="1" t="s">
        <v>2310</v>
      </c>
      <c r="H966" s="4" t="s">
        <v>2311</v>
      </c>
      <c r="I966" s="5" t="s">
        <v>51</v>
      </c>
      <c r="J966" s="5" t="s">
        <v>31</v>
      </c>
      <c r="K966" s="5" t="s">
        <v>31</v>
      </c>
      <c r="L966" s="7" t="s">
        <v>2312</v>
      </c>
      <c r="M966" s="5" t="s">
        <v>31</v>
      </c>
      <c r="N966" s="5" t="s">
        <v>31</v>
      </c>
      <c r="O966" s="5" t="s">
        <v>32</v>
      </c>
      <c r="P966" s="2">
        <v>45938</v>
      </c>
      <c r="Q966" s="2">
        <v>45961</v>
      </c>
      <c r="R966" s="1" t="s">
        <v>2295</v>
      </c>
      <c r="V966" s="45">
        <f>IF(OR(ISNUMBER(SEARCH("unable to locate acct",G966)),ISNUMBER(SEARCH("unknown",G966)),ISNUMBER(SEARCH("inactive",G966)),H966=""),0,1)</f>
        <v>1</v>
      </c>
    </row>
    <row r="967" spans="1:22" ht="11.85" hidden="1" customHeight="1">
      <c r="A967" s="2">
        <v>45909</v>
      </c>
      <c r="B967" s="1" t="s">
        <v>2313</v>
      </c>
      <c r="C967" s="1" t="s">
        <v>2314</v>
      </c>
      <c r="D967" s="1" t="s">
        <v>57</v>
      </c>
      <c r="E967" s="1">
        <v>85012</v>
      </c>
      <c r="F967" s="1" t="s">
        <v>304</v>
      </c>
      <c r="G967" s="1" t="s">
        <v>2310</v>
      </c>
      <c r="H967" s="4" t="s">
        <v>2315</v>
      </c>
      <c r="I967" s="5" t="s">
        <v>120</v>
      </c>
      <c r="J967" s="5" t="s">
        <v>31</v>
      </c>
      <c r="K967" s="5" t="s">
        <v>31</v>
      </c>
      <c r="L967" s="5" t="s">
        <v>1429</v>
      </c>
      <c r="M967" s="5" t="s">
        <v>31</v>
      </c>
      <c r="N967" s="5" t="s">
        <v>31</v>
      </c>
      <c r="O967" s="5" t="s">
        <v>32</v>
      </c>
      <c r="P967" s="5" t="s">
        <v>33</v>
      </c>
      <c r="Q967" s="2">
        <v>45961</v>
      </c>
      <c r="V967" s="45">
        <f>IF(OR(ISNUMBER(SEARCH("unable to locate acct",G967)),ISNUMBER(SEARCH("unknown",G967)),ISNUMBER(SEARCH("inactive",G967)),H967=""),0,1)</f>
        <v>1</v>
      </c>
    </row>
    <row r="968" spans="1:22" ht="11.85" hidden="1" customHeight="1">
      <c r="A968" s="2">
        <v>45909</v>
      </c>
      <c r="B968" s="1" t="s">
        <v>2316</v>
      </c>
      <c r="C968" s="1" t="s">
        <v>2317</v>
      </c>
      <c r="D968" s="1" t="s">
        <v>196</v>
      </c>
      <c r="E968" s="1">
        <v>85383</v>
      </c>
      <c r="F968" s="1" t="s">
        <v>2318</v>
      </c>
      <c r="G968" s="1" t="s">
        <v>2310</v>
      </c>
      <c r="H968" s="4" t="s">
        <v>2319</v>
      </c>
      <c r="I968" s="5" t="s">
        <v>1346</v>
      </c>
      <c r="J968" s="5" t="s">
        <v>31</v>
      </c>
      <c r="K968" s="5" t="s">
        <v>31</v>
      </c>
      <c r="L968" s="5" t="s">
        <v>381</v>
      </c>
      <c r="M968" s="5" t="s">
        <v>31</v>
      </c>
      <c r="N968" s="5" t="s">
        <v>31</v>
      </c>
      <c r="O968" s="5" t="s">
        <v>32</v>
      </c>
      <c r="P968" s="5" t="s">
        <v>33</v>
      </c>
      <c r="Q968" s="2">
        <v>45961</v>
      </c>
      <c r="V968" s="45">
        <f>IF(OR(ISNUMBER(SEARCH("unable to locate acct",G968)),ISNUMBER(SEARCH("unknown",G968)),ISNUMBER(SEARCH("inactive",G968)),H968=""),0,1)</f>
        <v>1</v>
      </c>
    </row>
    <row r="969" spans="1:22" ht="11.85" hidden="1" customHeight="1">
      <c r="A969" s="2">
        <v>45909</v>
      </c>
      <c r="B969" s="1" t="s">
        <v>677</v>
      </c>
      <c r="C969" s="1" t="s">
        <v>1560</v>
      </c>
      <c r="D969" s="1" t="s">
        <v>106</v>
      </c>
      <c r="E969" s="1">
        <v>85374</v>
      </c>
      <c r="F969" s="1" t="s">
        <v>304</v>
      </c>
      <c r="G969" s="1" t="s">
        <v>2310</v>
      </c>
      <c r="H969" s="4" t="s">
        <v>2320</v>
      </c>
      <c r="I969" s="5" t="s">
        <v>30</v>
      </c>
      <c r="J969" s="5" t="s">
        <v>31</v>
      </c>
      <c r="K969" s="5" t="s">
        <v>31</v>
      </c>
      <c r="L969" s="5" t="s">
        <v>1429</v>
      </c>
      <c r="M969" s="5" t="s">
        <v>31</v>
      </c>
      <c r="N969" s="5" t="s">
        <v>31</v>
      </c>
      <c r="O969" s="5" t="s">
        <v>32</v>
      </c>
      <c r="P969" s="5" t="s">
        <v>33</v>
      </c>
      <c r="Q969" s="2">
        <v>45961</v>
      </c>
      <c r="V969" s="45">
        <f>IF(OR(ISNUMBER(SEARCH("unable to locate acct",G969)),ISNUMBER(SEARCH("unknown",G969)),ISNUMBER(SEARCH("inactive",G969)),H969=""),0,1)</f>
        <v>1</v>
      </c>
    </row>
    <row r="970" spans="1:22" ht="11.85" hidden="1" customHeight="1">
      <c r="A970" s="2">
        <v>45909</v>
      </c>
      <c r="B970" s="1" t="s">
        <v>1515</v>
      </c>
      <c r="C970" s="1" t="s">
        <v>2321</v>
      </c>
      <c r="D970" s="1" t="s">
        <v>57</v>
      </c>
      <c r="E970" s="1">
        <v>85032</v>
      </c>
      <c r="F970" s="1" t="s">
        <v>304</v>
      </c>
      <c r="G970" s="1" t="s">
        <v>2310</v>
      </c>
      <c r="H970" s="4" t="s">
        <v>21</v>
      </c>
      <c r="V970" s="45">
        <f>IF(OR(ISNUMBER(SEARCH("unable to locate acct",G970)),ISNUMBER(SEARCH("unknown",G970)),ISNUMBER(SEARCH("inactive",G970)),H970=""),0,1)</f>
        <v>1</v>
      </c>
    </row>
    <row r="971" spans="1:22" ht="11.85" hidden="1" customHeight="1">
      <c r="A971" s="2">
        <v>45909</v>
      </c>
      <c r="B971" s="1" t="s">
        <v>1214</v>
      </c>
      <c r="C971" s="1" t="s">
        <v>2322</v>
      </c>
      <c r="D971" s="1" t="s">
        <v>57</v>
      </c>
      <c r="E971" s="1">
        <v>85012</v>
      </c>
      <c r="F971" s="1" t="s">
        <v>304</v>
      </c>
      <c r="G971" s="1" t="s">
        <v>2310</v>
      </c>
      <c r="H971" s="4" t="s">
        <v>2323</v>
      </c>
      <c r="I971" s="5" t="s">
        <v>67</v>
      </c>
      <c r="J971" s="5" t="s">
        <v>32</v>
      </c>
      <c r="K971" s="5" t="s">
        <v>31</v>
      </c>
      <c r="L971" s="5" t="s">
        <v>1429</v>
      </c>
      <c r="M971" s="5" t="s">
        <v>31</v>
      </c>
      <c r="N971" s="5" t="s">
        <v>31</v>
      </c>
      <c r="O971" s="5" t="s">
        <v>32</v>
      </c>
      <c r="P971" s="5" t="s">
        <v>33</v>
      </c>
      <c r="Q971" s="2">
        <v>45961</v>
      </c>
      <c r="V971" s="45">
        <f>IF(OR(ISNUMBER(SEARCH("unable to locate acct",G971)),ISNUMBER(SEARCH("unknown",G971)),ISNUMBER(SEARCH("inactive",G971)),H971=""),0,1)</f>
        <v>1</v>
      </c>
    </row>
    <row r="972" spans="1:22" ht="11.85" hidden="1" customHeight="1">
      <c r="A972" s="2">
        <v>45909</v>
      </c>
      <c r="B972" s="1" t="s">
        <v>306</v>
      </c>
      <c r="C972" s="1" t="s">
        <v>544</v>
      </c>
      <c r="D972" s="1" t="s">
        <v>18</v>
      </c>
      <c r="E972" s="1">
        <v>85308</v>
      </c>
      <c r="F972" s="1" t="s">
        <v>1828</v>
      </c>
      <c r="G972" s="1" t="s">
        <v>2310</v>
      </c>
      <c r="H972" s="4" t="s">
        <v>21</v>
      </c>
      <c r="V972" s="45">
        <f>IF(OR(ISNUMBER(SEARCH("unable to locate acct",G972)),ISNUMBER(SEARCH("unknown",G972)),ISNUMBER(SEARCH("inactive",G972)),H972=""),0,1)</f>
        <v>1</v>
      </c>
    </row>
    <row r="973" spans="1:22" ht="11.85" hidden="1" customHeight="1">
      <c r="A973" s="2">
        <v>45909</v>
      </c>
      <c r="B973" s="1" t="s">
        <v>2324</v>
      </c>
      <c r="C973" s="1" t="s">
        <v>2325</v>
      </c>
      <c r="D973" s="1" t="s">
        <v>57</v>
      </c>
      <c r="E973" s="1">
        <v>85085</v>
      </c>
      <c r="F973" s="1" t="s">
        <v>304</v>
      </c>
      <c r="G973" s="1" t="s">
        <v>2310</v>
      </c>
      <c r="H973" s="4" t="s">
        <v>2326</v>
      </c>
      <c r="I973" s="5" t="s">
        <v>1501</v>
      </c>
      <c r="J973" s="5" t="s">
        <v>31</v>
      </c>
      <c r="K973" s="5" t="s">
        <v>31</v>
      </c>
      <c r="L973" s="5" t="s">
        <v>393</v>
      </c>
      <c r="M973" s="5" t="s">
        <v>31</v>
      </c>
      <c r="N973" s="5" t="s">
        <v>31</v>
      </c>
      <c r="O973" s="5" t="s">
        <v>32</v>
      </c>
      <c r="P973" s="5" t="s">
        <v>33</v>
      </c>
      <c r="Q973" s="2">
        <v>45961</v>
      </c>
      <c r="V973" s="45">
        <f>IF(OR(ISNUMBER(SEARCH("unable to locate acct",G973)),ISNUMBER(SEARCH("unknown",G973)),ISNUMBER(SEARCH("inactive",G973)),H973=""),0,1)</f>
        <v>1</v>
      </c>
    </row>
    <row r="974" spans="1:22" ht="11.85" hidden="1" customHeight="1">
      <c r="A974" s="2">
        <v>45909</v>
      </c>
      <c r="B974" s="1" t="s">
        <v>2327</v>
      </c>
      <c r="C974" s="1" t="s">
        <v>2328</v>
      </c>
      <c r="D974" s="1" t="s">
        <v>196</v>
      </c>
      <c r="E974" s="1">
        <v>85383</v>
      </c>
      <c r="F974" s="1" t="s">
        <v>304</v>
      </c>
      <c r="G974" s="1" t="s">
        <v>2310</v>
      </c>
      <c r="H974" s="4" t="s">
        <v>2329</v>
      </c>
      <c r="I974" s="5" t="s">
        <v>30</v>
      </c>
      <c r="J974" s="5" t="s">
        <v>31</v>
      </c>
      <c r="K974" s="5" t="s">
        <v>31</v>
      </c>
      <c r="L974" s="5" t="s">
        <v>1429</v>
      </c>
      <c r="M974" s="5" t="s">
        <v>31</v>
      </c>
      <c r="N974" s="5" t="s">
        <v>31</v>
      </c>
      <c r="O974" s="5" t="s">
        <v>32</v>
      </c>
      <c r="P974" s="5" t="s">
        <v>33</v>
      </c>
      <c r="Q974" s="2">
        <v>45961</v>
      </c>
      <c r="V974" s="45">
        <f>IF(OR(ISNUMBER(SEARCH("unable to locate acct",G974)),ISNUMBER(SEARCH("unknown",G974)),ISNUMBER(SEARCH("inactive",G974)),H974=""),0,1)</f>
        <v>1</v>
      </c>
    </row>
    <row r="975" spans="1:22" ht="11.85" hidden="1" customHeight="1">
      <c r="A975" s="2">
        <v>45909</v>
      </c>
      <c r="B975" s="1" t="s">
        <v>2330</v>
      </c>
      <c r="C975" s="1" t="s">
        <v>2331</v>
      </c>
      <c r="D975" s="1" t="s">
        <v>610</v>
      </c>
      <c r="E975" s="1">
        <v>85365</v>
      </c>
      <c r="F975" s="1" t="s">
        <v>2332</v>
      </c>
      <c r="G975" s="1" t="s">
        <v>2310</v>
      </c>
      <c r="H975" s="4" t="s">
        <v>5672</v>
      </c>
      <c r="I975" s="5" t="s">
        <v>190</v>
      </c>
      <c r="J975" s="5" t="s">
        <v>31</v>
      </c>
      <c r="K975" s="5" t="s">
        <v>31</v>
      </c>
      <c r="L975" s="7" t="s">
        <v>2333</v>
      </c>
      <c r="M975" s="5" t="s">
        <v>31</v>
      </c>
      <c r="N975" s="5" t="s">
        <v>31</v>
      </c>
      <c r="O975" s="5" t="s">
        <v>32</v>
      </c>
      <c r="P975" s="2">
        <v>45938</v>
      </c>
      <c r="Q975" s="2">
        <v>45961</v>
      </c>
      <c r="R975" s="1" t="s">
        <v>2295</v>
      </c>
      <c r="V975" s="45">
        <f>IF(OR(ISNUMBER(SEARCH("unable to locate acct",G975)),ISNUMBER(SEARCH("unknown",G975)),ISNUMBER(SEARCH("inactive",G975)),H975=""),0,1)</f>
        <v>1</v>
      </c>
    </row>
    <row r="976" spans="1:22" ht="11.85" hidden="1" customHeight="1">
      <c r="A976" s="2">
        <v>45909</v>
      </c>
      <c r="B976" s="1" t="s">
        <v>2334</v>
      </c>
      <c r="C976" s="1" t="s">
        <v>2335</v>
      </c>
      <c r="D976" s="1" t="s">
        <v>420</v>
      </c>
      <c r="E976" s="1">
        <v>85335</v>
      </c>
      <c r="F976" s="1" t="s">
        <v>2336</v>
      </c>
      <c r="G976" s="1" t="s">
        <v>2310</v>
      </c>
      <c r="H976" s="4" t="s">
        <v>2337</v>
      </c>
      <c r="I976" s="5" t="s">
        <v>1346</v>
      </c>
      <c r="J976" s="5" t="s">
        <v>31</v>
      </c>
      <c r="K976" s="5" t="s">
        <v>31</v>
      </c>
      <c r="L976" s="5" t="s">
        <v>381</v>
      </c>
      <c r="M976" s="5" t="s">
        <v>31</v>
      </c>
      <c r="N976" s="5" t="s">
        <v>31</v>
      </c>
      <c r="O976" s="5" t="s">
        <v>32</v>
      </c>
      <c r="P976" s="5" t="s">
        <v>33</v>
      </c>
      <c r="Q976" s="2">
        <v>45961</v>
      </c>
      <c r="V976" s="45">
        <f>IF(OR(ISNUMBER(SEARCH("unable to locate acct",G976)),ISNUMBER(SEARCH("unknown",G976)),ISNUMBER(SEARCH("inactive",G976)),H976=""),0,1)</f>
        <v>1</v>
      </c>
    </row>
    <row r="977" spans="1:22" ht="11.85" hidden="1" customHeight="1">
      <c r="A977" s="2">
        <v>45909</v>
      </c>
      <c r="B977" s="1" t="s">
        <v>2338</v>
      </c>
      <c r="C977" s="1" t="s">
        <v>1302</v>
      </c>
      <c r="D977" s="1" t="s">
        <v>363</v>
      </c>
      <c r="E977" s="1">
        <v>85225</v>
      </c>
      <c r="F977" s="1" t="s">
        <v>304</v>
      </c>
      <c r="G977" s="1" t="s">
        <v>2339</v>
      </c>
      <c r="H977" s="4" t="s">
        <v>2340</v>
      </c>
      <c r="I977" s="5" t="s">
        <v>40</v>
      </c>
      <c r="J977" s="5" t="s">
        <v>31</v>
      </c>
      <c r="K977" s="5" t="s">
        <v>31</v>
      </c>
      <c r="L977" s="5" t="s">
        <v>1429</v>
      </c>
      <c r="M977" s="5" t="s">
        <v>31</v>
      </c>
      <c r="N977" s="5" t="s">
        <v>31</v>
      </c>
      <c r="O977" s="5" t="s">
        <v>32</v>
      </c>
      <c r="P977" s="5" t="s">
        <v>33</v>
      </c>
      <c r="Q977" s="2">
        <v>45961</v>
      </c>
      <c r="V977" s="45">
        <f>IF(OR(ISNUMBER(SEARCH("unable to locate acct",G977)),ISNUMBER(SEARCH("unknown",G977)),ISNUMBER(SEARCH("inactive",G977)),H977=""),0,1)</f>
        <v>1</v>
      </c>
    </row>
    <row r="978" spans="1:22" ht="11.85" hidden="1" customHeight="1">
      <c r="A978" s="2">
        <v>45909</v>
      </c>
      <c r="B978" s="1" t="s">
        <v>549</v>
      </c>
      <c r="C978" s="1" t="s">
        <v>2341</v>
      </c>
      <c r="D978" s="1" t="s">
        <v>1531</v>
      </c>
      <c r="E978" s="1">
        <v>85615</v>
      </c>
      <c r="F978" s="1" t="s">
        <v>25</v>
      </c>
      <c r="G978" s="1" t="s">
        <v>2339</v>
      </c>
      <c r="H978" s="4" t="s">
        <v>2342</v>
      </c>
      <c r="I978" s="5" t="s">
        <v>190</v>
      </c>
      <c r="J978" s="5" t="s">
        <v>32</v>
      </c>
      <c r="K978" s="5" t="s">
        <v>31</v>
      </c>
      <c r="L978" s="7" t="s">
        <v>2343</v>
      </c>
      <c r="M978" s="5" t="s">
        <v>31</v>
      </c>
      <c r="N978" s="5" t="s">
        <v>31</v>
      </c>
      <c r="O978" s="5" t="s">
        <v>32</v>
      </c>
      <c r="P978" s="2">
        <v>45938</v>
      </c>
      <c r="Q978" s="2">
        <v>45961</v>
      </c>
      <c r="R978" s="1" t="s">
        <v>2295</v>
      </c>
      <c r="V978" s="45">
        <f>IF(OR(ISNUMBER(SEARCH("unable to locate acct",G978)),ISNUMBER(SEARCH("unknown",G978)),ISNUMBER(SEARCH("inactive",G978)),H978=""),0,1)</f>
        <v>1</v>
      </c>
    </row>
    <row r="979" spans="1:22" ht="11.85" hidden="1" customHeight="1">
      <c r="A979" s="2">
        <v>45909</v>
      </c>
      <c r="B979" s="1" t="s">
        <v>1035</v>
      </c>
      <c r="C979" s="1" t="s">
        <v>2344</v>
      </c>
      <c r="D979" s="1" t="s">
        <v>57</v>
      </c>
      <c r="E979" s="1">
        <v>85032</v>
      </c>
      <c r="F979" s="1" t="s">
        <v>304</v>
      </c>
      <c r="G979" s="1" t="s">
        <v>2339</v>
      </c>
      <c r="H979" s="4" t="s">
        <v>2345</v>
      </c>
      <c r="I979" s="5" t="s">
        <v>30</v>
      </c>
      <c r="J979" s="5" t="s">
        <v>31</v>
      </c>
      <c r="K979" s="5" t="s">
        <v>31</v>
      </c>
      <c r="L979" s="5" t="s">
        <v>1429</v>
      </c>
      <c r="M979" s="5" t="s">
        <v>31</v>
      </c>
      <c r="N979" s="5" t="s">
        <v>31</v>
      </c>
      <c r="O979" s="5" t="s">
        <v>32</v>
      </c>
      <c r="P979" s="5" t="s">
        <v>33</v>
      </c>
      <c r="Q979" s="2">
        <v>45961</v>
      </c>
      <c r="V979" s="45">
        <f>IF(OR(ISNUMBER(SEARCH("unable to locate acct",G979)),ISNUMBER(SEARCH("unknown",G979)),ISNUMBER(SEARCH("inactive",G979)),H979=""),0,1)</f>
        <v>1</v>
      </c>
    </row>
    <row r="980" spans="1:22" ht="11.85" hidden="1" customHeight="1">
      <c r="A980" s="2">
        <v>45909</v>
      </c>
      <c r="B980" s="1" t="s">
        <v>263</v>
      </c>
      <c r="C980" s="1" t="s">
        <v>412</v>
      </c>
      <c r="D980" s="1" t="s">
        <v>57</v>
      </c>
      <c r="E980" s="1">
        <v>85020</v>
      </c>
      <c r="F980" s="1" t="s">
        <v>304</v>
      </c>
      <c r="G980" s="1" t="s">
        <v>2339</v>
      </c>
      <c r="H980" s="4" t="s">
        <v>2346</v>
      </c>
      <c r="I980" s="5" t="s">
        <v>532</v>
      </c>
      <c r="J980" s="5" t="s">
        <v>31</v>
      </c>
      <c r="K980" s="5" t="s">
        <v>31</v>
      </c>
      <c r="L980" s="5" t="s">
        <v>381</v>
      </c>
      <c r="M980" s="5" t="s">
        <v>31</v>
      </c>
      <c r="N980" s="5" t="s">
        <v>31</v>
      </c>
      <c r="O980" s="5" t="s">
        <v>32</v>
      </c>
      <c r="P980" s="5" t="s">
        <v>33</v>
      </c>
      <c r="Q980" s="2">
        <v>45961</v>
      </c>
      <c r="V980" s="45">
        <f>IF(OR(ISNUMBER(SEARCH("unable to locate acct",G980)),ISNUMBER(SEARCH("unknown",G980)),ISNUMBER(SEARCH("inactive",G980)),H980=""),0,1)</f>
        <v>1</v>
      </c>
    </row>
    <row r="981" spans="1:22" ht="11.85" hidden="1" customHeight="1">
      <c r="A981" s="2">
        <v>45909</v>
      </c>
      <c r="B981" s="1" t="s">
        <v>2347</v>
      </c>
      <c r="C981" s="1" t="s">
        <v>171</v>
      </c>
      <c r="D981" s="1" t="s">
        <v>57</v>
      </c>
      <c r="E981" s="1">
        <v>85083</v>
      </c>
      <c r="F981" s="1" t="s">
        <v>25</v>
      </c>
      <c r="G981" s="1" t="s">
        <v>2339</v>
      </c>
      <c r="H981" s="4" t="s">
        <v>203</v>
      </c>
      <c r="V981" s="45">
        <f>IF(OR(ISNUMBER(SEARCH("unable to locate acct",G981)),ISNUMBER(SEARCH("unknown",G981)),ISNUMBER(SEARCH("inactive",G981)),H981=""),0,1)</f>
        <v>1</v>
      </c>
    </row>
    <row r="982" spans="1:22" ht="11.85" hidden="1" customHeight="1">
      <c r="A982" s="2">
        <v>45909</v>
      </c>
      <c r="B982" s="1" t="s">
        <v>2348</v>
      </c>
      <c r="C982" s="1" t="s">
        <v>1596</v>
      </c>
      <c r="D982" s="1" t="s">
        <v>57</v>
      </c>
      <c r="E982" s="1">
        <v>85083</v>
      </c>
      <c r="F982" s="1" t="s">
        <v>25</v>
      </c>
      <c r="G982" s="1" t="s">
        <v>2339</v>
      </c>
      <c r="H982" s="4" t="s">
        <v>2349</v>
      </c>
      <c r="I982" s="5" t="s">
        <v>120</v>
      </c>
      <c r="J982" s="5" t="s">
        <v>31</v>
      </c>
      <c r="K982" s="5" t="s">
        <v>31</v>
      </c>
      <c r="L982" s="5" t="s">
        <v>1429</v>
      </c>
      <c r="M982" s="5" t="s">
        <v>31</v>
      </c>
      <c r="N982" s="5" t="s">
        <v>31</v>
      </c>
      <c r="O982" s="5" t="s">
        <v>32</v>
      </c>
      <c r="P982" s="5" t="s">
        <v>33</v>
      </c>
      <c r="Q982" s="2">
        <v>45961</v>
      </c>
      <c r="V982" s="45">
        <f>IF(OR(ISNUMBER(SEARCH("unable to locate acct",G982)),ISNUMBER(SEARCH("unknown",G982)),ISNUMBER(SEARCH("inactive",G982)),H982=""),0,1)</f>
        <v>1</v>
      </c>
    </row>
    <row r="983" spans="1:22" ht="11.85" hidden="1" customHeight="1">
      <c r="A983" s="2">
        <v>45909</v>
      </c>
      <c r="B983" s="1" t="s">
        <v>814</v>
      </c>
      <c r="C983" s="1" t="s">
        <v>2350</v>
      </c>
      <c r="D983" s="1" t="s">
        <v>57</v>
      </c>
      <c r="E983" s="1">
        <v>85086</v>
      </c>
      <c r="F983" s="1" t="s">
        <v>25</v>
      </c>
      <c r="G983" s="1" t="s">
        <v>2339</v>
      </c>
      <c r="H983" s="4" t="s">
        <v>2351</v>
      </c>
      <c r="I983" s="5" t="s">
        <v>30</v>
      </c>
      <c r="J983" s="5" t="s">
        <v>32</v>
      </c>
      <c r="K983" s="5" t="s">
        <v>31</v>
      </c>
      <c r="L983" s="5" t="s">
        <v>1429</v>
      </c>
      <c r="M983" s="5" t="s">
        <v>31</v>
      </c>
      <c r="N983" s="5" t="s">
        <v>31</v>
      </c>
      <c r="O983" s="5" t="s">
        <v>32</v>
      </c>
      <c r="P983" s="5" t="s">
        <v>33</v>
      </c>
      <c r="Q983" s="2">
        <v>45961</v>
      </c>
      <c r="V983" s="45">
        <f>IF(OR(ISNUMBER(SEARCH("unable to locate acct",G983)),ISNUMBER(SEARCH("unknown",G983)),ISNUMBER(SEARCH("inactive",G983)),H983=""),0,1)</f>
        <v>1</v>
      </c>
    </row>
    <row r="984" spans="1:22" ht="11.85" hidden="1" customHeight="1">
      <c r="A984" s="2">
        <v>45909</v>
      </c>
      <c r="B984" s="1" t="s">
        <v>2352</v>
      </c>
      <c r="C984" s="1" t="s">
        <v>2160</v>
      </c>
      <c r="D984" s="1" t="s">
        <v>57</v>
      </c>
      <c r="E984" s="1">
        <v>85006</v>
      </c>
      <c r="F984" s="1" t="s">
        <v>25</v>
      </c>
      <c r="G984" s="1" t="s">
        <v>2339</v>
      </c>
      <c r="H984" s="4" t="s">
        <v>21</v>
      </c>
      <c r="V984" s="45">
        <f>IF(OR(ISNUMBER(SEARCH("unable to locate acct",G984)),ISNUMBER(SEARCH("unknown",G984)),ISNUMBER(SEARCH("inactive",G984)),H984=""),0,1)</f>
        <v>1</v>
      </c>
    </row>
    <row r="985" spans="1:22" ht="11.85" hidden="1" customHeight="1">
      <c r="A985" s="2">
        <v>45909</v>
      </c>
      <c r="B985" s="1" t="s">
        <v>2353</v>
      </c>
      <c r="C985" s="1" t="s">
        <v>96</v>
      </c>
      <c r="D985" s="1" t="s">
        <v>57</v>
      </c>
      <c r="E985" s="1">
        <v>85086</v>
      </c>
      <c r="F985" s="1" t="s">
        <v>2354</v>
      </c>
      <c r="G985" s="1" t="s">
        <v>2339</v>
      </c>
      <c r="H985" s="4" t="s">
        <v>2355</v>
      </c>
      <c r="I985" s="5" t="s">
        <v>40</v>
      </c>
      <c r="J985" s="5" t="s">
        <v>31</v>
      </c>
      <c r="K985" s="5" t="s">
        <v>31</v>
      </c>
      <c r="L985" s="5" t="s">
        <v>1429</v>
      </c>
      <c r="M985" s="5" t="s">
        <v>31</v>
      </c>
      <c r="N985" s="5" t="s">
        <v>31</v>
      </c>
      <c r="O985" s="5" t="s">
        <v>32</v>
      </c>
      <c r="P985" s="5" t="s">
        <v>33</v>
      </c>
      <c r="Q985" s="2">
        <v>45961</v>
      </c>
      <c r="V985" s="45">
        <f>IF(OR(ISNUMBER(SEARCH("unable to locate acct",G985)),ISNUMBER(SEARCH("unknown",G985)),ISNUMBER(SEARCH("inactive",G985)),H985=""),0,1)</f>
        <v>1</v>
      </c>
    </row>
    <row r="986" spans="1:22" ht="11.85" hidden="1" customHeight="1">
      <c r="A986" s="2">
        <v>45909</v>
      </c>
      <c r="B986" s="1" t="s">
        <v>2356</v>
      </c>
      <c r="C986" s="1" t="s">
        <v>2011</v>
      </c>
      <c r="D986" s="1" t="s">
        <v>57</v>
      </c>
      <c r="E986" s="1">
        <v>85086</v>
      </c>
      <c r="F986" s="1" t="s">
        <v>25</v>
      </c>
      <c r="G986" s="1" t="s">
        <v>2339</v>
      </c>
      <c r="H986" s="4" t="s">
        <v>2357</v>
      </c>
      <c r="I986" s="5" t="s">
        <v>40</v>
      </c>
      <c r="J986" s="5" t="s">
        <v>31</v>
      </c>
      <c r="K986" s="5" t="s">
        <v>31</v>
      </c>
      <c r="L986" s="5" t="s">
        <v>1429</v>
      </c>
      <c r="M986" s="5" t="s">
        <v>32</v>
      </c>
      <c r="N986" s="15">
        <v>1068.19</v>
      </c>
      <c r="O986" s="5" t="s">
        <v>32</v>
      </c>
      <c r="P986" s="7"/>
      <c r="Q986" s="2">
        <v>45961</v>
      </c>
      <c r="R986" s="1" t="s">
        <v>486</v>
      </c>
      <c r="V986" s="45">
        <f>IF(OR(ISNUMBER(SEARCH("unable to locate acct",G986)),ISNUMBER(SEARCH("unknown",G986)),ISNUMBER(SEARCH("inactive",G986)),H986=""),0,1)</f>
        <v>1</v>
      </c>
    </row>
    <row r="987" spans="1:22" ht="11.85" hidden="1" customHeight="1">
      <c r="A987" s="2">
        <v>45909</v>
      </c>
      <c r="B987" s="1" t="s">
        <v>2165</v>
      </c>
      <c r="C987" s="1" t="s">
        <v>200</v>
      </c>
      <c r="D987" s="1" t="s">
        <v>24</v>
      </c>
      <c r="E987" s="1" t="s">
        <v>24</v>
      </c>
      <c r="F987" s="1" t="s">
        <v>2358</v>
      </c>
      <c r="G987" s="1" t="s">
        <v>2339</v>
      </c>
      <c r="H987" s="4" t="s">
        <v>21</v>
      </c>
      <c r="V987" s="45">
        <f>IF(OR(ISNUMBER(SEARCH("unable to locate acct",G987)),ISNUMBER(SEARCH("unknown",G987)),ISNUMBER(SEARCH("inactive",G987)),H987=""),0,1)</f>
        <v>1</v>
      </c>
    </row>
    <row r="988" spans="1:22" ht="11.85" hidden="1" customHeight="1">
      <c r="A988" s="2">
        <v>45909</v>
      </c>
      <c r="B988" s="1" t="s">
        <v>2004</v>
      </c>
      <c r="C988" s="1" t="s">
        <v>2359</v>
      </c>
      <c r="D988" s="1" t="s">
        <v>24</v>
      </c>
      <c r="E988" s="1" t="s">
        <v>24</v>
      </c>
      <c r="F988" s="1" t="s">
        <v>304</v>
      </c>
      <c r="G988" s="1" t="s">
        <v>2339</v>
      </c>
      <c r="H988" s="4" t="s">
        <v>21</v>
      </c>
      <c r="V988" s="45">
        <f>IF(OR(ISNUMBER(SEARCH("unable to locate acct",G988)),ISNUMBER(SEARCH("unknown",G988)),ISNUMBER(SEARCH("inactive",G988)),H988=""),0,1)</f>
        <v>1</v>
      </c>
    </row>
    <row r="989" spans="1:22" ht="11.85" hidden="1" customHeight="1">
      <c r="A989" s="2">
        <v>45909</v>
      </c>
      <c r="B989" s="1" t="s">
        <v>1426</v>
      </c>
      <c r="C989" s="1" t="s">
        <v>278</v>
      </c>
      <c r="D989" s="1" t="s">
        <v>24</v>
      </c>
      <c r="E989" s="1" t="s">
        <v>24</v>
      </c>
      <c r="F989" s="1" t="s">
        <v>304</v>
      </c>
      <c r="G989" s="1" t="s">
        <v>2339</v>
      </c>
      <c r="H989" s="4" t="s">
        <v>203</v>
      </c>
      <c r="V989" s="45">
        <f>IF(OR(ISNUMBER(SEARCH("unable to locate acct",G989)),ISNUMBER(SEARCH("unknown",G989)),ISNUMBER(SEARCH("inactive",G989)),H989=""),0,1)</f>
        <v>1</v>
      </c>
    </row>
    <row r="990" spans="1:22" ht="11.85" hidden="1" customHeight="1">
      <c r="A990" s="2">
        <v>45909</v>
      </c>
      <c r="B990" s="1" t="s">
        <v>2289</v>
      </c>
      <c r="C990" s="1" t="s">
        <v>472</v>
      </c>
      <c r="D990" s="1" t="s">
        <v>57</v>
      </c>
      <c r="E990" s="1">
        <v>85086</v>
      </c>
      <c r="F990" s="1" t="s">
        <v>2354</v>
      </c>
      <c r="G990" s="1" t="s">
        <v>2339</v>
      </c>
      <c r="H990" s="4" t="s">
        <v>2291</v>
      </c>
      <c r="I990" s="5" t="s">
        <v>244</v>
      </c>
      <c r="J990" s="5" t="s">
        <v>31</v>
      </c>
      <c r="K990" s="5" t="s">
        <v>31</v>
      </c>
      <c r="L990" s="5" t="s">
        <v>1429</v>
      </c>
      <c r="M990" s="5" t="s">
        <v>31</v>
      </c>
      <c r="N990" s="5" t="s">
        <v>31</v>
      </c>
      <c r="O990" s="5" t="s">
        <v>32</v>
      </c>
      <c r="P990" s="5" t="s">
        <v>33</v>
      </c>
      <c r="Q990" s="2">
        <v>45961</v>
      </c>
      <c r="V990" s="45">
        <f>IF(OR(ISNUMBER(SEARCH("unable to locate acct",G990)),ISNUMBER(SEARCH("unknown",G990)),ISNUMBER(SEARCH("inactive",G990)),H990=""),0,1)</f>
        <v>1</v>
      </c>
    </row>
    <row r="991" spans="1:22" ht="11.85" hidden="1" customHeight="1">
      <c r="A991" s="2">
        <v>45909</v>
      </c>
      <c r="B991" s="1" t="s">
        <v>2360</v>
      </c>
      <c r="C991" s="1" t="s">
        <v>348</v>
      </c>
      <c r="D991" s="1" t="s">
        <v>119</v>
      </c>
      <c r="E991" s="1">
        <v>85255</v>
      </c>
      <c r="F991" s="1" t="s">
        <v>25</v>
      </c>
      <c r="G991" s="1" t="s">
        <v>2339</v>
      </c>
      <c r="H991" s="4" t="s">
        <v>203</v>
      </c>
      <c r="V991" s="45">
        <f>IF(OR(ISNUMBER(SEARCH("unable to locate acct",G991)),ISNUMBER(SEARCH("unknown",G991)),ISNUMBER(SEARCH("inactive",G991)),H991=""),0,1)</f>
        <v>1</v>
      </c>
    </row>
    <row r="992" spans="1:22" ht="11.85" hidden="1" customHeight="1">
      <c r="A992" s="2">
        <v>45909</v>
      </c>
      <c r="B992" s="1" t="s">
        <v>885</v>
      </c>
      <c r="C992" s="1" t="s">
        <v>1853</v>
      </c>
      <c r="D992" s="1" t="s">
        <v>847</v>
      </c>
      <c r="E992" s="1">
        <v>85086</v>
      </c>
      <c r="F992" s="1" t="s">
        <v>2361</v>
      </c>
      <c r="G992" s="1" t="s">
        <v>2339</v>
      </c>
      <c r="H992" s="4" t="s">
        <v>21</v>
      </c>
      <c r="V992" s="45">
        <f>IF(OR(ISNUMBER(SEARCH("unable to locate acct",G992)),ISNUMBER(SEARCH("unknown",G992)),ISNUMBER(SEARCH("inactive",G992)),H992=""),0,1)</f>
        <v>1</v>
      </c>
    </row>
    <row r="993" spans="1:22" ht="11.85" hidden="1" customHeight="1">
      <c r="A993" s="2">
        <v>45909</v>
      </c>
      <c r="B993" s="1" t="s">
        <v>943</v>
      </c>
      <c r="C993" s="1" t="s">
        <v>2362</v>
      </c>
      <c r="D993" s="1" t="s">
        <v>24</v>
      </c>
      <c r="E993" s="1" t="s">
        <v>24</v>
      </c>
      <c r="F993" s="1" t="s">
        <v>304</v>
      </c>
      <c r="G993" s="1" t="s">
        <v>2339</v>
      </c>
      <c r="H993" s="4" t="s">
        <v>21</v>
      </c>
      <c r="V993" s="45">
        <f>IF(OR(ISNUMBER(SEARCH("unable to locate acct",G993)),ISNUMBER(SEARCH("unknown",G993)),ISNUMBER(SEARCH("inactive",G993)),H993=""),0,1)</f>
        <v>1</v>
      </c>
    </row>
    <row r="994" spans="1:22" ht="11.85" hidden="1" customHeight="1">
      <c r="A994" s="2">
        <v>45909</v>
      </c>
      <c r="B994" s="1" t="s">
        <v>2363</v>
      </c>
      <c r="C994" s="1" t="s">
        <v>127</v>
      </c>
      <c r="D994" s="1" t="s">
        <v>24</v>
      </c>
      <c r="E994" s="1" t="s">
        <v>24</v>
      </c>
      <c r="F994" s="1" t="s">
        <v>304</v>
      </c>
      <c r="G994" s="1" t="s">
        <v>2339</v>
      </c>
      <c r="H994" s="4" t="s">
        <v>2364</v>
      </c>
      <c r="I994" s="5" t="s">
        <v>244</v>
      </c>
      <c r="J994" s="5" t="s">
        <v>31</v>
      </c>
      <c r="K994" s="5" t="s">
        <v>31</v>
      </c>
      <c r="L994" s="5" t="s">
        <v>1429</v>
      </c>
      <c r="M994" s="5" t="s">
        <v>31</v>
      </c>
      <c r="N994" s="5" t="s">
        <v>31</v>
      </c>
      <c r="O994" s="5" t="s">
        <v>32</v>
      </c>
      <c r="P994" s="5" t="s">
        <v>33</v>
      </c>
      <c r="Q994" s="2">
        <v>45961</v>
      </c>
      <c r="V994" s="45">
        <f>IF(OR(ISNUMBER(SEARCH("unable to locate acct",G994)),ISNUMBER(SEARCH("unknown",G994)),ISNUMBER(SEARCH("inactive",G994)),H994=""),0,1)</f>
        <v>1</v>
      </c>
    </row>
    <row r="995" spans="1:22" ht="11.85" hidden="1" customHeight="1">
      <c r="A995" s="2">
        <v>45909</v>
      </c>
      <c r="B995" s="1" t="s">
        <v>2365</v>
      </c>
      <c r="C995" s="1" t="s">
        <v>246</v>
      </c>
      <c r="D995" s="1" t="s">
        <v>24</v>
      </c>
      <c r="E995" s="1" t="s">
        <v>24</v>
      </c>
      <c r="F995" s="1" t="s">
        <v>304</v>
      </c>
      <c r="G995" s="1" t="s">
        <v>2339</v>
      </c>
      <c r="H995" s="4" t="s">
        <v>21</v>
      </c>
      <c r="V995" s="45">
        <f>IF(OR(ISNUMBER(SEARCH("unable to locate acct",G995)),ISNUMBER(SEARCH("unknown",G995)),ISNUMBER(SEARCH("inactive",G995)),H995=""),0,1)</f>
        <v>1</v>
      </c>
    </row>
    <row r="996" spans="1:22" ht="11.85" hidden="1" customHeight="1">
      <c r="A996" s="2">
        <v>45909</v>
      </c>
      <c r="B996" s="1" t="s">
        <v>2366</v>
      </c>
      <c r="C996" s="1" t="s">
        <v>314</v>
      </c>
      <c r="D996" s="1" t="s">
        <v>57</v>
      </c>
      <c r="E996" s="1">
        <v>85085</v>
      </c>
      <c r="F996" s="1" t="s">
        <v>304</v>
      </c>
      <c r="G996" s="1" t="s">
        <v>2339</v>
      </c>
      <c r="H996" s="4" t="s">
        <v>2367</v>
      </c>
      <c r="I996" s="5" t="s">
        <v>30</v>
      </c>
      <c r="J996" s="5" t="s">
        <v>31</v>
      </c>
      <c r="K996" s="5" t="s">
        <v>31</v>
      </c>
      <c r="L996" s="5" t="s">
        <v>1429</v>
      </c>
      <c r="M996" s="5" t="s">
        <v>31</v>
      </c>
      <c r="N996" s="5" t="s">
        <v>31</v>
      </c>
      <c r="O996" s="5" t="s">
        <v>32</v>
      </c>
      <c r="P996" s="5" t="s">
        <v>33</v>
      </c>
      <c r="Q996" s="2">
        <v>45961</v>
      </c>
      <c r="V996" s="45">
        <f>IF(OR(ISNUMBER(SEARCH("unable to locate acct",G996)),ISNUMBER(SEARCH("unknown",G996)),ISNUMBER(SEARCH("inactive",G996)),H996=""),0,1)</f>
        <v>1</v>
      </c>
    </row>
    <row r="997" spans="1:22" ht="11.85" hidden="1" customHeight="1">
      <c r="A997" s="2">
        <v>45909</v>
      </c>
      <c r="B997" s="1" t="s">
        <v>2368</v>
      </c>
      <c r="C997" s="1" t="s">
        <v>886</v>
      </c>
      <c r="D997" s="1" t="s">
        <v>847</v>
      </c>
      <c r="E997" s="1">
        <v>85086</v>
      </c>
      <c r="F997" s="1" t="s">
        <v>2369</v>
      </c>
      <c r="G997" s="1" t="s">
        <v>2339</v>
      </c>
      <c r="H997" s="4" t="s">
        <v>2370</v>
      </c>
      <c r="I997" s="5" t="s">
        <v>244</v>
      </c>
      <c r="J997" s="5" t="s">
        <v>31</v>
      </c>
      <c r="K997" s="5" t="s">
        <v>31</v>
      </c>
      <c r="L997" s="5" t="s">
        <v>1429</v>
      </c>
      <c r="M997" s="5" t="s">
        <v>31</v>
      </c>
      <c r="N997" s="5" t="s">
        <v>31</v>
      </c>
      <c r="O997" s="5" t="s">
        <v>32</v>
      </c>
      <c r="P997" s="5" t="s">
        <v>33</v>
      </c>
      <c r="Q997" s="2">
        <v>45961</v>
      </c>
      <c r="V997" s="45">
        <f>IF(OR(ISNUMBER(SEARCH("unable to locate acct",G997)),ISNUMBER(SEARCH("unknown",G997)),ISNUMBER(SEARCH("inactive",G997)),H997=""),0,1)</f>
        <v>1</v>
      </c>
    </row>
    <row r="998" spans="1:22" ht="11.85" hidden="1" customHeight="1">
      <c r="A998" s="2">
        <v>45909</v>
      </c>
      <c r="B998" s="1" t="s">
        <v>2371</v>
      </c>
      <c r="C998" s="1" t="s">
        <v>2372</v>
      </c>
      <c r="D998" s="1" t="s">
        <v>57</v>
      </c>
      <c r="E998" s="1">
        <v>85086</v>
      </c>
      <c r="F998" s="1" t="s">
        <v>2161</v>
      </c>
      <c r="G998" s="1" t="s">
        <v>2339</v>
      </c>
      <c r="H998" s="4" t="s">
        <v>2373</v>
      </c>
      <c r="I998" s="5" t="s">
        <v>244</v>
      </c>
      <c r="J998" s="5" t="s">
        <v>31</v>
      </c>
      <c r="K998" s="5" t="s">
        <v>31</v>
      </c>
      <c r="L998" s="5" t="s">
        <v>1429</v>
      </c>
      <c r="M998" s="5" t="s">
        <v>31</v>
      </c>
      <c r="N998" s="5" t="s">
        <v>31</v>
      </c>
      <c r="O998" s="5" t="s">
        <v>32</v>
      </c>
      <c r="P998" s="5" t="s">
        <v>33</v>
      </c>
      <c r="Q998" s="2">
        <v>45961</v>
      </c>
      <c r="V998" s="45">
        <f>IF(OR(ISNUMBER(SEARCH("unable to locate acct",G998)),ISNUMBER(SEARCH("unknown",G998)),ISNUMBER(SEARCH("inactive",G998)),H998=""),0,1)</f>
        <v>1</v>
      </c>
    </row>
    <row r="999" spans="1:22" ht="11.85" hidden="1" customHeight="1">
      <c r="A999" s="2">
        <v>45909</v>
      </c>
      <c r="B999" s="1" t="s">
        <v>2374</v>
      </c>
      <c r="C999" s="1" t="s">
        <v>178</v>
      </c>
      <c r="D999" s="1" t="s">
        <v>2201</v>
      </c>
      <c r="E999" s="1">
        <v>85087</v>
      </c>
      <c r="F999" s="1" t="s">
        <v>304</v>
      </c>
      <c r="G999" s="1" t="s">
        <v>2339</v>
      </c>
      <c r="H999" s="4" t="s">
        <v>2375</v>
      </c>
      <c r="I999" s="5" t="s">
        <v>244</v>
      </c>
      <c r="J999" s="5" t="s">
        <v>31</v>
      </c>
      <c r="K999" s="5" t="s">
        <v>31</v>
      </c>
      <c r="L999" s="5" t="s">
        <v>1429</v>
      </c>
      <c r="M999" s="5" t="s">
        <v>32</v>
      </c>
      <c r="N999" s="15">
        <v>548.12</v>
      </c>
      <c r="O999" s="5" t="s">
        <v>32</v>
      </c>
      <c r="P999" s="7"/>
      <c r="Q999" s="2">
        <v>45961</v>
      </c>
      <c r="R999" s="1" t="s">
        <v>486</v>
      </c>
      <c r="V999" s="45">
        <f>IF(OR(ISNUMBER(SEARCH("unable to locate acct",G999)),ISNUMBER(SEARCH("unknown",G999)),ISNUMBER(SEARCH("inactive",G999)),H999=""),0,1)</f>
        <v>1</v>
      </c>
    </row>
    <row r="1000" spans="1:22" ht="11.85" hidden="1" customHeight="1">
      <c r="A1000" s="2">
        <v>45909</v>
      </c>
      <c r="B1000" s="1" t="s">
        <v>2376</v>
      </c>
      <c r="C1000" s="1" t="s">
        <v>2377</v>
      </c>
      <c r="D1000" s="1" t="s">
        <v>57</v>
      </c>
      <c r="E1000" s="1">
        <v>85086</v>
      </c>
      <c r="F1000" s="1" t="s">
        <v>2378</v>
      </c>
      <c r="G1000" s="1" t="s">
        <v>2339</v>
      </c>
      <c r="H1000" s="4" t="s">
        <v>2379</v>
      </c>
      <c r="I1000" s="5" t="s">
        <v>190</v>
      </c>
      <c r="J1000" s="5" t="s">
        <v>31</v>
      </c>
      <c r="K1000" s="5" t="s">
        <v>31</v>
      </c>
      <c r="L1000" s="5" t="s">
        <v>1429</v>
      </c>
      <c r="M1000" s="5" t="s">
        <v>31</v>
      </c>
      <c r="N1000" s="5" t="s">
        <v>31</v>
      </c>
      <c r="O1000" s="5" t="s">
        <v>32</v>
      </c>
      <c r="P1000" s="5" t="s">
        <v>33</v>
      </c>
      <c r="Q1000" s="2">
        <v>45961</v>
      </c>
      <c r="V1000" s="45">
        <f>IF(OR(ISNUMBER(SEARCH("unable to locate acct",G1000)),ISNUMBER(SEARCH("unknown",G1000)),ISNUMBER(SEARCH("inactive",G1000)),H1000=""),0,1)</f>
        <v>1</v>
      </c>
    </row>
    <row r="1001" spans="1:22" ht="11.85" hidden="1" customHeight="1">
      <c r="A1001" s="2">
        <v>45909</v>
      </c>
      <c r="B1001" s="1" t="s">
        <v>2380</v>
      </c>
      <c r="C1001" s="1" t="s">
        <v>1486</v>
      </c>
      <c r="D1001" s="1" t="s">
        <v>2201</v>
      </c>
      <c r="E1001" s="1">
        <v>85087</v>
      </c>
      <c r="F1001" s="1" t="s">
        <v>304</v>
      </c>
      <c r="G1001" s="1" t="s">
        <v>2339</v>
      </c>
      <c r="H1001" s="4" t="s">
        <v>2381</v>
      </c>
      <c r="I1001" s="5" t="s">
        <v>75</v>
      </c>
      <c r="J1001" s="5" t="s">
        <v>31</v>
      </c>
      <c r="K1001" s="5" t="s">
        <v>31</v>
      </c>
      <c r="L1001" s="5" t="s">
        <v>381</v>
      </c>
      <c r="M1001" s="5" t="s">
        <v>31</v>
      </c>
      <c r="N1001" s="5" t="s">
        <v>31</v>
      </c>
      <c r="O1001" s="5" t="s">
        <v>32</v>
      </c>
      <c r="P1001" s="5" t="s">
        <v>33</v>
      </c>
      <c r="Q1001" s="2">
        <v>45961</v>
      </c>
      <c r="V1001" s="45">
        <f>IF(OR(ISNUMBER(SEARCH("unable to locate acct",G1001)),ISNUMBER(SEARCH("unknown",G1001)),ISNUMBER(SEARCH("inactive",G1001)),H1001=""),0,1)</f>
        <v>1</v>
      </c>
    </row>
    <row r="1002" spans="1:22" ht="11.85" hidden="1" customHeight="1">
      <c r="A1002" s="2">
        <v>45909</v>
      </c>
      <c r="B1002" s="1" t="s">
        <v>2382</v>
      </c>
      <c r="C1002" s="1" t="s">
        <v>770</v>
      </c>
      <c r="D1002" s="1" t="s">
        <v>18</v>
      </c>
      <c r="E1002" s="1">
        <v>85306</v>
      </c>
      <c r="F1002" s="1" t="s">
        <v>2383</v>
      </c>
      <c r="G1002" s="1" t="s">
        <v>2339</v>
      </c>
      <c r="H1002" s="4" t="s">
        <v>21</v>
      </c>
      <c r="V1002" s="45">
        <f>IF(OR(ISNUMBER(SEARCH("unable to locate acct",G1002)),ISNUMBER(SEARCH("unknown",G1002)),ISNUMBER(SEARCH("inactive",G1002)),H1002=""),0,1)</f>
        <v>1</v>
      </c>
    </row>
    <row r="1003" spans="1:22" ht="11.85" hidden="1" customHeight="1">
      <c r="A1003" s="2">
        <v>45909</v>
      </c>
      <c r="B1003" s="1" t="s">
        <v>2384</v>
      </c>
      <c r="C1003" s="1" t="s">
        <v>2385</v>
      </c>
      <c r="D1003" s="1" t="s">
        <v>24</v>
      </c>
      <c r="E1003" s="1" t="s">
        <v>24</v>
      </c>
      <c r="F1003" s="1" t="s">
        <v>304</v>
      </c>
      <c r="G1003" s="1" t="s">
        <v>2339</v>
      </c>
      <c r="H1003" s="4" t="s">
        <v>2386</v>
      </c>
      <c r="I1003" s="5" t="s">
        <v>30</v>
      </c>
      <c r="J1003" s="5" t="s">
        <v>31</v>
      </c>
      <c r="K1003" s="5" t="s">
        <v>31</v>
      </c>
      <c r="L1003" s="5" t="s">
        <v>1429</v>
      </c>
      <c r="M1003" s="5" t="s">
        <v>31</v>
      </c>
      <c r="N1003" s="5" t="s">
        <v>31</v>
      </c>
      <c r="O1003" s="5" t="s">
        <v>32</v>
      </c>
      <c r="P1003" s="5" t="s">
        <v>33</v>
      </c>
      <c r="Q1003" s="2">
        <v>45961</v>
      </c>
      <c r="V1003" s="45">
        <f>IF(OR(ISNUMBER(SEARCH("unable to locate acct",G1003)),ISNUMBER(SEARCH("unknown",G1003)),ISNUMBER(SEARCH("inactive",G1003)),H1003=""),0,1)</f>
        <v>1</v>
      </c>
    </row>
    <row r="1004" spans="1:22" ht="11.85" hidden="1" customHeight="1">
      <c r="A1004" s="2">
        <v>45909</v>
      </c>
      <c r="B1004" s="1" t="s">
        <v>549</v>
      </c>
      <c r="C1004" s="1" t="s">
        <v>129</v>
      </c>
      <c r="D1004" s="1" t="s">
        <v>24</v>
      </c>
      <c r="E1004" s="1" t="s">
        <v>24</v>
      </c>
      <c r="F1004" s="1" t="s">
        <v>25</v>
      </c>
      <c r="G1004" s="1" t="s">
        <v>2339</v>
      </c>
      <c r="H1004" s="4" t="s">
        <v>21</v>
      </c>
      <c r="V1004" s="45">
        <f>IF(OR(ISNUMBER(SEARCH("unable to locate acct",G1004)),ISNUMBER(SEARCH("unknown",G1004)),ISNUMBER(SEARCH("inactive",G1004)),H1004=""),0,1)</f>
        <v>1</v>
      </c>
    </row>
    <row r="1005" spans="1:22" ht="11.85" hidden="1" customHeight="1">
      <c r="A1005" s="2">
        <v>45909</v>
      </c>
      <c r="B1005" s="1" t="s">
        <v>2387</v>
      </c>
      <c r="C1005" s="1" t="s">
        <v>2388</v>
      </c>
      <c r="D1005" s="1" t="s">
        <v>79</v>
      </c>
      <c r="E1005" s="1">
        <v>86323</v>
      </c>
      <c r="F1005" s="1" t="s">
        <v>25</v>
      </c>
      <c r="G1005" s="1" t="s">
        <v>2339</v>
      </c>
      <c r="H1005" s="4" t="s">
        <v>2389</v>
      </c>
      <c r="I1005" s="5" t="s">
        <v>190</v>
      </c>
      <c r="J1005" s="5" t="s">
        <v>31</v>
      </c>
      <c r="K1005" s="5" t="s">
        <v>31</v>
      </c>
      <c r="L1005" s="5" t="s">
        <v>2390</v>
      </c>
      <c r="M1005" s="5" t="s">
        <v>31</v>
      </c>
      <c r="N1005" s="5" t="s">
        <v>31</v>
      </c>
      <c r="O1005" s="5" t="s">
        <v>32</v>
      </c>
      <c r="P1005" s="5" t="s">
        <v>33</v>
      </c>
      <c r="Q1005" s="2">
        <v>45961</v>
      </c>
      <c r="V1005" s="45">
        <f>IF(OR(ISNUMBER(SEARCH("unable to locate acct",G1005)),ISNUMBER(SEARCH("unknown",G1005)),ISNUMBER(SEARCH("inactive",G1005)),H1005=""),0,1)</f>
        <v>1</v>
      </c>
    </row>
    <row r="1006" spans="1:22" ht="11.85" hidden="1" customHeight="1">
      <c r="A1006" s="2">
        <v>45909</v>
      </c>
      <c r="B1006" s="1" t="s">
        <v>2391</v>
      </c>
      <c r="C1006" s="1" t="s">
        <v>789</v>
      </c>
      <c r="D1006" s="1" t="s">
        <v>57</v>
      </c>
      <c r="E1006" s="1">
        <v>85083</v>
      </c>
      <c r="F1006" s="1" t="s">
        <v>2392</v>
      </c>
      <c r="G1006" s="1" t="s">
        <v>2339</v>
      </c>
      <c r="H1006" s="4" t="s">
        <v>2393</v>
      </c>
      <c r="I1006" s="5" t="s">
        <v>244</v>
      </c>
      <c r="J1006" s="5" t="s">
        <v>31</v>
      </c>
      <c r="K1006" s="5" t="s">
        <v>31</v>
      </c>
      <c r="L1006" s="5" t="s">
        <v>1429</v>
      </c>
      <c r="M1006" s="5" t="s">
        <v>31</v>
      </c>
      <c r="N1006" s="5" t="s">
        <v>31</v>
      </c>
      <c r="O1006" s="5" t="s">
        <v>32</v>
      </c>
      <c r="P1006" s="5" t="s">
        <v>33</v>
      </c>
      <c r="Q1006" s="2">
        <v>45961</v>
      </c>
      <c r="V1006" s="45">
        <f>IF(OR(ISNUMBER(SEARCH("unable to locate acct",G1006)),ISNUMBER(SEARCH("unknown",G1006)),ISNUMBER(SEARCH("inactive",G1006)),H1006=""),0,1)</f>
        <v>1</v>
      </c>
    </row>
    <row r="1007" spans="1:22" ht="11.85" hidden="1" customHeight="1">
      <c r="A1007" s="2">
        <v>45909</v>
      </c>
      <c r="B1007" s="1" t="s">
        <v>2394</v>
      </c>
      <c r="C1007" s="1" t="s">
        <v>2395</v>
      </c>
      <c r="D1007" s="1" t="s">
        <v>57</v>
      </c>
      <c r="E1007" s="1">
        <v>85022</v>
      </c>
      <c r="F1007" s="1" t="s">
        <v>25</v>
      </c>
      <c r="G1007" s="1" t="s">
        <v>2339</v>
      </c>
      <c r="H1007" s="4" t="s">
        <v>21</v>
      </c>
      <c r="V1007" s="45">
        <f>IF(OR(ISNUMBER(SEARCH("unable to locate acct",G1007)),ISNUMBER(SEARCH("unknown",G1007)),ISNUMBER(SEARCH("inactive",G1007)),H1007=""),0,1)</f>
        <v>1</v>
      </c>
    </row>
    <row r="1008" spans="1:22" ht="11.85" hidden="1" customHeight="1">
      <c r="A1008" s="2">
        <v>45909</v>
      </c>
      <c r="B1008" s="1" t="s">
        <v>2396</v>
      </c>
      <c r="C1008" s="1" t="s">
        <v>2011</v>
      </c>
      <c r="D1008" s="1" t="s">
        <v>24</v>
      </c>
      <c r="E1008" s="1" t="s">
        <v>24</v>
      </c>
      <c r="F1008" s="1" t="s">
        <v>25</v>
      </c>
      <c r="G1008" s="1" t="s">
        <v>2339</v>
      </c>
      <c r="H1008" s="4" t="s">
        <v>2397</v>
      </c>
      <c r="I1008" s="5" t="s">
        <v>67</v>
      </c>
      <c r="J1008" s="5" t="s">
        <v>31</v>
      </c>
      <c r="K1008" s="5" t="s">
        <v>31</v>
      </c>
      <c r="L1008" s="5" t="s">
        <v>1429</v>
      </c>
      <c r="M1008" s="5" t="s">
        <v>31</v>
      </c>
      <c r="N1008" s="5" t="s">
        <v>31</v>
      </c>
      <c r="O1008" s="5" t="s">
        <v>32</v>
      </c>
      <c r="P1008" s="5" t="s">
        <v>33</v>
      </c>
      <c r="Q1008" s="2">
        <v>45961</v>
      </c>
      <c r="V1008" s="45">
        <f>IF(OR(ISNUMBER(SEARCH("unable to locate acct",G1008)),ISNUMBER(SEARCH("unknown",G1008)),ISNUMBER(SEARCH("inactive",G1008)),H1008=""),0,1)</f>
        <v>1</v>
      </c>
    </row>
    <row r="1009" spans="1:22" ht="11.85" hidden="1" customHeight="1">
      <c r="A1009" s="2">
        <v>45909</v>
      </c>
      <c r="B1009" s="1" t="s">
        <v>1590</v>
      </c>
      <c r="C1009" s="1" t="s">
        <v>2398</v>
      </c>
      <c r="D1009" s="1" t="s">
        <v>57</v>
      </c>
      <c r="E1009" s="1">
        <v>85035</v>
      </c>
      <c r="F1009" s="1" t="s">
        <v>304</v>
      </c>
      <c r="G1009" s="1" t="s">
        <v>2339</v>
      </c>
      <c r="H1009" s="4" t="s">
        <v>2399</v>
      </c>
      <c r="I1009" s="5" t="s">
        <v>30</v>
      </c>
      <c r="J1009" s="5" t="s">
        <v>31</v>
      </c>
      <c r="K1009" s="5" t="s">
        <v>31</v>
      </c>
      <c r="L1009" s="5" t="s">
        <v>1429</v>
      </c>
      <c r="M1009" s="5" t="s">
        <v>31</v>
      </c>
      <c r="N1009" s="5" t="s">
        <v>31</v>
      </c>
      <c r="O1009" s="5" t="s">
        <v>32</v>
      </c>
      <c r="P1009" s="5" t="s">
        <v>33</v>
      </c>
      <c r="Q1009" s="2">
        <v>45961</v>
      </c>
      <c r="U1009" s="1" t="s">
        <v>2400</v>
      </c>
      <c r="V1009" s="45">
        <f>IF(OR(ISNUMBER(SEARCH("unable to locate acct",G1009)),ISNUMBER(SEARCH("unknown",G1009)),ISNUMBER(SEARCH("inactive",G1009)),H1009=""),0,1)</f>
        <v>1</v>
      </c>
    </row>
    <row r="1010" spans="1:22" ht="11.85" hidden="1" customHeight="1">
      <c r="A1010" s="2">
        <v>45909</v>
      </c>
      <c r="B1010" s="1" t="s">
        <v>2401</v>
      </c>
      <c r="C1010" s="1" t="s">
        <v>2402</v>
      </c>
      <c r="D1010" s="1" t="s">
        <v>57</v>
      </c>
      <c r="E1010" s="1">
        <v>85028</v>
      </c>
      <c r="F1010" s="1" t="s">
        <v>2403</v>
      </c>
      <c r="G1010" s="1" t="s">
        <v>2339</v>
      </c>
      <c r="H1010" s="4" t="s">
        <v>2404</v>
      </c>
      <c r="I1010" s="5" t="s">
        <v>30</v>
      </c>
      <c r="J1010" s="5" t="s">
        <v>31</v>
      </c>
      <c r="K1010" s="5" t="s">
        <v>31</v>
      </c>
      <c r="L1010" s="5" t="s">
        <v>1429</v>
      </c>
      <c r="M1010" s="5" t="s">
        <v>31</v>
      </c>
      <c r="N1010" s="5" t="s">
        <v>31</v>
      </c>
      <c r="O1010" s="5" t="s">
        <v>32</v>
      </c>
      <c r="P1010" s="5" t="s">
        <v>33</v>
      </c>
      <c r="Q1010" s="2">
        <v>45961</v>
      </c>
      <c r="V1010" s="45">
        <f>IF(OR(ISNUMBER(SEARCH("unable to locate acct",G1010)),ISNUMBER(SEARCH("unknown",G1010)),ISNUMBER(SEARCH("inactive",G1010)),H1010=""),0,1)</f>
        <v>1</v>
      </c>
    </row>
    <row r="1011" spans="1:22" ht="11.85" hidden="1" customHeight="1">
      <c r="A1011" s="2">
        <v>45909</v>
      </c>
      <c r="B1011" s="1" t="s">
        <v>1941</v>
      </c>
      <c r="C1011" s="1" t="s">
        <v>348</v>
      </c>
      <c r="D1011" s="1" t="s">
        <v>24</v>
      </c>
      <c r="E1011" s="1" t="s">
        <v>24</v>
      </c>
      <c r="F1011" s="1" t="s">
        <v>25</v>
      </c>
      <c r="G1011" s="1" t="s">
        <v>2339</v>
      </c>
      <c r="H1011" s="4" t="s">
        <v>203</v>
      </c>
      <c r="V1011" s="45">
        <f>IF(OR(ISNUMBER(SEARCH("unable to locate acct",G1011)),ISNUMBER(SEARCH("unknown",G1011)),ISNUMBER(SEARCH("inactive",G1011)),H1011=""),0,1)</f>
        <v>1</v>
      </c>
    </row>
    <row r="1012" spans="1:22" ht="11.85" hidden="1" customHeight="1">
      <c r="A1012" s="2">
        <v>45909</v>
      </c>
      <c r="B1012" s="1" t="s">
        <v>2405</v>
      </c>
      <c r="C1012" s="1" t="s">
        <v>1762</v>
      </c>
      <c r="D1012" s="1" t="s">
        <v>168</v>
      </c>
      <c r="E1012" s="1">
        <v>85396</v>
      </c>
      <c r="F1012" s="1" t="s">
        <v>304</v>
      </c>
      <c r="G1012" s="1" t="s">
        <v>2339</v>
      </c>
      <c r="H1012" s="4" t="s">
        <v>2406</v>
      </c>
      <c r="I1012" s="5" t="s">
        <v>244</v>
      </c>
      <c r="J1012" s="5" t="s">
        <v>31</v>
      </c>
      <c r="K1012" s="5" t="s">
        <v>31</v>
      </c>
      <c r="L1012" s="5" t="s">
        <v>1429</v>
      </c>
      <c r="M1012" s="5" t="s">
        <v>31</v>
      </c>
      <c r="N1012" s="5" t="s">
        <v>31</v>
      </c>
      <c r="O1012" s="5" t="s">
        <v>32</v>
      </c>
      <c r="P1012" s="5" t="s">
        <v>33</v>
      </c>
      <c r="Q1012" s="2">
        <v>45961</v>
      </c>
      <c r="V1012" s="45">
        <f>IF(OR(ISNUMBER(SEARCH("unable to locate acct",G1012)),ISNUMBER(SEARCH("unknown",G1012)),ISNUMBER(SEARCH("inactive",G1012)),H1012=""),0,1)</f>
        <v>1</v>
      </c>
    </row>
    <row r="1013" spans="1:22" ht="11.85" hidden="1" customHeight="1">
      <c r="A1013" s="2">
        <v>45909</v>
      </c>
      <c r="B1013" s="1" t="s">
        <v>2407</v>
      </c>
      <c r="C1013" s="1" t="s">
        <v>2408</v>
      </c>
      <c r="D1013" s="1" t="s">
        <v>106</v>
      </c>
      <c r="E1013" s="1">
        <v>85374</v>
      </c>
      <c r="F1013" s="1" t="s">
        <v>25</v>
      </c>
      <c r="G1013" s="1" t="s">
        <v>2339</v>
      </c>
      <c r="H1013" s="4" t="s">
        <v>2409</v>
      </c>
      <c r="I1013" s="5" t="s">
        <v>51</v>
      </c>
      <c r="J1013" s="5" t="s">
        <v>31</v>
      </c>
      <c r="K1013" s="5" t="s">
        <v>31</v>
      </c>
      <c r="L1013" s="7" t="s">
        <v>2410</v>
      </c>
      <c r="M1013" s="5" t="s">
        <v>31</v>
      </c>
      <c r="N1013" s="5" t="s">
        <v>31</v>
      </c>
      <c r="O1013" s="5" t="s">
        <v>32</v>
      </c>
      <c r="P1013" s="2">
        <v>45938</v>
      </c>
      <c r="Q1013" s="2">
        <v>45961</v>
      </c>
      <c r="R1013" s="1" t="s">
        <v>2295</v>
      </c>
      <c r="V1013" s="45">
        <f>IF(OR(ISNUMBER(SEARCH("unable to locate acct",G1013)),ISNUMBER(SEARCH("unknown",G1013)),ISNUMBER(SEARCH("inactive",G1013)),H1013=""),0,1)</f>
        <v>1</v>
      </c>
    </row>
    <row r="1014" spans="1:22" ht="11.85" hidden="1" customHeight="1">
      <c r="A1014" s="2">
        <v>45909</v>
      </c>
      <c r="B1014" s="1" t="s">
        <v>2411</v>
      </c>
      <c r="C1014" s="1" t="s">
        <v>171</v>
      </c>
      <c r="D1014" s="1" t="s">
        <v>24</v>
      </c>
      <c r="E1014" s="1" t="s">
        <v>24</v>
      </c>
      <c r="F1014" s="1" t="s">
        <v>2412</v>
      </c>
      <c r="G1014" s="1" t="s">
        <v>2339</v>
      </c>
      <c r="H1014" s="4" t="s">
        <v>203</v>
      </c>
      <c r="V1014" s="45">
        <f>IF(OR(ISNUMBER(SEARCH("unable to locate acct",G1014)),ISNUMBER(SEARCH("unknown",G1014)),ISNUMBER(SEARCH("inactive",G1014)),H1014=""),0,1)</f>
        <v>1</v>
      </c>
    </row>
    <row r="1015" spans="1:22" ht="11.85" hidden="1" customHeight="1">
      <c r="A1015" s="2">
        <v>45909</v>
      </c>
      <c r="B1015" s="1" t="s">
        <v>2413</v>
      </c>
      <c r="C1015" s="1" t="s">
        <v>129</v>
      </c>
      <c r="D1015" s="1" t="s">
        <v>18</v>
      </c>
      <c r="E1015" s="1">
        <v>85310</v>
      </c>
      <c r="F1015" s="1" t="s">
        <v>2414</v>
      </c>
      <c r="G1015" s="1" t="s">
        <v>2415</v>
      </c>
      <c r="H1015" s="4" t="s">
        <v>21</v>
      </c>
      <c r="V1015" s="45">
        <f>IF(OR(ISNUMBER(SEARCH("unable to locate acct",G1015)),ISNUMBER(SEARCH("unknown",G1015)),ISNUMBER(SEARCH("inactive",G1015)),H1015=""),0,1)</f>
        <v>1</v>
      </c>
    </row>
    <row r="1016" spans="1:22" ht="11.85" hidden="1" customHeight="1">
      <c r="A1016" s="2">
        <v>45909</v>
      </c>
      <c r="B1016" s="1" t="s">
        <v>202</v>
      </c>
      <c r="C1016" s="1" t="s">
        <v>224</v>
      </c>
      <c r="D1016" s="1" t="s">
        <v>83</v>
      </c>
      <c r="E1016" s="1">
        <v>86351</v>
      </c>
      <c r="F1016" s="1" t="s">
        <v>2416</v>
      </c>
      <c r="G1016" s="1" t="s">
        <v>2415</v>
      </c>
      <c r="H1016" s="4" t="s">
        <v>2417</v>
      </c>
      <c r="I1016" s="5" t="s">
        <v>40</v>
      </c>
      <c r="J1016" s="5" t="s">
        <v>31</v>
      </c>
      <c r="K1016" s="5" t="s">
        <v>31</v>
      </c>
      <c r="L1016" s="5" t="s">
        <v>1429</v>
      </c>
      <c r="M1016" s="5" t="s">
        <v>31</v>
      </c>
      <c r="N1016" s="5" t="s">
        <v>31</v>
      </c>
      <c r="O1016" s="5" t="s">
        <v>32</v>
      </c>
      <c r="P1016" s="5" t="s">
        <v>33</v>
      </c>
      <c r="Q1016" s="2">
        <v>45961</v>
      </c>
      <c r="V1016" s="45">
        <f>IF(OR(ISNUMBER(SEARCH("unable to locate acct",G1016)),ISNUMBER(SEARCH("unknown",G1016)),ISNUMBER(SEARCH("inactive",G1016)),H1016=""),0,1)</f>
        <v>1</v>
      </c>
    </row>
    <row r="1017" spans="1:22" ht="11.85" hidden="1" customHeight="1">
      <c r="A1017" s="2">
        <v>45909</v>
      </c>
      <c r="B1017" s="1" t="s">
        <v>892</v>
      </c>
      <c r="C1017" s="1" t="s">
        <v>1519</v>
      </c>
      <c r="D1017" s="1" t="s">
        <v>57</v>
      </c>
      <c r="E1017" s="1">
        <v>85085</v>
      </c>
      <c r="F1017" s="1" t="s">
        <v>2418</v>
      </c>
      <c r="G1017" s="1" t="s">
        <v>2415</v>
      </c>
      <c r="H1017" s="4" t="s">
        <v>203</v>
      </c>
      <c r="V1017" s="45">
        <f>IF(OR(ISNUMBER(SEARCH("unable to locate acct",G1017)),ISNUMBER(SEARCH("unknown",G1017)),ISNUMBER(SEARCH("inactive",G1017)),H1017=""),0,1)</f>
        <v>1</v>
      </c>
    </row>
    <row r="1018" spans="1:22" ht="11.85" hidden="1" customHeight="1">
      <c r="A1018" s="2">
        <v>45909</v>
      </c>
      <c r="B1018" s="1" t="s">
        <v>2419</v>
      </c>
      <c r="C1018" s="1" t="s">
        <v>463</v>
      </c>
      <c r="D1018" s="1" t="s">
        <v>57</v>
      </c>
      <c r="E1018" s="1">
        <v>85023</v>
      </c>
      <c r="F1018" s="1" t="s">
        <v>304</v>
      </c>
      <c r="G1018" s="1" t="s">
        <v>2415</v>
      </c>
      <c r="H1018" s="4" t="s">
        <v>2420</v>
      </c>
      <c r="I1018" s="5" t="s">
        <v>30</v>
      </c>
      <c r="J1018" s="5" t="s">
        <v>31</v>
      </c>
      <c r="K1018" s="5" t="s">
        <v>31</v>
      </c>
      <c r="L1018" s="5" t="s">
        <v>1429</v>
      </c>
      <c r="M1018" s="5" t="s">
        <v>31</v>
      </c>
      <c r="N1018" s="5" t="s">
        <v>31</v>
      </c>
      <c r="O1018" s="5" t="s">
        <v>32</v>
      </c>
      <c r="P1018" s="5" t="s">
        <v>33</v>
      </c>
      <c r="Q1018" s="2">
        <v>45961</v>
      </c>
      <c r="V1018" s="45">
        <f>IF(OR(ISNUMBER(SEARCH("unable to locate acct",G1018)),ISNUMBER(SEARCH("unknown",G1018)),ISNUMBER(SEARCH("inactive",G1018)),H1018=""),0,1)</f>
        <v>1</v>
      </c>
    </row>
    <row r="1019" spans="1:22" ht="11.85" hidden="1" customHeight="1">
      <c r="A1019" s="2">
        <v>45909</v>
      </c>
      <c r="B1019" s="1" t="s">
        <v>2421</v>
      </c>
      <c r="C1019" s="1" t="s">
        <v>1302</v>
      </c>
      <c r="D1019" s="1" t="s">
        <v>57</v>
      </c>
      <c r="E1019" s="1">
        <v>85053</v>
      </c>
      <c r="F1019" s="1" t="s">
        <v>304</v>
      </c>
      <c r="G1019" s="1" t="s">
        <v>2415</v>
      </c>
      <c r="H1019" s="4" t="s">
        <v>2422</v>
      </c>
      <c r="I1019" s="5" t="s">
        <v>120</v>
      </c>
      <c r="J1019" s="5" t="s">
        <v>31</v>
      </c>
      <c r="K1019" s="5" t="s">
        <v>31</v>
      </c>
      <c r="L1019" s="5" t="s">
        <v>1429</v>
      </c>
      <c r="M1019" s="5" t="s">
        <v>31</v>
      </c>
      <c r="N1019" s="5" t="s">
        <v>31</v>
      </c>
      <c r="O1019" s="5" t="s">
        <v>32</v>
      </c>
      <c r="P1019" s="5" t="s">
        <v>33</v>
      </c>
      <c r="Q1019" s="2">
        <v>45961</v>
      </c>
      <c r="V1019" s="45">
        <f>IF(OR(ISNUMBER(SEARCH("unable to locate acct",G1019)),ISNUMBER(SEARCH("unknown",G1019)),ISNUMBER(SEARCH("inactive",G1019)),H1019=""),0,1)</f>
        <v>1</v>
      </c>
    </row>
    <row r="1020" spans="1:22" hidden="1">
      <c r="A1020" s="2">
        <v>45909</v>
      </c>
      <c r="B1020" s="1" t="s">
        <v>2423</v>
      </c>
      <c r="C1020" s="1" t="s">
        <v>1233</v>
      </c>
      <c r="D1020" s="1" t="s">
        <v>610</v>
      </c>
      <c r="E1020" s="1">
        <v>85365</v>
      </c>
      <c r="F1020" s="1" t="s">
        <v>2424</v>
      </c>
      <c r="G1020" s="1" t="s">
        <v>2425</v>
      </c>
      <c r="H1020" s="4" t="s">
        <v>21</v>
      </c>
      <c r="V1020" s="45">
        <f>IF(OR(ISNUMBER(SEARCH("unable to locate acct",G1020)),ISNUMBER(SEARCH("unknown",G1020)),ISNUMBER(SEARCH("inactive",G1020)),H1020=""),0,1)</f>
        <v>1</v>
      </c>
    </row>
    <row r="1021" spans="1:22" ht="11.85" hidden="1" customHeight="1">
      <c r="A1021" s="2">
        <v>45910</v>
      </c>
      <c r="B1021" s="1" t="s">
        <v>2426</v>
      </c>
      <c r="C1021" s="1" t="s">
        <v>2297</v>
      </c>
      <c r="D1021" s="1" t="s">
        <v>24</v>
      </c>
      <c r="E1021" s="1" t="s">
        <v>24</v>
      </c>
      <c r="F1021" s="1" t="s">
        <v>2427</v>
      </c>
      <c r="G1021" s="1" t="s">
        <v>2428</v>
      </c>
      <c r="H1021" s="4" t="s">
        <v>21</v>
      </c>
      <c r="V1021" s="45">
        <f>IF(OR(ISNUMBER(SEARCH("unable to locate acct",G1021)),ISNUMBER(SEARCH("unknown",G1021)),ISNUMBER(SEARCH("inactive",G1021)),H1021=""),0,1)</f>
        <v>1</v>
      </c>
    </row>
    <row r="1022" spans="1:22" ht="11.85" hidden="1" customHeight="1">
      <c r="A1022" s="2">
        <v>45910</v>
      </c>
      <c r="B1022" s="1" t="s">
        <v>2429</v>
      </c>
      <c r="C1022" s="1" t="s">
        <v>2430</v>
      </c>
      <c r="D1022" s="1" t="s">
        <v>79</v>
      </c>
      <c r="E1022" s="1">
        <v>86323</v>
      </c>
      <c r="F1022" s="1" t="s">
        <v>2431</v>
      </c>
      <c r="G1022" s="1" t="s">
        <v>2428</v>
      </c>
      <c r="H1022" s="4" t="s">
        <v>2432</v>
      </c>
      <c r="I1022" s="5" t="s">
        <v>237</v>
      </c>
      <c r="J1022" s="5" t="s">
        <v>31</v>
      </c>
      <c r="K1022" s="5" t="s">
        <v>31</v>
      </c>
      <c r="L1022" s="5" t="s">
        <v>381</v>
      </c>
      <c r="M1022" s="5" t="s">
        <v>31</v>
      </c>
      <c r="N1022" s="5" t="s">
        <v>31</v>
      </c>
      <c r="O1022" s="5" t="s">
        <v>32</v>
      </c>
      <c r="P1022" s="5" t="s">
        <v>33</v>
      </c>
      <c r="Q1022" s="2">
        <v>45961</v>
      </c>
      <c r="V1022" s="45">
        <f>IF(OR(ISNUMBER(SEARCH("unable to locate acct",G1022)),ISNUMBER(SEARCH("unknown",G1022)),ISNUMBER(SEARCH("inactive",G1022)),H1022=""),0,1)</f>
        <v>1</v>
      </c>
    </row>
    <row r="1023" spans="1:22" ht="11.85" hidden="1" customHeight="1">
      <c r="A1023" s="2">
        <v>45910</v>
      </c>
      <c r="B1023" s="1" t="s">
        <v>2433</v>
      </c>
      <c r="C1023" s="1" t="s">
        <v>2434</v>
      </c>
      <c r="D1023" s="1" t="s">
        <v>18</v>
      </c>
      <c r="E1023" s="1">
        <v>85308</v>
      </c>
      <c r="F1023" s="1" t="s">
        <v>304</v>
      </c>
      <c r="G1023" s="1" t="s">
        <v>2428</v>
      </c>
      <c r="H1023" s="4" t="s">
        <v>2435</v>
      </c>
      <c r="I1023" s="5" t="s">
        <v>190</v>
      </c>
      <c r="J1023" s="5" t="s">
        <v>31</v>
      </c>
      <c r="K1023" s="5" t="s">
        <v>31</v>
      </c>
      <c r="L1023" s="5" t="s">
        <v>2436</v>
      </c>
      <c r="M1023" s="5" t="s">
        <v>31</v>
      </c>
      <c r="N1023" s="5" t="s">
        <v>31</v>
      </c>
      <c r="O1023" s="5" t="s">
        <v>32</v>
      </c>
      <c r="P1023" s="5" t="s">
        <v>33</v>
      </c>
      <c r="Q1023" s="2">
        <v>45961</v>
      </c>
      <c r="V1023" s="45">
        <f>IF(OR(ISNUMBER(SEARCH("unable to locate acct",G1023)),ISNUMBER(SEARCH("unknown",G1023)),ISNUMBER(SEARCH("inactive",G1023)),H1023=""),0,1)</f>
        <v>1</v>
      </c>
    </row>
    <row r="1024" spans="1:22" ht="11.85" hidden="1" customHeight="1">
      <c r="A1024" s="2">
        <v>45910</v>
      </c>
      <c r="B1024" s="1" t="s">
        <v>2437</v>
      </c>
      <c r="C1024" s="1" t="s">
        <v>2438</v>
      </c>
      <c r="D1024" s="1" t="s">
        <v>57</v>
      </c>
      <c r="E1024" s="1">
        <v>85083</v>
      </c>
      <c r="F1024" s="1" t="s">
        <v>25</v>
      </c>
      <c r="G1024" s="1" t="s">
        <v>2428</v>
      </c>
      <c r="H1024" s="4" t="s">
        <v>2439</v>
      </c>
      <c r="I1024" s="5" t="s">
        <v>237</v>
      </c>
      <c r="J1024" s="5" t="s">
        <v>31</v>
      </c>
      <c r="K1024" s="5" t="s">
        <v>31</v>
      </c>
      <c r="L1024" s="5" t="s">
        <v>381</v>
      </c>
      <c r="M1024" s="5" t="s">
        <v>31</v>
      </c>
      <c r="N1024" s="5" t="s">
        <v>31</v>
      </c>
      <c r="O1024" s="5" t="s">
        <v>32</v>
      </c>
      <c r="P1024" s="5" t="s">
        <v>33</v>
      </c>
      <c r="Q1024" s="2">
        <v>45961</v>
      </c>
      <c r="V1024" s="45">
        <f>IF(OR(ISNUMBER(SEARCH("unable to locate acct",G1024)),ISNUMBER(SEARCH("unknown",G1024)),ISNUMBER(SEARCH("inactive",G1024)),H1024=""),0,1)</f>
        <v>1</v>
      </c>
    </row>
    <row r="1025" spans="1:22" ht="11.85" hidden="1" customHeight="1">
      <c r="A1025" s="2">
        <v>45910</v>
      </c>
      <c r="B1025" s="1" t="s">
        <v>2440</v>
      </c>
      <c r="C1025" s="1" t="s">
        <v>129</v>
      </c>
      <c r="D1025" s="1" t="s">
        <v>62</v>
      </c>
      <c r="E1025" s="1">
        <v>85331</v>
      </c>
      <c r="F1025" s="1" t="s">
        <v>304</v>
      </c>
      <c r="G1025" s="1" t="s">
        <v>2428</v>
      </c>
      <c r="H1025" s="4" t="s">
        <v>21</v>
      </c>
      <c r="V1025" s="45">
        <f>IF(OR(ISNUMBER(SEARCH("unable to locate acct",G1025)),ISNUMBER(SEARCH("unknown",G1025)),ISNUMBER(SEARCH("inactive",G1025)),H1025=""),0,1)</f>
        <v>1</v>
      </c>
    </row>
    <row r="1026" spans="1:22" ht="11.85" hidden="1" customHeight="1">
      <c r="A1026" s="2">
        <v>45910</v>
      </c>
      <c r="B1026" s="1" t="s">
        <v>2441</v>
      </c>
      <c r="C1026" s="1" t="s">
        <v>127</v>
      </c>
      <c r="D1026" s="1" t="s">
        <v>610</v>
      </c>
      <c r="E1026" s="1">
        <v>85365</v>
      </c>
      <c r="F1026" s="1" t="s">
        <v>25</v>
      </c>
      <c r="G1026" s="1" t="s">
        <v>2428</v>
      </c>
      <c r="H1026" s="4" t="s">
        <v>2442</v>
      </c>
      <c r="I1026" s="5" t="s">
        <v>30</v>
      </c>
      <c r="J1026" s="5" t="s">
        <v>31</v>
      </c>
      <c r="K1026" s="5" t="s">
        <v>31</v>
      </c>
      <c r="L1026" s="5" t="s">
        <v>1429</v>
      </c>
      <c r="M1026" s="5" t="s">
        <v>31</v>
      </c>
      <c r="N1026" s="5" t="s">
        <v>31</v>
      </c>
      <c r="O1026" s="5" t="s">
        <v>32</v>
      </c>
      <c r="P1026" s="5" t="s">
        <v>33</v>
      </c>
      <c r="Q1026" s="2">
        <v>45961</v>
      </c>
      <c r="V1026" s="45">
        <f>IF(OR(ISNUMBER(SEARCH("unable to locate acct",G1026)),ISNUMBER(SEARCH("unknown",G1026)),ISNUMBER(SEARCH("inactive",G1026)),H1026=""),0,1)</f>
        <v>1</v>
      </c>
    </row>
    <row r="1027" spans="1:22" ht="11.85" hidden="1" customHeight="1">
      <c r="A1027" s="2">
        <v>45910</v>
      </c>
      <c r="B1027" s="1" t="s">
        <v>892</v>
      </c>
      <c r="C1027" s="1" t="s">
        <v>2443</v>
      </c>
      <c r="D1027" s="1" t="s">
        <v>57</v>
      </c>
      <c r="E1027" s="1">
        <v>85008</v>
      </c>
      <c r="F1027" s="1" t="s">
        <v>25</v>
      </c>
      <c r="G1027" s="1" t="s">
        <v>2428</v>
      </c>
      <c r="H1027" s="4" t="s">
        <v>2444</v>
      </c>
      <c r="I1027" s="5" t="s">
        <v>190</v>
      </c>
      <c r="J1027" s="5" t="s">
        <v>31</v>
      </c>
      <c r="K1027" s="5" t="s">
        <v>31</v>
      </c>
      <c r="L1027" s="5" t="s">
        <v>2445</v>
      </c>
      <c r="M1027" s="5" t="s">
        <v>31</v>
      </c>
      <c r="N1027" s="5" t="s">
        <v>31</v>
      </c>
      <c r="O1027" s="5" t="s">
        <v>32</v>
      </c>
      <c r="P1027" s="5" t="s">
        <v>33</v>
      </c>
      <c r="Q1027" s="2">
        <v>45961</v>
      </c>
      <c r="V1027" s="45">
        <f>IF(OR(ISNUMBER(SEARCH("unable to locate acct",G1027)),ISNUMBER(SEARCH("unknown",G1027)),ISNUMBER(SEARCH("inactive",G1027)),H1027=""),0,1)</f>
        <v>1</v>
      </c>
    </row>
    <row r="1028" spans="1:22" ht="11.85" hidden="1" customHeight="1">
      <c r="A1028" s="2">
        <v>45910</v>
      </c>
      <c r="B1028" s="1" t="s">
        <v>2446</v>
      </c>
      <c r="C1028" s="1" t="s">
        <v>1666</v>
      </c>
      <c r="D1028" s="1" t="s">
        <v>1508</v>
      </c>
      <c r="E1028" s="1">
        <v>85351</v>
      </c>
      <c r="F1028" s="1" t="s">
        <v>25</v>
      </c>
      <c r="G1028" s="1" t="s">
        <v>2447</v>
      </c>
      <c r="H1028" s="4" t="s">
        <v>2448</v>
      </c>
      <c r="I1028" s="5" t="s">
        <v>120</v>
      </c>
      <c r="J1028" s="5" t="s">
        <v>31</v>
      </c>
      <c r="K1028" s="5" t="s">
        <v>31</v>
      </c>
      <c r="L1028" s="7" t="s">
        <v>2449</v>
      </c>
      <c r="O1028" s="5" t="s">
        <v>32</v>
      </c>
      <c r="P1028" s="2">
        <v>45938</v>
      </c>
      <c r="Q1028" s="2">
        <v>45961</v>
      </c>
      <c r="R1028" s="22" t="s">
        <v>2450</v>
      </c>
      <c r="V1028" s="45">
        <f>IF(OR(ISNUMBER(SEARCH("unable to locate acct",G1028)),ISNUMBER(SEARCH("unknown",G1028)),ISNUMBER(SEARCH("inactive",G1028)),H1028=""),0,1)</f>
        <v>1</v>
      </c>
    </row>
    <row r="1029" spans="1:22" ht="11.85" hidden="1" customHeight="1">
      <c r="A1029" s="2">
        <v>45910</v>
      </c>
      <c r="B1029" s="1" t="s">
        <v>2451</v>
      </c>
      <c r="C1029" s="1" t="s">
        <v>2452</v>
      </c>
      <c r="D1029" s="1" t="s">
        <v>57</v>
      </c>
      <c r="E1029" s="1">
        <v>85021</v>
      </c>
      <c r="F1029" s="1" t="s">
        <v>25</v>
      </c>
      <c r="G1029" s="1" t="s">
        <v>2447</v>
      </c>
      <c r="H1029" s="4" t="s">
        <v>2453</v>
      </c>
      <c r="I1029" s="5" t="s">
        <v>30</v>
      </c>
      <c r="J1029" s="5" t="s">
        <v>31</v>
      </c>
      <c r="K1029" s="5" t="s">
        <v>31</v>
      </c>
      <c r="L1029" s="5" t="s">
        <v>1429</v>
      </c>
      <c r="M1029" s="5" t="s">
        <v>31</v>
      </c>
      <c r="N1029" s="5" t="s">
        <v>31</v>
      </c>
      <c r="O1029" s="5" t="s">
        <v>32</v>
      </c>
      <c r="P1029" s="5" t="s">
        <v>33</v>
      </c>
      <c r="Q1029" s="2">
        <v>45961</v>
      </c>
      <c r="V1029" s="45">
        <f>IF(OR(ISNUMBER(SEARCH("unable to locate acct",G1029)),ISNUMBER(SEARCH("unknown",G1029)),ISNUMBER(SEARCH("inactive",G1029)),H1029=""),0,1)</f>
        <v>1</v>
      </c>
    </row>
    <row r="1030" spans="1:22" ht="11.85" hidden="1" customHeight="1">
      <c r="A1030" s="2">
        <v>45910</v>
      </c>
      <c r="B1030" s="1" t="s">
        <v>2264</v>
      </c>
      <c r="C1030" s="1" t="s">
        <v>470</v>
      </c>
      <c r="D1030" s="1" t="s">
        <v>2454</v>
      </c>
      <c r="E1030" s="1">
        <v>85344</v>
      </c>
      <c r="F1030" s="1" t="s">
        <v>2455</v>
      </c>
      <c r="G1030" s="1" t="s">
        <v>2447</v>
      </c>
      <c r="H1030" s="4" t="s">
        <v>21</v>
      </c>
      <c r="V1030" s="45">
        <f>IF(OR(ISNUMBER(SEARCH("unable to locate acct",G1030)),ISNUMBER(SEARCH("unknown",G1030)),ISNUMBER(SEARCH("inactive",G1030)),H1030=""),0,1)</f>
        <v>1</v>
      </c>
    </row>
    <row r="1031" spans="1:22" ht="11.85" hidden="1" customHeight="1">
      <c r="A1031" s="2">
        <v>45910</v>
      </c>
      <c r="B1031" s="1" t="s">
        <v>2264</v>
      </c>
      <c r="C1031" s="1" t="s">
        <v>1691</v>
      </c>
      <c r="D1031" s="1" t="s">
        <v>2456</v>
      </c>
      <c r="E1031" s="1">
        <v>85356</v>
      </c>
      <c r="F1031" s="1" t="s">
        <v>25</v>
      </c>
      <c r="G1031" s="1" t="s">
        <v>2447</v>
      </c>
      <c r="H1031" s="4" t="s">
        <v>21</v>
      </c>
      <c r="V1031" s="45">
        <f>IF(OR(ISNUMBER(SEARCH("unable to locate acct",G1031)),ISNUMBER(SEARCH("unknown",G1031)),ISNUMBER(SEARCH("inactive",G1031)),H1031=""),0,1)</f>
        <v>1</v>
      </c>
    </row>
    <row r="1032" spans="1:22" hidden="1">
      <c r="A1032" s="2">
        <v>45910</v>
      </c>
      <c r="B1032" s="1" t="s">
        <v>2457</v>
      </c>
      <c r="C1032" s="1" t="s">
        <v>2458</v>
      </c>
      <c r="D1032" s="1" t="s">
        <v>610</v>
      </c>
      <c r="E1032" s="1" t="s">
        <v>24</v>
      </c>
      <c r="F1032" s="1" t="s">
        <v>2459</v>
      </c>
      <c r="G1032" s="1" t="s">
        <v>2460</v>
      </c>
      <c r="H1032" s="4" t="s">
        <v>710</v>
      </c>
      <c r="I1032" s="5" t="s">
        <v>67</v>
      </c>
      <c r="J1032" s="5" t="s">
        <v>31</v>
      </c>
      <c r="K1032" s="5" t="s">
        <v>31</v>
      </c>
      <c r="L1032" s="5" t="s">
        <v>1429</v>
      </c>
      <c r="M1032" s="5" t="s">
        <v>31</v>
      </c>
      <c r="N1032" s="5" t="s">
        <v>31</v>
      </c>
      <c r="O1032" s="5" t="s">
        <v>32</v>
      </c>
      <c r="P1032" s="5" t="s">
        <v>33</v>
      </c>
      <c r="Q1032" s="2">
        <v>45961</v>
      </c>
      <c r="V1032" s="45">
        <f>IF(OR(ISNUMBER(SEARCH("unable to locate acct",G1032)),ISNUMBER(SEARCH("unknown",G1032)),ISNUMBER(SEARCH("inactive",G1032)),H1032=""),0,1)</f>
        <v>1</v>
      </c>
    </row>
    <row r="1033" spans="1:22" hidden="1">
      <c r="A1033" s="2">
        <v>45910</v>
      </c>
      <c r="B1033" s="1" t="s">
        <v>2038</v>
      </c>
      <c r="C1033" s="1" t="s">
        <v>708</v>
      </c>
      <c r="D1033" s="1" t="s">
        <v>57</v>
      </c>
      <c r="E1033" s="1">
        <v>85028</v>
      </c>
      <c r="F1033" s="1" t="s">
        <v>25</v>
      </c>
      <c r="G1033" s="1" t="s">
        <v>2460</v>
      </c>
      <c r="H1033" s="4" t="s">
        <v>2461</v>
      </c>
      <c r="I1033" s="5" t="s">
        <v>120</v>
      </c>
      <c r="J1033" s="5" t="s">
        <v>31</v>
      </c>
      <c r="K1033" s="5" t="s">
        <v>31</v>
      </c>
      <c r="L1033" s="5" t="s">
        <v>2462</v>
      </c>
      <c r="M1033" s="5" t="s">
        <v>31</v>
      </c>
      <c r="N1033" s="5" t="s">
        <v>31</v>
      </c>
      <c r="O1033" s="5" t="s">
        <v>32</v>
      </c>
      <c r="P1033" s="5" t="s">
        <v>33</v>
      </c>
      <c r="Q1033" s="2">
        <v>45961</v>
      </c>
      <c r="V1033" s="45">
        <f>IF(OR(ISNUMBER(SEARCH("unable to locate acct",G1033)),ISNUMBER(SEARCH("unknown",G1033)),ISNUMBER(SEARCH("inactive",G1033)),H1033=""),0,1)</f>
        <v>1</v>
      </c>
    </row>
    <row r="1034" spans="1:22" hidden="1">
      <c r="A1034" s="2">
        <v>45910</v>
      </c>
      <c r="B1034" s="1" t="s">
        <v>2463</v>
      </c>
      <c r="C1034" s="1" t="s">
        <v>352</v>
      </c>
      <c r="D1034" s="1" t="s">
        <v>168</v>
      </c>
      <c r="E1034" s="1">
        <v>85326</v>
      </c>
      <c r="F1034" s="1" t="s">
        <v>25</v>
      </c>
      <c r="G1034" s="1" t="s">
        <v>2460</v>
      </c>
      <c r="H1034" s="4" t="s">
        <v>2464</v>
      </c>
      <c r="I1034" s="5" t="s">
        <v>40</v>
      </c>
      <c r="J1034" s="5" t="s">
        <v>31</v>
      </c>
      <c r="K1034" s="5" t="s">
        <v>31</v>
      </c>
      <c r="L1034" s="5" t="s">
        <v>1429</v>
      </c>
      <c r="M1034" s="5" t="s">
        <v>31</v>
      </c>
      <c r="N1034" s="5" t="s">
        <v>31</v>
      </c>
      <c r="O1034" s="5" t="s">
        <v>32</v>
      </c>
      <c r="P1034" s="5" t="s">
        <v>33</v>
      </c>
      <c r="Q1034" s="2">
        <v>45961</v>
      </c>
      <c r="V1034" s="45">
        <f>IF(OR(ISNUMBER(SEARCH("unable to locate acct",G1034)),ISNUMBER(SEARCH("unknown",G1034)),ISNUMBER(SEARCH("inactive",G1034)),H1034=""),0,1)</f>
        <v>1</v>
      </c>
    </row>
    <row r="1035" spans="1:22" hidden="1">
      <c r="A1035" s="2">
        <v>45910</v>
      </c>
      <c r="B1035" s="28" t="s">
        <v>2465</v>
      </c>
      <c r="C1035" s="28" t="s">
        <v>356</v>
      </c>
      <c r="D1035" s="28" t="s">
        <v>163</v>
      </c>
      <c r="E1035" s="28">
        <v>85395</v>
      </c>
      <c r="F1035" s="28" t="s">
        <v>25</v>
      </c>
      <c r="G1035" s="28" t="s">
        <v>2460</v>
      </c>
      <c r="H1035" s="4" t="s">
        <v>2466</v>
      </c>
      <c r="I1035" s="5" t="s">
        <v>1346</v>
      </c>
      <c r="J1035" s="5" t="s">
        <v>31</v>
      </c>
      <c r="K1035" s="5" t="s">
        <v>31</v>
      </c>
      <c r="L1035" s="5" t="s">
        <v>381</v>
      </c>
      <c r="M1035" s="5" t="s">
        <v>31</v>
      </c>
      <c r="N1035" s="5" t="s">
        <v>31</v>
      </c>
      <c r="O1035" s="5" t="s">
        <v>32</v>
      </c>
      <c r="P1035" s="5" t="s">
        <v>33</v>
      </c>
      <c r="Q1035" s="2">
        <v>45961</v>
      </c>
      <c r="R1035" s="1" t="s">
        <v>2467</v>
      </c>
      <c r="V1035" s="45">
        <f>IF(OR(ISNUMBER(SEARCH("unable to locate acct",G1035)),ISNUMBER(SEARCH("unknown",G1035)),ISNUMBER(SEARCH("inactive",G1035)),H1035=""),0,1)</f>
        <v>1</v>
      </c>
    </row>
    <row r="1036" spans="1:22" hidden="1">
      <c r="A1036" s="2">
        <v>45910</v>
      </c>
      <c r="B1036" s="1" t="s">
        <v>2468</v>
      </c>
      <c r="C1036" s="1" t="s">
        <v>2469</v>
      </c>
      <c r="D1036" s="1" t="s">
        <v>57</v>
      </c>
      <c r="E1036" s="1">
        <v>85004</v>
      </c>
      <c r="F1036" s="1" t="s">
        <v>25</v>
      </c>
      <c r="G1036" s="1" t="s">
        <v>2460</v>
      </c>
      <c r="H1036" s="4" t="s">
        <v>2470</v>
      </c>
      <c r="I1036" s="5" t="s">
        <v>190</v>
      </c>
      <c r="J1036" s="5" t="s">
        <v>31</v>
      </c>
      <c r="K1036" s="5" t="s">
        <v>31</v>
      </c>
      <c r="L1036" s="7" t="s">
        <v>2471</v>
      </c>
      <c r="M1036" s="5" t="s">
        <v>31</v>
      </c>
      <c r="N1036" s="5" t="s">
        <v>31</v>
      </c>
      <c r="O1036" s="5" t="s">
        <v>32</v>
      </c>
      <c r="P1036" s="5" t="s">
        <v>33</v>
      </c>
      <c r="Q1036" s="2">
        <v>45961</v>
      </c>
      <c r="R1036" s="1" t="s">
        <v>2472</v>
      </c>
      <c r="V1036" s="45">
        <f>IF(OR(ISNUMBER(SEARCH("unable to locate acct",G1036)),ISNUMBER(SEARCH("unknown",G1036)),ISNUMBER(SEARCH("inactive",G1036)),H1036=""),0,1)</f>
        <v>1</v>
      </c>
    </row>
    <row r="1037" spans="1:22" hidden="1">
      <c r="A1037" s="2">
        <v>45910</v>
      </c>
      <c r="B1037" s="1" t="s">
        <v>2387</v>
      </c>
      <c r="C1037" s="1" t="s">
        <v>2388</v>
      </c>
      <c r="D1037" s="1" t="s">
        <v>79</v>
      </c>
      <c r="E1037" s="1">
        <v>86323</v>
      </c>
      <c r="F1037" s="1" t="s">
        <v>25</v>
      </c>
      <c r="G1037" s="1" t="s">
        <v>2460</v>
      </c>
      <c r="H1037" s="4" t="s">
        <v>2389</v>
      </c>
      <c r="I1037" s="5" t="s">
        <v>190</v>
      </c>
      <c r="J1037" s="5" t="s">
        <v>31</v>
      </c>
      <c r="K1037" s="5" t="s">
        <v>31</v>
      </c>
      <c r="L1037" s="5" t="s">
        <v>2473</v>
      </c>
      <c r="M1037" s="5" t="s">
        <v>31</v>
      </c>
      <c r="N1037" s="5" t="s">
        <v>31</v>
      </c>
      <c r="O1037" s="5" t="s">
        <v>32</v>
      </c>
      <c r="P1037" s="5" t="s">
        <v>33</v>
      </c>
      <c r="Q1037" s="2">
        <v>45961</v>
      </c>
      <c r="V1037" s="45">
        <f>IF(OR(ISNUMBER(SEARCH("unable to locate acct",G1037)),ISNUMBER(SEARCH("unknown",G1037)),ISNUMBER(SEARCH("inactive",G1037)),H1037=""),0,1)</f>
        <v>1</v>
      </c>
    </row>
    <row r="1038" spans="1:22" hidden="1">
      <c r="A1038" s="2">
        <v>45910</v>
      </c>
      <c r="B1038" s="1" t="s">
        <v>256</v>
      </c>
      <c r="C1038" s="1" t="s">
        <v>209</v>
      </c>
      <c r="D1038" s="1" t="s">
        <v>196</v>
      </c>
      <c r="E1038" s="1">
        <v>85345</v>
      </c>
      <c r="F1038" s="1" t="s">
        <v>25</v>
      </c>
      <c r="G1038" s="1" t="s">
        <v>2460</v>
      </c>
      <c r="H1038" s="4" t="s">
        <v>2474</v>
      </c>
      <c r="I1038" s="5" t="s">
        <v>190</v>
      </c>
      <c r="J1038" s="5" t="s">
        <v>31</v>
      </c>
      <c r="K1038" s="5" t="s">
        <v>31</v>
      </c>
      <c r="L1038" s="5" t="s">
        <v>1429</v>
      </c>
      <c r="M1038" s="5" t="s">
        <v>31</v>
      </c>
      <c r="N1038" s="5" t="s">
        <v>31</v>
      </c>
      <c r="O1038" s="5" t="s">
        <v>32</v>
      </c>
      <c r="P1038" s="5" t="s">
        <v>33</v>
      </c>
      <c r="Q1038" s="2">
        <v>45961</v>
      </c>
      <c r="V1038" s="45">
        <f>IF(OR(ISNUMBER(SEARCH("unable to locate acct",G1038)),ISNUMBER(SEARCH("unknown",G1038)),ISNUMBER(SEARCH("inactive",G1038)),H1038=""),0,1)</f>
        <v>1</v>
      </c>
    </row>
    <row r="1039" spans="1:22" hidden="1">
      <c r="A1039" s="2">
        <v>45910</v>
      </c>
      <c r="B1039" s="1" t="s">
        <v>1869</v>
      </c>
      <c r="C1039" s="1" t="s">
        <v>1869</v>
      </c>
      <c r="D1039" s="1" t="s">
        <v>24</v>
      </c>
      <c r="E1039" s="1" t="s">
        <v>24</v>
      </c>
      <c r="F1039" s="1" t="s">
        <v>2475</v>
      </c>
      <c r="G1039" s="1" t="s">
        <v>2460</v>
      </c>
      <c r="H1039" s="4" t="s">
        <v>21</v>
      </c>
      <c r="V1039" s="45">
        <f>IF(OR(ISNUMBER(SEARCH("unable to locate acct",G1039)),ISNUMBER(SEARCH("unknown",G1039)),ISNUMBER(SEARCH("inactive",G1039)),H1039=""),0,1)</f>
        <v>1</v>
      </c>
    </row>
    <row r="1040" spans="1:22" hidden="1">
      <c r="A1040" s="2">
        <v>45910</v>
      </c>
      <c r="B1040" s="1" t="s">
        <v>2232</v>
      </c>
      <c r="C1040" s="1" t="s">
        <v>1747</v>
      </c>
      <c r="D1040" s="1" t="s">
        <v>106</v>
      </c>
      <c r="E1040" s="1">
        <v>85388</v>
      </c>
      <c r="F1040" s="1" t="s">
        <v>304</v>
      </c>
      <c r="G1040" s="1" t="s">
        <v>2476</v>
      </c>
      <c r="H1040" s="4" t="s">
        <v>2477</v>
      </c>
      <c r="I1040" s="5" t="s">
        <v>40</v>
      </c>
      <c r="J1040" s="5" t="s">
        <v>31</v>
      </c>
      <c r="K1040" s="5" t="s">
        <v>31</v>
      </c>
      <c r="L1040" s="5" t="s">
        <v>1429</v>
      </c>
      <c r="M1040" s="5" t="s">
        <v>31</v>
      </c>
      <c r="N1040" s="5" t="s">
        <v>31</v>
      </c>
      <c r="O1040" s="5" t="s">
        <v>32</v>
      </c>
      <c r="P1040" s="5" t="s">
        <v>33</v>
      </c>
      <c r="Q1040" s="2">
        <v>45961</v>
      </c>
      <c r="V1040" s="45">
        <f>IF(OR(ISNUMBER(SEARCH("unable to locate acct",G1040)),ISNUMBER(SEARCH("unknown",G1040)),ISNUMBER(SEARCH("inactive",G1040)),H1040=""),0,1)</f>
        <v>1</v>
      </c>
    </row>
    <row r="1041" spans="1:22" hidden="1">
      <c r="A1041" s="2">
        <v>45911</v>
      </c>
      <c r="B1041" s="1" t="s">
        <v>2478</v>
      </c>
      <c r="C1041" s="1" t="s">
        <v>2479</v>
      </c>
      <c r="D1041" s="1" t="s">
        <v>119</v>
      </c>
      <c r="E1041" s="1">
        <v>85259</v>
      </c>
      <c r="F1041" s="1" t="s">
        <v>2480</v>
      </c>
      <c r="G1041" s="1" t="s">
        <v>2476</v>
      </c>
      <c r="H1041" s="4" t="s">
        <v>2481</v>
      </c>
      <c r="I1041" s="5" t="s">
        <v>30</v>
      </c>
      <c r="J1041" s="5" t="s">
        <v>31</v>
      </c>
      <c r="K1041" s="5" t="s">
        <v>31</v>
      </c>
      <c r="L1041" s="5" t="s">
        <v>1429</v>
      </c>
      <c r="M1041" s="5" t="s">
        <v>31</v>
      </c>
      <c r="N1041" s="5" t="s">
        <v>31</v>
      </c>
      <c r="O1041" s="5" t="s">
        <v>32</v>
      </c>
      <c r="P1041" s="5" t="s">
        <v>33</v>
      </c>
      <c r="Q1041" s="2">
        <v>45961</v>
      </c>
      <c r="V1041" s="45">
        <f>IF(OR(ISNUMBER(SEARCH("unable to locate acct",G1041)),ISNUMBER(SEARCH("unknown",G1041)),ISNUMBER(SEARCH("inactive",G1041)),H1041=""),0,1)</f>
        <v>1</v>
      </c>
    </row>
    <row r="1042" spans="1:22" hidden="1">
      <c r="A1042" s="2">
        <v>45911</v>
      </c>
      <c r="B1042" s="1" t="s">
        <v>2482</v>
      </c>
      <c r="C1042" s="1" t="s">
        <v>2483</v>
      </c>
      <c r="D1042" s="1" t="s">
        <v>24</v>
      </c>
      <c r="E1042" s="1" t="s">
        <v>24</v>
      </c>
      <c r="F1042" s="1" t="s">
        <v>2484</v>
      </c>
      <c r="G1042" s="1" t="s">
        <v>2476</v>
      </c>
      <c r="H1042" s="4" t="s">
        <v>21</v>
      </c>
      <c r="V1042" s="45">
        <f>IF(OR(ISNUMBER(SEARCH("unable to locate acct",G1042)),ISNUMBER(SEARCH("unknown",G1042)),ISNUMBER(SEARCH("inactive",G1042)),H1042=""),0,1)</f>
        <v>1</v>
      </c>
    </row>
    <row r="1043" spans="1:22" hidden="1">
      <c r="A1043" s="2">
        <v>45911</v>
      </c>
      <c r="B1043" s="1" t="s">
        <v>2002</v>
      </c>
      <c r="C1043" s="1" t="s">
        <v>1832</v>
      </c>
      <c r="D1043" s="1" t="s">
        <v>196</v>
      </c>
      <c r="E1043" s="1">
        <v>85345</v>
      </c>
      <c r="F1043" s="1" t="s">
        <v>304</v>
      </c>
      <c r="G1043" s="1" t="s">
        <v>2476</v>
      </c>
      <c r="H1043" s="4" t="s">
        <v>2485</v>
      </c>
      <c r="I1043" s="5" t="s">
        <v>40</v>
      </c>
      <c r="J1043" s="5" t="s">
        <v>31</v>
      </c>
      <c r="K1043" s="5" t="s">
        <v>31</v>
      </c>
      <c r="L1043" s="5" t="s">
        <v>2486</v>
      </c>
      <c r="M1043" s="5" t="s">
        <v>31</v>
      </c>
      <c r="N1043" s="5" t="s">
        <v>31</v>
      </c>
      <c r="O1043" s="5" t="s">
        <v>32</v>
      </c>
      <c r="P1043" s="5" t="s">
        <v>33</v>
      </c>
      <c r="Q1043" s="2">
        <v>45961</v>
      </c>
      <c r="V1043" s="45">
        <f>IF(OR(ISNUMBER(SEARCH("unable to locate acct",G1043)),ISNUMBER(SEARCH("unknown",G1043)),ISNUMBER(SEARCH("inactive",G1043)),H1043=""),0,1)</f>
        <v>1</v>
      </c>
    </row>
    <row r="1044" spans="1:22" hidden="1">
      <c r="A1044" s="2">
        <v>45911</v>
      </c>
      <c r="B1044" s="1" t="s">
        <v>2487</v>
      </c>
      <c r="C1044" s="1" t="s">
        <v>2488</v>
      </c>
      <c r="D1044" s="1" t="s">
        <v>24</v>
      </c>
      <c r="E1044" s="1" t="s">
        <v>24</v>
      </c>
      <c r="F1044" s="1" t="s">
        <v>304</v>
      </c>
      <c r="G1044" s="1" t="s">
        <v>2476</v>
      </c>
      <c r="H1044" s="4" t="s">
        <v>21</v>
      </c>
      <c r="V1044" s="45">
        <f>IF(OR(ISNUMBER(SEARCH("unable to locate acct",G1044)),ISNUMBER(SEARCH("unknown",G1044)),ISNUMBER(SEARCH("inactive",G1044)),H1044=""),0,1)</f>
        <v>1</v>
      </c>
    </row>
    <row r="1045" spans="1:22" hidden="1">
      <c r="A1045" s="2">
        <v>45911</v>
      </c>
      <c r="B1045" s="1" t="s">
        <v>218</v>
      </c>
      <c r="C1045" s="1" t="s">
        <v>340</v>
      </c>
      <c r="D1045" s="1" t="s">
        <v>79</v>
      </c>
      <c r="E1045" s="1">
        <v>86323</v>
      </c>
      <c r="F1045" s="1" t="s">
        <v>25</v>
      </c>
      <c r="G1045" s="1" t="s">
        <v>2476</v>
      </c>
      <c r="H1045" s="4" t="s">
        <v>2389</v>
      </c>
      <c r="I1045" s="5" t="s">
        <v>190</v>
      </c>
      <c r="J1045" s="5" t="s">
        <v>31</v>
      </c>
      <c r="K1045" s="5" t="s">
        <v>31</v>
      </c>
      <c r="L1045" s="5" t="s">
        <v>2390</v>
      </c>
      <c r="M1045" s="5" t="s">
        <v>31</v>
      </c>
      <c r="N1045" s="5" t="s">
        <v>31</v>
      </c>
      <c r="O1045" s="5" t="s">
        <v>32</v>
      </c>
      <c r="P1045" s="5" t="s">
        <v>33</v>
      </c>
      <c r="Q1045" s="2">
        <v>45961</v>
      </c>
      <c r="V1045" s="45">
        <f>IF(OR(ISNUMBER(SEARCH("unable to locate acct",G1045)),ISNUMBER(SEARCH("unknown",G1045)),ISNUMBER(SEARCH("inactive",G1045)),H1045=""),0,1)</f>
        <v>1</v>
      </c>
    </row>
    <row r="1046" spans="1:22" hidden="1">
      <c r="A1046" s="2">
        <v>45912</v>
      </c>
      <c r="B1046" s="1" t="s">
        <v>2489</v>
      </c>
      <c r="C1046" s="1" t="s">
        <v>2490</v>
      </c>
      <c r="D1046" s="1" t="s">
        <v>163</v>
      </c>
      <c r="E1046" s="1">
        <v>85395</v>
      </c>
      <c r="F1046" s="1" t="s">
        <v>25</v>
      </c>
      <c r="G1046" s="1" t="s">
        <v>2491</v>
      </c>
      <c r="H1046" s="4" t="s">
        <v>2492</v>
      </c>
      <c r="I1046" s="5" t="s">
        <v>30</v>
      </c>
      <c r="J1046" s="5" t="s">
        <v>31</v>
      </c>
      <c r="K1046" s="5" t="s">
        <v>31</v>
      </c>
      <c r="L1046" s="5" t="s">
        <v>1429</v>
      </c>
      <c r="M1046" s="5" t="s">
        <v>31</v>
      </c>
      <c r="N1046" s="5" t="s">
        <v>31</v>
      </c>
      <c r="O1046" s="5" t="s">
        <v>32</v>
      </c>
      <c r="P1046" s="5" t="s">
        <v>33</v>
      </c>
      <c r="Q1046" s="2">
        <v>45961</v>
      </c>
      <c r="V1046" s="45">
        <f>IF(OR(ISNUMBER(SEARCH("unable to locate acct",G1046)),ISNUMBER(SEARCH("unknown",G1046)),ISNUMBER(SEARCH("inactive",G1046)),H1046=""),0,1)</f>
        <v>1</v>
      </c>
    </row>
    <row r="1047" spans="1:22" hidden="1">
      <c r="A1047" s="2">
        <v>45912</v>
      </c>
      <c r="B1047" s="1" t="s">
        <v>1202</v>
      </c>
      <c r="C1047" s="1" t="s">
        <v>1087</v>
      </c>
      <c r="D1047" s="1" t="s">
        <v>57</v>
      </c>
      <c r="E1047" s="1">
        <v>85053</v>
      </c>
      <c r="F1047" s="1" t="s">
        <v>304</v>
      </c>
      <c r="G1047" s="1" t="s">
        <v>2493</v>
      </c>
      <c r="H1047" s="4" t="s">
        <v>1205</v>
      </c>
      <c r="I1047" s="5" t="s">
        <v>30</v>
      </c>
      <c r="J1047" s="5" t="s">
        <v>31</v>
      </c>
      <c r="K1047" s="5" t="s">
        <v>31</v>
      </c>
      <c r="L1047" s="5" t="s">
        <v>1429</v>
      </c>
      <c r="M1047" s="5" t="s">
        <v>31</v>
      </c>
      <c r="N1047" s="5" t="s">
        <v>31</v>
      </c>
      <c r="O1047" s="5" t="s">
        <v>32</v>
      </c>
      <c r="P1047" s="5" t="s">
        <v>33</v>
      </c>
      <c r="Q1047" s="2">
        <v>45961</v>
      </c>
      <c r="V1047" s="45">
        <f>IF(OR(ISNUMBER(SEARCH("unable to locate acct",G1047)),ISNUMBER(SEARCH("unknown",G1047)),ISNUMBER(SEARCH("inactive",G1047)),H1047=""),0,1)</f>
        <v>1</v>
      </c>
    </row>
    <row r="1048" spans="1:22" hidden="1">
      <c r="A1048" s="2">
        <v>45912</v>
      </c>
      <c r="B1048" s="1" t="s">
        <v>2494</v>
      </c>
      <c r="C1048" s="1" t="s">
        <v>2495</v>
      </c>
      <c r="D1048" s="1" t="s">
        <v>24</v>
      </c>
      <c r="E1048" s="1" t="s">
        <v>24</v>
      </c>
      <c r="F1048" s="1" t="s">
        <v>25</v>
      </c>
      <c r="G1048" s="1" t="s">
        <v>2496</v>
      </c>
      <c r="H1048" s="4" t="s">
        <v>21</v>
      </c>
      <c r="V1048" s="45">
        <f>IF(OR(ISNUMBER(SEARCH("unable to locate acct",G1048)),ISNUMBER(SEARCH("unknown",G1048)),ISNUMBER(SEARCH("inactive",G1048)),H1048=""),0,1)</f>
        <v>1</v>
      </c>
    </row>
    <row r="1049" spans="1:22" hidden="1">
      <c r="A1049" s="2">
        <v>45912</v>
      </c>
      <c r="B1049" s="1" t="s">
        <v>2497</v>
      </c>
      <c r="C1049" s="1" t="s">
        <v>1039</v>
      </c>
      <c r="D1049" s="1" t="s">
        <v>57</v>
      </c>
      <c r="E1049" s="1">
        <v>85027</v>
      </c>
      <c r="F1049" s="1" t="s">
        <v>732</v>
      </c>
      <c r="G1049" s="1" t="s">
        <v>2496</v>
      </c>
      <c r="H1049" s="4" t="s">
        <v>2498</v>
      </c>
      <c r="I1049" s="5" t="s">
        <v>190</v>
      </c>
      <c r="J1049" s="5" t="s">
        <v>31</v>
      </c>
      <c r="K1049" s="5" t="s">
        <v>31</v>
      </c>
      <c r="L1049" s="5" t="s">
        <v>2499</v>
      </c>
      <c r="M1049" s="5" t="s">
        <v>31</v>
      </c>
      <c r="N1049" s="5" t="s">
        <v>31</v>
      </c>
      <c r="O1049" s="5" t="s">
        <v>32</v>
      </c>
      <c r="P1049" s="5" t="s">
        <v>33</v>
      </c>
      <c r="Q1049" s="2">
        <v>45961</v>
      </c>
      <c r="V1049" s="45">
        <f>IF(OR(ISNUMBER(SEARCH("unable to locate acct",G1049)),ISNUMBER(SEARCH("unknown",G1049)),ISNUMBER(SEARCH("inactive",G1049)),H1049=""),0,1)</f>
        <v>1</v>
      </c>
    </row>
    <row r="1050" spans="1:22" hidden="1">
      <c r="A1050" s="2">
        <v>45912</v>
      </c>
      <c r="B1050" s="1" t="s">
        <v>2500</v>
      </c>
      <c r="C1050" s="1" t="s">
        <v>2501</v>
      </c>
      <c r="D1050" s="1" t="s">
        <v>514</v>
      </c>
      <c r="E1050" s="1">
        <v>85392</v>
      </c>
      <c r="F1050" s="1" t="s">
        <v>304</v>
      </c>
      <c r="G1050" s="1" t="s">
        <v>2496</v>
      </c>
      <c r="H1050" s="4" t="s">
        <v>2502</v>
      </c>
      <c r="I1050" s="5" t="s">
        <v>190</v>
      </c>
      <c r="J1050" s="5" t="s">
        <v>31</v>
      </c>
      <c r="K1050" s="5" t="s">
        <v>31</v>
      </c>
      <c r="L1050" s="7" t="s">
        <v>2503</v>
      </c>
      <c r="M1050" s="5" t="s">
        <v>31</v>
      </c>
      <c r="N1050" s="5" t="s">
        <v>31</v>
      </c>
      <c r="O1050" s="5" t="s">
        <v>32</v>
      </c>
      <c r="P1050" s="2">
        <v>45938</v>
      </c>
      <c r="Q1050" s="2">
        <v>45961</v>
      </c>
      <c r="R1050" s="1" t="s">
        <v>2504</v>
      </c>
      <c r="V1050" s="45">
        <f>IF(OR(ISNUMBER(SEARCH("unable to locate acct",G1050)),ISNUMBER(SEARCH("unknown",G1050)),ISNUMBER(SEARCH("inactive",G1050)),H1050=""),0,1)</f>
        <v>1</v>
      </c>
    </row>
    <row r="1051" spans="1:22" hidden="1">
      <c r="A1051" s="2">
        <v>45912</v>
      </c>
      <c r="B1051" s="1" t="s">
        <v>2505</v>
      </c>
      <c r="C1051" s="1" t="s">
        <v>419</v>
      </c>
      <c r="D1051" s="1" t="s">
        <v>18</v>
      </c>
      <c r="E1051" s="1">
        <v>85308</v>
      </c>
      <c r="F1051" s="1" t="s">
        <v>304</v>
      </c>
      <c r="G1051" s="1" t="s">
        <v>2496</v>
      </c>
      <c r="H1051" s="4" t="s">
        <v>2506</v>
      </c>
      <c r="I1051" s="5" t="s">
        <v>237</v>
      </c>
      <c r="J1051" s="5" t="s">
        <v>31</v>
      </c>
      <c r="K1051" s="5" t="s">
        <v>31</v>
      </c>
      <c r="L1051" s="5" t="s">
        <v>381</v>
      </c>
      <c r="M1051" s="5" t="s">
        <v>31</v>
      </c>
      <c r="N1051" s="5" t="s">
        <v>31</v>
      </c>
      <c r="O1051" s="5" t="s">
        <v>32</v>
      </c>
      <c r="P1051" s="5" t="s">
        <v>33</v>
      </c>
      <c r="Q1051" s="2">
        <v>45961</v>
      </c>
      <c r="V1051" s="45">
        <f>IF(OR(ISNUMBER(SEARCH("unable to locate acct",G1051)),ISNUMBER(SEARCH("unknown",G1051)),ISNUMBER(SEARCH("inactive",G1051)),H1051=""),0,1)</f>
        <v>1</v>
      </c>
    </row>
    <row r="1052" spans="1:22" hidden="1">
      <c r="A1052" s="2">
        <v>45912</v>
      </c>
      <c r="B1052" s="1" t="s">
        <v>2507</v>
      </c>
      <c r="C1052" s="1" t="s">
        <v>816</v>
      </c>
      <c r="D1052" s="1" t="s">
        <v>119</v>
      </c>
      <c r="E1052" s="1">
        <v>85255</v>
      </c>
      <c r="F1052" s="1" t="s">
        <v>25</v>
      </c>
      <c r="G1052" s="1" t="s">
        <v>2496</v>
      </c>
      <c r="H1052" s="4" t="s">
        <v>2508</v>
      </c>
      <c r="I1052" s="5" t="s">
        <v>532</v>
      </c>
      <c r="J1052" s="5" t="s">
        <v>31</v>
      </c>
      <c r="K1052" s="5" t="s">
        <v>31</v>
      </c>
      <c r="L1052" s="5" t="s">
        <v>381</v>
      </c>
      <c r="M1052" s="5" t="s">
        <v>31</v>
      </c>
      <c r="N1052" s="5" t="s">
        <v>31</v>
      </c>
      <c r="O1052" s="5" t="s">
        <v>32</v>
      </c>
      <c r="P1052" s="5" t="s">
        <v>33</v>
      </c>
      <c r="Q1052" s="2">
        <v>45961</v>
      </c>
      <c r="V1052" s="45">
        <f>IF(OR(ISNUMBER(SEARCH("unable to locate acct",G1052)),ISNUMBER(SEARCH("unknown",G1052)),ISNUMBER(SEARCH("inactive",G1052)),H1052=""),0,1)</f>
        <v>1</v>
      </c>
    </row>
    <row r="1053" spans="1:22" hidden="1">
      <c r="A1053" s="2">
        <v>45912</v>
      </c>
      <c r="B1053" s="1" t="s">
        <v>2509</v>
      </c>
      <c r="C1053" s="1" t="s">
        <v>2510</v>
      </c>
      <c r="D1053" s="1" t="s">
        <v>57</v>
      </c>
      <c r="E1053" s="1">
        <v>85014</v>
      </c>
      <c r="F1053" s="1" t="s">
        <v>304</v>
      </c>
      <c r="G1053" s="1" t="s">
        <v>2511</v>
      </c>
      <c r="H1053" s="4" t="s">
        <v>21</v>
      </c>
      <c r="V1053" s="45">
        <f>IF(OR(ISNUMBER(SEARCH("unable to locate acct",G1053)),ISNUMBER(SEARCH("unknown",G1053)),ISNUMBER(SEARCH("inactive",G1053)),H1053=""),0,1)</f>
        <v>1</v>
      </c>
    </row>
    <row r="1054" spans="1:22" hidden="1">
      <c r="A1054" s="2">
        <v>45912</v>
      </c>
      <c r="B1054" s="1" t="s">
        <v>2512</v>
      </c>
      <c r="C1054" s="1" t="s">
        <v>139</v>
      </c>
      <c r="D1054" s="1" t="s">
        <v>801</v>
      </c>
      <c r="E1054" s="1">
        <v>86303</v>
      </c>
      <c r="F1054" s="1" t="s">
        <v>2513</v>
      </c>
      <c r="G1054" s="1" t="s">
        <v>2511</v>
      </c>
      <c r="H1054" s="4" t="s">
        <v>2514</v>
      </c>
      <c r="I1054" s="5" t="s">
        <v>67</v>
      </c>
      <c r="J1054" s="5" t="s">
        <v>31</v>
      </c>
      <c r="K1054" s="5" t="s">
        <v>31</v>
      </c>
      <c r="L1054" s="5" t="s">
        <v>1429</v>
      </c>
      <c r="M1054" s="5" t="s">
        <v>31</v>
      </c>
      <c r="N1054" s="5" t="s">
        <v>31</v>
      </c>
      <c r="O1054" s="5" t="s">
        <v>32</v>
      </c>
      <c r="P1054" s="5" t="s">
        <v>33</v>
      </c>
      <c r="Q1054" s="2">
        <v>45961</v>
      </c>
      <c r="V1054" s="45">
        <f>IF(OR(ISNUMBER(SEARCH("unable to locate acct",G1054)),ISNUMBER(SEARCH("unknown",G1054)),ISNUMBER(SEARCH("inactive",G1054)),H1054=""),0,1)</f>
        <v>1</v>
      </c>
    </row>
    <row r="1055" spans="1:22" hidden="1">
      <c r="A1055" s="2">
        <v>45912</v>
      </c>
      <c r="B1055" s="1" t="s">
        <v>2515</v>
      </c>
      <c r="C1055" s="1" t="s">
        <v>1602</v>
      </c>
      <c r="D1055" s="1" t="s">
        <v>57</v>
      </c>
      <c r="E1055" s="1">
        <v>85002</v>
      </c>
      <c r="F1055" s="1" t="s">
        <v>2516</v>
      </c>
      <c r="G1055" s="1" t="s">
        <v>2511</v>
      </c>
      <c r="H1055" s="4" t="s">
        <v>21</v>
      </c>
      <c r="V1055" s="45">
        <f>IF(OR(ISNUMBER(SEARCH("unable to locate acct",G1055)),ISNUMBER(SEARCH("unknown",G1055)),ISNUMBER(SEARCH("inactive",G1055)),H1055=""),0,1)</f>
        <v>1</v>
      </c>
    </row>
    <row r="1056" spans="1:22" hidden="1">
      <c r="A1056" s="2">
        <v>45912</v>
      </c>
      <c r="B1056" s="1" t="s">
        <v>2517</v>
      </c>
      <c r="C1056" s="1" t="s">
        <v>306</v>
      </c>
      <c r="D1056" s="1" t="s">
        <v>57</v>
      </c>
      <c r="E1056" s="1">
        <v>85013</v>
      </c>
      <c r="F1056" s="1" t="s">
        <v>25</v>
      </c>
      <c r="G1056" s="1" t="s">
        <v>2511</v>
      </c>
      <c r="H1056" s="4" t="s">
        <v>21</v>
      </c>
      <c r="V1056" s="45">
        <f>IF(OR(ISNUMBER(SEARCH("unable to locate acct",G1056)),ISNUMBER(SEARCH("unknown",G1056)),ISNUMBER(SEARCH("inactive",G1056)),H1056=""),0,1)</f>
        <v>1</v>
      </c>
    </row>
    <row r="1057" spans="1:22" hidden="1">
      <c r="A1057" s="2">
        <v>45912</v>
      </c>
      <c r="B1057" s="1" t="s">
        <v>2518</v>
      </c>
      <c r="C1057" s="1" t="s">
        <v>36</v>
      </c>
      <c r="D1057" s="1" t="s">
        <v>106</v>
      </c>
      <c r="E1057" s="1">
        <v>85378</v>
      </c>
      <c r="F1057" s="1" t="s">
        <v>651</v>
      </c>
      <c r="G1057" s="1" t="s">
        <v>2511</v>
      </c>
      <c r="H1057" s="4" t="s">
        <v>2519</v>
      </c>
      <c r="I1057" s="5" t="s">
        <v>40</v>
      </c>
      <c r="J1057" s="5" t="s">
        <v>31</v>
      </c>
      <c r="K1057" s="5" t="s">
        <v>31</v>
      </c>
      <c r="L1057" s="5" t="s">
        <v>2520</v>
      </c>
      <c r="M1057" s="5" t="s">
        <v>31</v>
      </c>
      <c r="N1057" s="5" t="s">
        <v>31</v>
      </c>
      <c r="O1057" s="5" t="s">
        <v>32</v>
      </c>
      <c r="P1057" s="5" t="s">
        <v>33</v>
      </c>
      <c r="Q1057" s="2">
        <v>45961</v>
      </c>
      <c r="V1057" s="45">
        <f>IF(OR(ISNUMBER(SEARCH("unable to locate acct",G1057)),ISNUMBER(SEARCH("unknown",G1057)),ISNUMBER(SEARCH("inactive",G1057)),H1057=""),0,1)</f>
        <v>1</v>
      </c>
    </row>
    <row r="1058" spans="1:22" hidden="1">
      <c r="A1058" s="2">
        <v>45912</v>
      </c>
      <c r="B1058" s="1" t="s">
        <v>2521</v>
      </c>
      <c r="C1058" s="1" t="s">
        <v>306</v>
      </c>
      <c r="D1058" s="1" t="s">
        <v>18</v>
      </c>
      <c r="E1058" s="1">
        <v>85308</v>
      </c>
      <c r="F1058" s="1" t="s">
        <v>2522</v>
      </c>
      <c r="G1058" s="1" t="s">
        <v>2511</v>
      </c>
      <c r="H1058" s="4" t="s">
        <v>2523</v>
      </c>
      <c r="I1058" s="5" t="s">
        <v>532</v>
      </c>
      <c r="J1058" s="5" t="s">
        <v>31</v>
      </c>
      <c r="K1058" s="5" t="s">
        <v>31</v>
      </c>
      <c r="L1058" s="5" t="s">
        <v>381</v>
      </c>
      <c r="M1058" s="5" t="s">
        <v>31</v>
      </c>
      <c r="N1058" s="5" t="s">
        <v>31</v>
      </c>
      <c r="O1058" s="5" t="s">
        <v>32</v>
      </c>
      <c r="P1058" s="5" t="s">
        <v>33</v>
      </c>
      <c r="Q1058" s="2">
        <v>45961</v>
      </c>
      <c r="V1058" s="45">
        <f>IF(OR(ISNUMBER(SEARCH("unable to locate acct",G1058)),ISNUMBER(SEARCH("unknown",G1058)),ISNUMBER(SEARCH("inactive",G1058)),H1058=""),0,1)</f>
        <v>1</v>
      </c>
    </row>
    <row r="1059" spans="1:22" hidden="1">
      <c r="A1059" s="2">
        <v>45912</v>
      </c>
      <c r="B1059" s="1" t="s">
        <v>2524</v>
      </c>
      <c r="C1059" s="1" t="s">
        <v>246</v>
      </c>
      <c r="D1059" s="1" t="s">
        <v>57</v>
      </c>
      <c r="E1059" s="1">
        <v>85028</v>
      </c>
      <c r="F1059" s="1" t="s">
        <v>25</v>
      </c>
      <c r="G1059" s="1" t="s">
        <v>2511</v>
      </c>
      <c r="H1059" s="4" t="s">
        <v>2525</v>
      </c>
      <c r="I1059" s="5" t="s">
        <v>120</v>
      </c>
      <c r="J1059" s="5" t="s">
        <v>31</v>
      </c>
      <c r="K1059" s="5" t="s">
        <v>31</v>
      </c>
      <c r="L1059" s="7" t="s">
        <v>2526</v>
      </c>
      <c r="M1059" s="5" t="s">
        <v>31</v>
      </c>
      <c r="N1059" s="5" t="s">
        <v>31</v>
      </c>
      <c r="O1059" s="5" t="s">
        <v>32</v>
      </c>
      <c r="P1059" s="2">
        <v>45938</v>
      </c>
      <c r="Q1059" s="2">
        <v>45961</v>
      </c>
      <c r="R1059" s="1" t="s">
        <v>2527</v>
      </c>
      <c r="V1059" s="45">
        <f>IF(OR(ISNUMBER(SEARCH("unable to locate acct",G1059)),ISNUMBER(SEARCH("unknown",G1059)),ISNUMBER(SEARCH("inactive",G1059)),H1059=""),0,1)</f>
        <v>1</v>
      </c>
    </row>
    <row r="1060" spans="1:22" hidden="1">
      <c r="A1060" s="2">
        <v>45912</v>
      </c>
      <c r="B1060" s="1" t="s">
        <v>2528</v>
      </c>
      <c r="C1060" s="1" t="s">
        <v>1389</v>
      </c>
      <c r="D1060" s="1" t="s">
        <v>689</v>
      </c>
      <c r="E1060" s="1">
        <v>85375</v>
      </c>
      <c r="F1060" s="1" t="s">
        <v>25</v>
      </c>
      <c r="G1060" s="1" t="s">
        <v>2511</v>
      </c>
      <c r="H1060" s="4" t="s">
        <v>2529</v>
      </c>
      <c r="I1060" s="5" t="s">
        <v>51</v>
      </c>
      <c r="J1060" s="5" t="s">
        <v>31</v>
      </c>
      <c r="K1060" s="5" t="s">
        <v>31</v>
      </c>
      <c r="L1060" s="7" t="s">
        <v>2530</v>
      </c>
      <c r="M1060" s="5" t="s">
        <v>31</v>
      </c>
      <c r="N1060" s="5" t="s">
        <v>31</v>
      </c>
      <c r="O1060" s="5" t="s">
        <v>32</v>
      </c>
      <c r="P1060" s="2">
        <v>45938</v>
      </c>
      <c r="Q1060" s="2">
        <v>45961</v>
      </c>
      <c r="R1060" s="1" t="s">
        <v>2504</v>
      </c>
      <c r="V1060" s="45">
        <f>IF(OR(ISNUMBER(SEARCH("unable to locate acct",G1060)),ISNUMBER(SEARCH("unknown",G1060)),ISNUMBER(SEARCH("inactive",G1060)),H1060=""),0,1)</f>
        <v>1</v>
      </c>
    </row>
    <row r="1061" spans="1:22" hidden="1">
      <c r="A1061" s="2">
        <v>45912</v>
      </c>
      <c r="B1061" s="1" t="s">
        <v>2531</v>
      </c>
      <c r="C1061" s="1" t="s">
        <v>2532</v>
      </c>
      <c r="D1061" s="1" t="s">
        <v>119</v>
      </c>
      <c r="E1061" s="1">
        <v>85255</v>
      </c>
      <c r="F1061" s="1" t="s">
        <v>304</v>
      </c>
      <c r="G1061" s="1" t="s">
        <v>2511</v>
      </c>
      <c r="H1061" s="4" t="s">
        <v>2533</v>
      </c>
      <c r="I1061" s="5" t="s">
        <v>51</v>
      </c>
      <c r="J1061" s="5" t="s">
        <v>31</v>
      </c>
      <c r="K1061" s="5" t="s">
        <v>31</v>
      </c>
      <c r="L1061" s="7" t="s">
        <v>2534</v>
      </c>
      <c r="M1061" s="5" t="s">
        <v>31</v>
      </c>
      <c r="N1061" s="5" t="s">
        <v>31</v>
      </c>
      <c r="O1061" s="5" t="s">
        <v>32</v>
      </c>
      <c r="P1061" s="2">
        <v>45938</v>
      </c>
      <c r="Q1061" s="2">
        <v>45961</v>
      </c>
      <c r="R1061" s="1" t="s">
        <v>2504</v>
      </c>
      <c r="V1061" s="45">
        <f>IF(OR(ISNUMBER(SEARCH("unable to locate acct",G1061)),ISNUMBER(SEARCH("unknown",G1061)),ISNUMBER(SEARCH("inactive",G1061)),H1061=""),0,1)</f>
        <v>1</v>
      </c>
    </row>
    <row r="1062" spans="1:22" hidden="1">
      <c r="A1062" s="2">
        <v>45912</v>
      </c>
      <c r="B1062" s="1" t="s">
        <v>2535</v>
      </c>
      <c r="C1062" s="1" t="s">
        <v>306</v>
      </c>
      <c r="D1062" s="1" t="s">
        <v>610</v>
      </c>
      <c r="E1062" s="1">
        <v>85365</v>
      </c>
      <c r="F1062" s="1" t="s">
        <v>2536</v>
      </c>
      <c r="G1062" s="1" t="s">
        <v>2511</v>
      </c>
      <c r="H1062" s="4" t="s">
        <v>2537</v>
      </c>
      <c r="I1062" s="5" t="s">
        <v>67</v>
      </c>
      <c r="J1062" s="5" t="s">
        <v>31</v>
      </c>
      <c r="K1062" s="5" t="s">
        <v>31</v>
      </c>
      <c r="L1062" s="5" t="s">
        <v>1429</v>
      </c>
      <c r="M1062" s="5" t="s">
        <v>31</v>
      </c>
      <c r="N1062" s="5" t="s">
        <v>31</v>
      </c>
      <c r="O1062" s="5" t="s">
        <v>32</v>
      </c>
      <c r="P1062" s="5" t="s">
        <v>33</v>
      </c>
      <c r="Q1062" s="2">
        <v>45961</v>
      </c>
      <c r="V1062" s="45">
        <f>IF(OR(ISNUMBER(SEARCH("unable to locate acct",G1062)),ISNUMBER(SEARCH("unknown",G1062)),ISNUMBER(SEARCH("inactive",G1062)),H1062=""),0,1)</f>
        <v>1</v>
      </c>
    </row>
    <row r="1063" spans="1:22" hidden="1">
      <c r="A1063" s="2">
        <v>45912</v>
      </c>
      <c r="B1063" s="1" t="s">
        <v>2538</v>
      </c>
      <c r="C1063" s="1" t="s">
        <v>470</v>
      </c>
      <c r="D1063" s="1" t="s">
        <v>18</v>
      </c>
      <c r="E1063" s="1">
        <v>85308</v>
      </c>
      <c r="F1063" s="1" t="s">
        <v>304</v>
      </c>
      <c r="G1063" s="1" t="s">
        <v>2511</v>
      </c>
      <c r="H1063" s="4" t="s">
        <v>2539</v>
      </c>
      <c r="I1063" s="5" t="s">
        <v>30</v>
      </c>
      <c r="J1063" s="5" t="s">
        <v>31</v>
      </c>
      <c r="K1063" s="5" t="s">
        <v>31</v>
      </c>
      <c r="L1063" s="5" t="s">
        <v>1429</v>
      </c>
      <c r="M1063" s="5" t="s">
        <v>31</v>
      </c>
      <c r="N1063" s="5" t="s">
        <v>31</v>
      </c>
      <c r="O1063" s="5" t="s">
        <v>32</v>
      </c>
      <c r="P1063" s="5" t="s">
        <v>33</v>
      </c>
      <c r="Q1063" s="2">
        <v>45961</v>
      </c>
      <c r="R1063" s="1" t="s">
        <v>2540</v>
      </c>
      <c r="V1063" s="45">
        <f>IF(OR(ISNUMBER(SEARCH("unable to locate acct",G1063)),ISNUMBER(SEARCH("unknown",G1063)),ISNUMBER(SEARCH("inactive",G1063)),H1063=""),0,1)</f>
        <v>1</v>
      </c>
    </row>
    <row r="1064" spans="1:22" hidden="1">
      <c r="A1064" s="2">
        <v>45912</v>
      </c>
      <c r="B1064" s="1" t="s">
        <v>1035</v>
      </c>
      <c r="C1064" s="1" t="s">
        <v>2541</v>
      </c>
      <c r="D1064" s="1" t="s">
        <v>57</v>
      </c>
      <c r="E1064" s="1">
        <v>85032</v>
      </c>
      <c r="F1064" s="1" t="s">
        <v>2542</v>
      </c>
      <c r="G1064" s="1" t="s">
        <v>2511</v>
      </c>
      <c r="H1064" s="4" t="s">
        <v>2543</v>
      </c>
      <c r="I1064" s="5" t="s">
        <v>51</v>
      </c>
      <c r="J1064" s="5" t="s">
        <v>31</v>
      </c>
      <c r="K1064" s="5" t="s">
        <v>31</v>
      </c>
      <c r="L1064" s="7" t="s">
        <v>2544</v>
      </c>
      <c r="M1064" s="5" t="s">
        <v>31</v>
      </c>
      <c r="N1064" s="5" t="s">
        <v>31</v>
      </c>
      <c r="O1064" s="5" t="s">
        <v>32</v>
      </c>
      <c r="Q1064" s="2">
        <v>45961</v>
      </c>
      <c r="R1064" s="1" t="s">
        <v>2545</v>
      </c>
      <c r="V1064" s="45">
        <f>IF(OR(ISNUMBER(SEARCH("unable to locate acct",G1064)),ISNUMBER(SEARCH("unknown",G1064)),ISNUMBER(SEARCH("inactive",G1064)),H1064=""),0,1)</f>
        <v>1</v>
      </c>
    </row>
    <row r="1065" spans="1:22" hidden="1">
      <c r="A1065" s="2">
        <v>45912</v>
      </c>
      <c r="B1065" s="1" t="s">
        <v>2546</v>
      </c>
      <c r="C1065" s="1" t="s">
        <v>2547</v>
      </c>
      <c r="D1065" s="1" t="s">
        <v>57</v>
      </c>
      <c r="E1065" s="1">
        <v>85034</v>
      </c>
      <c r="F1065" s="1" t="s">
        <v>304</v>
      </c>
      <c r="G1065" s="1" t="s">
        <v>2511</v>
      </c>
      <c r="H1065" s="4" t="s">
        <v>203</v>
      </c>
      <c r="V1065" s="45">
        <f>IF(OR(ISNUMBER(SEARCH("unable to locate acct",G1065)),ISNUMBER(SEARCH("unknown",G1065)),ISNUMBER(SEARCH("inactive",G1065)),H1065=""),0,1)</f>
        <v>1</v>
      </c>
    </row>
    <row r="1066" spans="1:22" hidden="1">
      <c r="A1066" s="2">
        <v>45913</v>
      </c>
      <c r="B1066" s="1" t="s">
        <v>2548</v>
      </c>
      <c r="C1066" s="1" t="s">
        <v>2549</v>
      </c>
      <c r="D1066" s="1" t="s">
        <v>514</v>
      </c>
      <c r="E1066" s="1">
        <v>85392</v>
      </c>
      <c r="F1066" s="1" t="s">
        <v>25</v>
      </c>
      <c r="G1066" s="1" t="s">
        <v>2511</v>
      </c>
      <c r="H1066" s="4" t="s">
        <v>2550</v>
      </c>
      <c r="I1066" s="5" t="s">
        <v>244</v>
      </c>
      <c r="J1066" s="5" t="s">
        <v>31</v>
      </c>
      <c r="K1066" s="5" t="s">
        <v>31</v>
      </c>
      <c r="L1066" s="5" t="s">
        <v>1429</v>
      </c>
      <c r="M1066" s="5" t="s">
        <v>31</v>
      </c>
      <c r="N1066" s="5" t="s">
        <v>31</v>
      </c>
      <c r="O1066" s="5" t="s">
        <v>32</v>
      </c>
      <c r="P1066" s="5" t="s">
        <v>33</v>
      </c>
      <c r="Q1066" s="2">
        <v>45961</v>
      </c>
      <c r="V1066" s="45">
        <f>IF(OR(ISNUMBER(SEARCH("unable to locate acct",G1066)),ISNUMBER(SEARCH("unknown",G1066)),ISNUMBER(SEARCH("inactive",G1066)),H1066=""),0,1)</f>
        <v>1</v>
      </c>
    </row>
    <row r="1067" spans="1:22" hidden="1">
      <c r="A1067" s="2">
        <v>45913</v>
      </c>
      <c r="B1067" s="1" t="s">
        <v>2551</v>
      </c>
      <c r="C1067" s="1" t="s">
        <v>1467</v>
      </c>
      <c r="D1067" s="1" t="s">
        <v>57</v>
      </c>
      <c r="E1067" s="1">
        <v>85032</v>
      </c>
      <c r="F1067" s="1" t="s">
        <v>25</v>
      </c>
      <c r="G1067" s="1" t="s">
        <v>2511</v>
      </c>
      <c r="H1067" s="4" t="s">
        <v>21</v>
      </c>
      <c r="V1067" s="45">
        <f>IF(OR(ISNUMBER(SEARCH("unable to locate acct",G1067)),ISNUMBER(SEARCH("unknown",G1067)),ISNUMBER(SEARCH("inactive",G1067)),H1067=""),0,1)</f>
        <v>1</v>
      </c>
    </row>
    <row r="1068" spans="1:22" hidden="1">
      <c r="A1068" s="2">
        <v>45913</v>
      </c>
      <c r="B1068" s="1" t="s">
        <v>2552</v>
      </c>
      <c r="C1068" s="1" t="s">
        <v>2532</v>
      </c>
      <c r="D1068" s="1" t="s">
        <v>57</v>
      </c>
      <c r="E1068" s="1">
        <v>85003</v>
      </c>
      <c r="F1068" s="1" t="s">
        <v>25</v>
      </c>
      <c r="G1068" s="1" t="s">
        <v>2511</v>
      </c>
      <c r="H1068" s="4" t="s">
        <v>21</v>
      </c>
      <c r="V1068" s="45">
        <f>IF(OR(ISNUMBER(SEARCH("unable to locate acct",G1068)),ISNUMBER(SEARCH("unknown",G1068)),ISNUMBER(SEARCH("inactive",G1068)),H1068=""),0,1)</f>
        <v>1</v>
      </c>
    </row>
    <row r="1069" spans="1:22" hidden="1">
      <c r="A1069" s="2">
        <v>45913</v>
      </c>
      <c r="B1069" s="1" t="s">
        <v>2553</v>
      </c>
      <c r="C1069" s="1" t="s">
        <v>2554</v>
      </c>
      <c r="D1069" s="1" t="s">
        <v>106</v>
      </c>
      <c r="E1069" s="1">
        <v>85374</v>
      </c>
      <c r="F1069" s="1" t="s">
        <v>25</v>
      </c>
      <c r="G1069" s="1" t="s">
        <v>2511</v>
      </c>
      <c r="H1069" s="4" t="s">
        <v>21</v>
      </c>
      <c r="V1069" s="45">
        <f>IF(OR(ISNUMBER(SEARCH("unable to locate acct",G1069)),ISNUMBER(SEARCH("unknown",G1069)),ISNUMBER(SEARCH("inactive",G1069)),H1069=""),0,1)</f>
        <v>1</v>
      </c>
    </row>
    <row r="1070" spans="1:22" hidden="1">
      <c r="A1070" s="2">
        <v>45913</v>
      </c>
      <c r="B1070" s="1" t="s">
        <v>1766</v>
      </c>
      <c r="C1070" s="1" t="s">
        <v>588</v>
      </c>
      <c r="D1070" s="1" t="s">
        <v>163</v>
      </c>
      <c r="E1070" s="1">
        <v>85338</v>
      </c>
      <c r="F1070" s="1" t="s">
        <v>25</v>
      </c>
      <c r="G1070" s="1" t="s">
        <v>2511</v>
      </c>
      <c r="H1070" s="4" t="s">
        <v>203</v>
      </c>
      <c r="V1070" s="45">
        <f>IF(OR(ISNUMBER(SEARCH("unable to locate acct",G1070)),ISNUMBER(SEARCH("unknown",G1070)),ISNUMBER(SEARCH("inactive",G1070)),H1070=""),0,1)</f>
        <v>1</v>
      </c>
    </row>
    <row r="1071" spans="1:22" hidden="1">
      <c r="A1071" s="2">
        <v>45913</v>
      </c>
      <c r="B1071" s="1" t="s">
        <v>2555</v>
      </c>
      <c r="C1071" s="1" t="s">
        <v>2556</v>
      </c>
      <c r="D1071" s="1" t="s">
        <v>57</v>
      </c>
      <c r="E1071" s="1">
        <v>85022</v>
      </c>
      <c r="F1071" s="1" t="s">
        <v>25</v>
      </c>
      <c r="G1071" s="1" t="s">
        <v>2511</v>
      </c>
      <c r="H1071" s="4" t="s">
        <v>2557</v>
      </c>
      <c r="I1071" s="5" t="s">
        <v>67</v>
      </c>
      <c r="J1071" s="5" t="s">
        <v>31</v>
      </c>
      <c r="K1071" s="5" t="s">
        <v>31</v>
      </c>
      <c r="L1071" s="5" t="s">
        <v>1429</v>
      </c>
      <c r="M1071" s="5" t="s">
        <v>31</v>
      </c>
      <c r="N1071" s="5" t="s">
        <v>31</v>
      </c>
      <c r="O1071" s="5" t="s">
        <v>32</v>
      </c>
      <c r="P1071" s="5" t="s">
        <v>33</v>
      </c>
      <c r="Q1071" s="2">
        <v>45961</v>
      </c>
      <c r="V1071" s="45">
        <f>IF(OR(ISNUMBER(SEARCH("unable to locate acct",G1071)),ISNUMBER(SEARCH("unknown",G1071)),ISNUMBER(SEARCH("inactive",G1071)),H1071=""),0,1)</f>
        <v>1</v>
      </c>
    </row>
    <row r="1072" spans="1:22" hidden="1">
      <c r="A1072" s="2">
        <v>45913</v>
      </c>
      <c r="B1072" s="1" t="s">
        <v>2521</v>
      </c>
      <c r="C1072" s="1" t="s">
        <v>306</v>
      </c>
      <c r="D1072" s="1" t="s">
        <v>18</v>
      </c>
      <c r="E1072" s="1">
        <v>85308</v>
      </c>
      <c r="F1072" s="1" t="s">
        <v>25</v>
      </c>
      <c r="G1072" s="1" t="s">
        <v>2511</v>
      </c>
      <c r="H1072" s="4" t="s">
        <v>2523</v>
      </c>
      <c r="I1072" s="5" t="s">
        <v>532</v>
      </c>
      <c r="J1072" s="5" t="s">
        <v>31</v>
      </c>
      <c r="K1072" s="5" t="s">
        <v>31</v>
      </c>
      <c r="L1072" s="5" t="s">
        <v>381</v>
      </c>
      <c r="M1072" s="5" t="s">
        <v>31</v>
      </c>
      <c r="N1072" s="5" t="s">
        <v>31</v>
      </c>
      <c r="O1072" s="5" t="s">
        <v>32</v>
      </c>
      <c r="P1072" s="5" t="s">
        <v>33</v>
      </c>
      <c r="Q1072" s="2">
        <v>45961</v>
      </c>
      <c r="V1072" s="45">
        <f>IF(OR(ISNUMBER(SEARCH("unable to locate acct",G1072)),ISNUMBER(SEARCH("unknown",G1072)),ISNUMBER(SEARCH("inactive",G1072)),H1072=""),0,1)</f>
        <v>1</v>
      </c>
    </row>
    <row r="1073" spans="1:22" hidden="1">
      <c r="A1073" s="2">
        <v>45914</v>
      </c>
      <c r="B1073" s="1" t="s">
        <v>2558</v>
      </c>
      <c r="C1073" s="1" t="s">
        <v>2559</v>
      </c>
      <c r="D1073" s="1" t="s">
        <v>363</v>
      </c>
      <c r="E1073" s="1">
        <v>85225</v>
      </c>
      <c r="F1073" s="1" t="s">
        <v>304</v>
      </c>
      <c r="G1073" s="1" t="s">
        <v>2511</v>
      </c>
      <c r="H1073" s="4" t="s">
        <v>2560</v>
      </c>
      <c r="I1073" s="5" t="s">
        <v>2561</v>
      </c>
      <c r="J1073" s="5" t="s">
        <v>31</v>
      </c>
      <c r="K1073" s="5" t="s">
        <v>31</v>
      </c>
      <c r="L1073" s="5" t="s">
        <v>2562</v>
      </c>
      <c r="M1073" s="5" t="s">
        <v>31</v>
      </c>
      <c r="N1073" s="5" t="s">
        <v>31</v>
      </c>
      <c r="O1073" s="5" t="s">
        <v>32</v>
      </c>
      <c r="P1073" s="5" t="s">
        <v>33</v>
      </c>
      <c r="Q1073" s="2">
        <v>45961</v>
      </c>
      <c r="V1073" s="45">
        <f>IF(OR(ISNUMBER(SEARCH("unable to locate acct",G1073)),ISNUMBER(SEARCH("unknown",G1073)),ISNUMBER(SEARCH("inactive",G1073)),H1073=""),0,1)</f>
        <v>1</v>
      </c>
    </row>
    <row r="1074" spans="1:22" hidden="1">
      <c r="A1074" s="2">
        <v>45914</v>
      </c>
      <c r="B1074" s="1" t="s">
        <v>2563</v>
      </c>
      <c r="C1074" s="1" t="s">
        <v>602</v>
      </c>
      <c r="D1074" s="1" t="s">
        <v>57</v>
      </c>
      <c r="E1074" s="1">
        <v>85020</v>
      </c>
      <c r="F1074" s="1" t="s">
        <v>25</v>
      </c>
      <c r="G1074" s="1" t="s">
        <v>2511</v>
      </c>
      <c r="H1074" s="4" t="s">
        <v>2564</v>
      </c>
      <c r="I1074" s="5" t="s">
        <v>410</v>
      </c>
      <c r="J1074" s="5" t="s">
        <v>31</v>
      </c>
      <c r="K1074" s="5" t="s">
        <v>31</v>
      </c>
      <c r="L1074" s="5" t="s">
        <v>381</v>
      </c>
      <c r="M1074" s="5" t="s">
        <v>31</v>
      </c>
      <c r="N1074" s="5" t="s">
        <v>31</v>
      </c>
      <c r="O1074" s="5" t="s">
        <v>32</v>
      </c>
      <c r="P1074" s="5" t="s">
        <v>33</v>
      </c>
      <c r="Q1074" s="2">
        <v>45961</v>
      </c>
      <c r="V1074" s="45">
        <f>IF(OR(ISNUMBER(SEARCH("unable to locate acct",G1074)),ISNUMBER(SEARCH("unknown",G1074)),ISNUMBER(SEARCH("inactive",G1074)),H1074=""),0,1)</f>
        <v>1</v>
      </c>
    </row>
    <row r="1075" spans="1:22" hidden="1">
      <c r="A1075" s="2">
        <v>45914</v>
      </c>
      <c r="B1075" s="1" t="s">
        <v>882</v>
      </c>
      <c r="C1075" s="1" t="s">
        <v>991</v>
      </c>
      <c r="D1075" s="1" t="s">
        <v>610</v>
      </c>
      <c r="E1075" s="1">
        <v>85365</v>
      </c>
      <c r="F1075" s="1" t="s">
        <v>2565</v>
      </c>
      <c r="G1075" s="1" t="s">
        <v>2511</v>
      </c>
      <c r="H1075" s="4" t="s">
        <v>203</v>
      </c>
      <c r="V1075" s="45">
        <f>IF(OR(ISNUMBER(SEARCH("unable to locate acct",G1075)),ISNUMBER(SEARCH("unknown",G1075)),ISNUMBER(SEARCH("inactive",G1075)),H1075=""),0,1)</f>
        <v>1</v>
      </c>
    </row>
    <row r="1076" spans="1:22" hidden="1">
      <c r="A1076" s="2">
        <v>45914</v>
      </c>
      <c r="B1076" s="1" t="s">
        <v>1650</v>
      </c>
      <c r="C1076" s="1" t="s">
        <v>2566</v>
      </c>
      <c r="D1076" s="1" t="s">
        <v>610</v>
      </c>
      <c r="E1076" s="1">
        <v>85364</v>
      </c>
      <c r="F1076" s="1" t="s">
        <v>2567</v>
      </c>
      <c r="G1076" s="1" t="s">
        <v>2511</v>
      </c>
      <c r="H1076" s="21" t="s">
        <v>2568</v>
      </c>
      <c r="I1076" s="5" t="s">
        <v>244</v>
      </c>
      <c r="J1076" s="5" t="s">
        <v>31</v>
      </c>
      <c r="K1076" s="5" t="s">
        <v>31</v>
      </c>
      <c r="L1076" s="7" t="s">
        <v>2569</v>
      </c>
      <c r="M1076" s="5" t="s">
        <v>32</v>
      </c>
      <c r="N1076" s="15">
        <v>722.34</v>
      </c>
      <c r="O1076" s="5" t="s">
        <v>32</v>
      </c>
      <c r="Q1076" s="2">
        <v>45961</v>
      </c>
      <c r="R1076" s="1" t="s">
        <v>2570</v>
      </c>
      <c r="U1076" s="1" t="s">
        <v>2571</v>
      </c>
      <c r="V1076" s="45">
        <f>IF(OR(ISNUMBER(SEARCH("unable to locate acct",G1076)),ISNUMBER(SEARCH("unknown",G1076)),ISNUMBER(SEARCH("inactive",G1076)),H1076=""),0,1)</f>
        <v>1</v>
      </c>
    </row>
    <row r="1077" spans="1:22" hidden="1">
      <c r="A1077" s="2">
        <v>45914</v>
      </c>
      <c r="B1077" s="1" t="s">
        <v>2572</v>
      </c>
      <c r="C1077" s="1" t="s">
        <v>327</v>
      </c>
      <c r="D1077" s="1" t="s">
        <v>57</v>
      </c>
      <c r="E1077" s="1">
        <v>85281</v>
      </c>
      <c r="F1077" s="1" t="s">
        <v>304</v>
      </c>
      <c r="G1077" s="1" t="s">
        <v>2511</v>
      </c>
      <c r="H1077" s="4" t="s">
        <v>2573</v>
      </c>
      <c r="I1077" s="5" t="s">
        <v>67</v>
      </c>
      <c r="J1077" s="5" t="s">
        <v>32</v>
      </c>
      <c r="K1077" s="5" t="s">
        <v>31</v>
      </c>
      <c r="L1077" s="5" t="s">
        <v>32</v>
      </c>
      <c r="M1077" s="5" t="s">
        <v>31</v>
      </c>
      <c r="N1077" s="5" t="s">
        <v>31</v>
      </c>
      <c r="O1077" s="5" t="s">
        <v>32</v>
      </c>
      <c r="P1077" s="5" t="s">
        <v>33</v>
      </c>
      <c r="Q1077" s="2">
        <v>45961</v>
      </c>
      <c r="V1077" s="45">
        <f>IF(OR(ISNUMBER(SEARCH("unable to locate acct",G1077)),ISNUMBER(SEARCH("unknown",G1077)),ISNUMBER(SEARCH("inactive",G1077)),H1077=""),0,1)</f>
        <v>1</v>
      </c>
    </row>
    <row r="1078" spans="1:22" hidden="1">
      <c r="A1078" s="2">
        <v>45914</v>
      </c>
      <c r="B1078" s="1" t="s">
        <v>2574</v>
      </c>
      <c r="C1078" s="1" t="s">
        <v>1330</v>
      </c>
      <c r="D1078" s="1" t="s">
        <v>196</v>
      </c>
      <c r="E1078" s="1">
        <v>85383</v>
      </c>
      <c r="F1078" s="1" t="s">
        <v>2575</v>
      </c>
      <c r="G1078" s="1" t="s">
        <v>2511</v>
      </c>
      <c r="H1078" s="4" t="s">
        <v>21</v>
      </c>
      <c r="V1078" s="45">
        <f>IF(OR(ISNUMBER(SEARCH("unable to locate acct",G1078)),ISNUMBER(SEARCH("unknown",G1078)),ISNUMBER(SEARCH("inactive",G1078)),H1078=""),0,1)</f>
        <v>1</v>
      </c>
    </row>
    <row r="1079" spans="1:22" hidden="1">
      <c r="A1079" s="2">
        <v>45914</v>
      </c>
      <c r="B1079" s="1" t="s">
        <v>2478</v>
      </c>
      <c r="C1079" s="1" t="s">
        <v>2532</v>
      </c>
      <c r="D1079" s="1" t="s">
        <v>119</v>
      </c>
      <c r="E1079" s="1">
        <v>85260</v>
      </c>
      <c r="F1079" s="1" t="s">
        <v>2576</v>
      </c>
      <c r="G1079" s="1" t="s">
        <v>2511</v>
      </c>
      <c r="H1079" s="4" t="s">
        <v>2577</v>
      </c>
      <c r="I1079" s="5" t="s">
        <v>190</v>
      </c>
      <c r="J1079" s="5" t="s">
        <v>31</v>
      </c>
      <c r="K1079" s="5" t="s">
        <v>31</v>
      </c>
      <c r="L1079" s="5" t="s">
        <v>2578</v>
      </c>
      <c r="M1079" s="5" t="s">
        <v>31</v>
      </c>
      <c r="N1079" s="5" t="s">
        <v>31</v>
      </c>
      <c r="O1079" s="5" t="s">
        <v>32</v>
      </c>
      <c r="P1079" s="5" t="s">
        <v>33</v>
      </c>
      <c r="Q1079" s="2">
        <v>45961</v>
      </c>
      <c r="V1079" s="45">
        <f>IF(OR(ISNUMBER(SEARCH("unable to locate acct",G1079)),ISNUMBER(SEARCH("unknown",G1079)),ISNUMBER(SEARCH("inactive",G1079)),H1079=""),0,1)</f>
        <v>1</v>
      </c>
    </row>
    <row r="1080" spans="1:22" hidden="1">
      <c r="A1080" s="2">
        <v>45917</v>
      </c>
      <c r="B1080" s="1" t="s">
        <v>2579</v>
      </c>
      <c r="C1080" s="1" t="s">
        <v>178</v>
      </c>
      <c r="D1080" s="1" t="s">
        <v>57</v>
      </c>
      <c r="E1080" s="1">
        <v>85023</v>
      </c>
      <c r="F1080" s="1" t="s">
        <v>2580</v>
      </c>
      <c r="G1080" s="1" t="s">
        <v>2581</v>
      </c>
      <c r="H1080" s="4" t="s">
        <v>5033</v>
      </c>
      <c r="I1080" s="5" t="s">
        <v>190</v>
      </c>
      <c r="J1080" s="5" t="s">
        <v>31</v>
      </c>
      <c r="K1080" s="5" t="s">
        <v>31</v>
      </c>
      <c r="L1080" s="7" t="s">
        <v>2582</v>
      </c>
      <c r="M1080" s="5" t="s">
        <v>31</v>
      </c>
      <c r="N1080" s="5" t="s">
        <v>31</v>
      </c>
      <c r="O1080" s="5" t="s">
        <v>32</v>
      </c>
      <c r="P1080" s="2">
        <v>45939</v>
      </c>
      <c r="Q1080" s="2">
        <v>45961</v>
      </c>
      <c r="R1080" s="1" t="s">
        <v>2077</v>
      </c>
      <c r="V1080" s="45">
        <f>IF(OR(ISNUMBER(SEARCH("unable to locate acct",G1080)),ISNUMBER(SEARCH("unknown",G1080)),ISNUMBER(SEARCH("inactive",G1080)),H1080=""),0,1)</f>
        <v>1</v>
      </c>
    </row>
    <row r="1081" spans="1:22" hidden="1">
      <c r="A1081" s="2">
        <v>45917</v>
      </c>
      <c r="B1081" s="1" t="s">
        <v>2583</v>
      </c>
      <c r="C1081" s="1" t="s">
        <v>219</v>
      </c>
      <c r="D1081" s="1" t="s">
        <v>728</v>
      </c>
      <c r="E1081" s="1">
        <v>86326</v>
      </c>
      <c r="F1081" s="1" t="s">
        <v>2584</v>
      </c>
      <c r="G1081" s="1" t="s">
        <v>2585</v>
      </c>
      <c r="H1081" s="4" t="s">
        <v>5312</v>
      </c>
      <c r="I1081" s="5" t="s">
        <v>30</v>
      </c>
      <c r="J1081" s="5" t="s">
        <v>31</v>
      </c>
      <c r="K1081" s="5" t="s">
        <v>31</v>
      </c>
      <c r="L1081" s="5" t="s">
        <v>32</v>
      </c>
      <c r="M1081" s="5" t="s">
        <v>31</v>
      </c>
      <c r="N1081" s="5" t="s">
        <v>31</v>
      </c>
      <c r="O1081" s="5" t="s">
        <v>32</v>
      </c>
      <c r="P1081" s="5" t="s">
        <v>33</v>
      </c>
      <c r="Q1081" s="2">
        <v>45961</v>
      </c>
      <c r="V1081" s="45">
        <f>IF(OR(ISNUMBER(SEARCH("unable to locate acct",G1081)),ISNUMBER(SEARCH("unknown",G1081)),ISNUMBER(SEARCH("inactive",G1081)),H1081=""),0,1)</f>
        <v>1</v>
      </c>
    </row>
    <row r="1082" spans="1:22" hidden="1">
      <c r="A1082" s="2">
        <v>45917</v>
      </c>
      <c r="B1082" s="1" t="s">
        <v>2586</v>
      </c>
      <c r="C1082" s="1" t="s">
        <v>846</v>
      </c>
      <c r="D1082" s="1" t="s">
        <v>728</v>
      </c>
      <c r="E1082" s="1">
        <v>86326</v>
      </c>
      <c r="F1082" s="1" t="s">
        <v>25</v>
      </c>
      <c r="G1082" s="1" t="s">
        <v>2585</v>
      </c>
      <c r="H1082" s="4" t="s">
        <v>4587</v>
      </c>
      <c r="I1082" s="5" t="s">
        <v>40</v>
      </c>
      <c r="J1082" s="5" t="s">
        <v>31</v>
      </c>
      <c r="K1082" s="5" t="s">
        <v>31</v>
      </c>
      <c r="L1082" s="5" t="s">
        <v>32</v>
      </c>
      <c r="M1082" s="5" t="s">
        <v>31</v>
      </c>
      <c r="N1082" s="5" t="s">
        <v>31</v>
      </c>
      <c r="O1082" s="5" t="s">
        <v>32</v>
      </c>
      <c r="P1082" s="5" t="s">
        <v>33</v>
      </c>
      <c r="Q1082" s="2">
        <v>45961</v>
      </c>
      <c r="V1082" s="45">
        <f>IF(OR(ISNUMBER(SEARCH("unable to locate acct",G1082)),ISNUMBER(SEARCH("unknown",G1082)),ISNUMBER(SEARCH("inactive",G1082)),H1082=""),0,1)</f>
        <v>1</v>
      </c>
    </row>
    <row r="1083" spans="1:22" hidden="1">
      <c r="A1083" s="2">
        <v>45917</v>
      </c>
      <c r="B1083" s="1" t="s">
        <v>2587</v>
      </c>
      <c r="C1083" s="1" t="s">
        <v>278</v>
      </c>
      <c r="D1083" s="1" t="s">
        <v>57</v>
      </c>
      <c r="E1083" s="1">
        <v>85050</v>
      </c>
      <c r="F1083" s="1" t="s">
        <v>2588</v>
      </c>
      <c r="G1083" s="1" t="s">
        <v>2585</v>
      </c>
      <c r="H1083" s="4" t="s">
        <v>5313</v>
      </c>
      <c r="I1083" s="5" t="s">
        <v>30</v>
      </c>
      <c r="J1083" s="5" t="s">
        <v>31</v>
      </c>
      <c r="K1083" s="5" t="s">
        <v>31</v>
      </c>
      <c r="L1083" s="5" t="s">
        <v>32</v>
      </c>
      <c r="M1083" s="5" t="s">
        <v>31</v>
      </c>
      <c r="N1083" s="5" t="s">
        <v>31</v>
      </c>
      <c r="O1083" s="5" t="s">
        <v>32</v>
      </c>
      <c r="P1083" s="5" t="s">
        <v>33</v>
      </c>
      <c r="Q1083" s="2">
        <v>45961</v>
      </c>
      <c r="V1083" s="45">
        <f>IF(OR(ISNUMBER(SEARCH("unable to locate acct",G1083)),ISNUMBER(SEARCH("unknown",G1083)),ISNUMBER(SEARCH("inactive",G1083)),H1083=""),0,1)</f>
        <v>1</v>
      </c>
    </row>
    <row r="1084" spans="1:22" hidden="1">
      <c r="A1084" s="2">
        <v>45917</v>
      </c>
      <c r="B1084" s="1" t="s">
        <v>1575</v>
      </c>
      <c r="C1084" s="1" t="s">
        <v>306</v>
      </c>
      <c r="D1084" s="1" t="s">
        <v>57</v>
      </c>
      <c r="E1084" s="1">
        <v>85023</v>
      </c>
      <c r="F1084" s="1" t="s">
        <v>304</v>
      </c>
      <c r="G1084" s="1" t="s">
        <v>2581</v>
      </c>
      <c r="H1084" s="4" t="s">
        <v>5314</v>
      </c>
      <c r="I1084" s="5" t="s">
        <v>244</v>
      </c>
      <c r="J1084" s="5" t="s">
        <v>31</v>
      </c>
      <c r="K1084" s="5" t="s">
        <v>31</v>
      </c>
      <c r="L1084" s="5" t="s">
        <v>32</v>
      </c>
      <c r="M1084" s="5" t="s">
        <v>31</v>
      </c>
      <c r="N1084" s="5" t="s">
        <v>31</v>
      </c>
      <c r="O1084" s="5" t="s">
        <v>32</v>
      </c>
      <c r="P1084" s="5" t="s">
        <v>33</v>
      </c>
      <c r="Q1084" s="2">
        <v>45961</v>
      </c>
      <c r="V1084" s="45">
        <f>IF(OR(ISNUMBER(SEARCH("unable to locate acct",G1084)),ISNUMBER(SEARCH("unknown",G1084)),ISNUMBER(SEARCH("inactive",G1084)),H1084=""),0,1)</f>
        <v>1</v>
      </c>
    </row>
    <row r="1085" spans="1:22" hidden="1">
      <c r="A1085" s="2">
        <v>45917</v>
      </c>
      <c r="B1085" s="1" t="s">
        <v>2589</v>
      </c>
      <c r="C1085" s="1" t="s">
        <v>2590</v>
      </c>
      <c r="D1085" s="1" t="s">
        <v>363</v>
      </c>
      <c r="E1085" s="1">
        <v>85225</v>
      </c>
      <c r="F1085" s="1" t="s">
        <v>2591</v>
      </c>
      <c r="G1085" s="1" t="s">
        <v>2592</v>
      </c>
      <c r="H1085" s="4" t="s">
        <v>5034</v>
      </c>
      <c r="I1085" s="5" t="s">
        <v>190</v>
      </c>
      <c r="J1085" s="5" t="s">
        <v>31</v>
      </c>
      <c r="K1085" s="5" t="s">
        <v>31</v>
      </c>
      <c r="L1085" s="7" t="s">
        <v>2593</v>
      </c>
      <c r="M1085" s="5" t="s">
        <v>31</v>
      </c>
      <c r="N1085" s="5" t="s">
        <v>31</v>
      </c>
      <c r="O1085" s="5" t="s">
        <v>32</v>
      </c>
      <c r="Q1085" s="2">
        <v>45961</v>
      </c>
      <c r="R1085" s="1" t="s">
        <v>2594</v>
      </c>
      <c r="V1085" s="45">
        <f>IF(OR(ISNUMBER(SEARCH("unable to locate acct",G1085)),ISNUMBER(SEARCH("unknown",G1085)),ISNUMBER(SEARCH("inactive",G1085)),H1085=""),0,1)</f>
        <v>1</v>
      </c>
    </row>
    <row r="1086" spans="1:22" hidden="1">
      <c r="A1086" s="2">
        <v>45917</v>
      </c>
      <c r="B1086" s="1" t="s">
        <v>2595</v>
      </c>
      <c r="C1086" s="1" t="s">
        <v>1602</v>
      </c>
      <c r="D1086" s="1" t="s">
        <v>119</v>
      </c>
      <c r="E1086" s="1">
        <v>85257</v>
      </c>
      <c r="F1086" s="1" t="s">
        <v>2596</v>
      </c>
      <c r="G1086" s="1" t="s">
        <v>2592</v>
      </c>
      <c r="H1086" s="4" t="s">
        <v>2597</v>
      </c>
      <c r="I1086" s="5" t="s">
        <v>30</v>
      </c>
      <c r="J1086" s="5" t="s">
        <v>31</v>
      </c>
      <c r="K1086" s="5" t="s">
        <v>31</v>
      </c>
      <c r="L1086" s="5" t="s">
        <v>32</v>
      </c>
      <c r="M1086" s="5" t="s">
        <v>31</v>
      </c>
      <c r="N1086" s="5" t="s">
        <v>31</v>
      </c>
      <c r="O1086" s="5" t="s">
        <v>32</v>
      </c>
      <c r="P1086" s="5" t="s">
        <v>33</v>
      </c>
      <c r="Q1086" s="2">
        <v>45961</v>
      </c>
      <c r="V1086" s="45">
        <f>IF(OR(ISNUMBER(SEARCH("unable to locate acct",G1086)),ISNUMBER(SEARCH("unknown",G1086)),ISNUMBER(SEARCH("inactive",G1086)),H1086=""),0,1)</f>
        <v>1</v>
      </c>
    </row>
    <row r="1087" spans="1:22" hidden="1">
      <c r="A1087" s="2">
        <v>45917</v>
      </c>
      <c r="B1087" s="1" t="s">
        <v>2598</v>
      </c>
      <c r="C1087" s="1" t="s">
        <v>1818</v>
      </c>
      <c r="D1087" s="1" t="s">
        <v>18</v>
      </c>
      <c r="E1087" s="1">
        <v>85310</v>
      </c>
      <c r="F1087" s="1" t="s">
        <v>2599</v>
      </c>
      <c r="G1087" s="1" t="s">
        <v>2592</v>
      </c>
      <c r="H1087" s="4" t="s">
        <v>5315</v>
      </c>
      <c r="I1087" s="5" t="s">
        <v>30</v>
      </c>
      <c r="J1087" s="5" t="s">
        <v>31</v>
      </c>
      <c r="K1087" s="5" t="s">
        <v>31</v>
      </c>
      <c r="L1087" s="5" t="s">
        <v>32</v>
      </c>
      <c r="M1087" s="5" t="s">
        <v>31</v>
      </c>
      <c r="N1087" s="5" t="s">
        <v>31</v>
      </c>
      <c r="O1087" s="5" t="s">
        <v>32</v>
      </c>
      <c r="P1087" s="5" t="s">
        <v>33</v>
      </c>
      <c r="Q1087" s="2">
        <v>45961</v>
      </c>
      <c r="V1087" s="45">
        <f>IF(OR(ISNUMBER(SEARCH("unable to locate acct",G1087)),ISNUMBER(SEARCH("unknown",G1087)),ISNUMBER(SEARCH("inactive",G1087)),H1087=""),0,1)</f>
        <v>1</v>
      </c>
    </row>
    <row r="1088" spans="1:22" hidden="1">
      <c r="A1088" s="2">
        <v>45918</v>
      </c>
      <c r="B1088" s="1" t="s">
        <v>2600</v>
      </c>
      <c r="C1088" s="1" t="s">
        <v>539</v>
      </c>
      <c r="D1088" s="1" t="s">
        <v>163</v>
      </c>
      <c r="E1088" s="1">
        <v>85338</v>
      </c>
      <c r="F1088" s="1" t="s">
        <v>2601</v>
      </c>
      <c r="G1088" s="1" t="s">
        <v>2602</v>
      </c>
      <c r="H1088" s="4" t="s">
        <v>5316</v>
      </c>
      <c r="I1088" s="5" t="s">
        <v>30</v>
      </c>
      <c r="J1088" s="5" t="s">
        <v>31</v>
      </c>
      <c r="K1088" s="5" t="s">
        <v>31</v>
      </c>
      <c r="L1088" s="5" t="s">
        <v>32</v>
      </c>
      <c r="M1088" s="5" t="s">
        <v>31</v>
      </c>
      <c r="N1088" s="5" t="s">
        <v>31</v>
      </c>
      <c r="O1088" s="5" t="s">
        <v>32</v>
      </c>
      <c r="P1088" s="5" t="s">
        <v>33</v>
      </c>
      <c r="Q1088" s="2">
        <v>45961</v>
      </c>
      <c r="V1088" s="45">
        <f>IF(OR(ISNUMBER(SEARCH("unable to locate acct",G1088)),ISNUMBER(SEARCH("unknown",G1088)),ISNUMBER(SEARCH("inactive",G1088)),H1088=""),0,1)</f>
        <v>1</v>
      </c>
    </row>
    <row r="1089" spans="1:22" hidden="1">
      <c r="A1089" s="2">
        <v>45918</v>
      </c>
      <c r="B1089" s="1" t="s">
        <v>2603</v>
      </c>
      <c r="C1089" s="1" t="s">
        <v>391</v>
      </c>
      <c r="D1089" s="1" t="s">
        <v>18</v>
      </c>
      <c r="E1089" s="1">
        <v>85310</v>
      </c>
      <c r="F1089" s="1" t="s">
        <v>2604</v>
      </c>
      <c r="G1089" s="1" t="s">
        <v>2602</v>
      </c>
      <c r="H1089" s="4" t="s">
        <v>21</v>
      </c>
      <c r="V1089" s="45">
        <f>IF(OR(ISNUMBER(SEARCH("unable to locate acct",G1089)),ISNUMBER(SEARCH("unknown",G1089)),ISNUMBER(SEARCH("inactive",G1089)),H1089=""),0,1)</f>
        <v>1</v>
      </c>
    </row>
    <row r="1090" spans="1:22" hidden="1">
      <c r="A1090" s="2">
        <v>45918</v>
      </c>
      <c r="B1090" s="1" t="s">
        <v>1046</v>
      </c>
      <c r="C1090" s="1" t="s">
        <v>804</v>
      </c>
      <c r="D1090" s="1" t="s">
        <v>163</v>
      </c>
      <c r="E1090" s="1">
        <v>85338</v>
      </c>
      <c r="F1090" s="1" t="s">
        <v>2605</v>
      </c>
      <c r="G1090" s="1" t="s">
        <v>2602</v>
      </c>
      <c r="H1090" s="4" t="s">
        <v>21</v>
      </c>
      <c r="V1090" s="45">
        <f>IF(OR(ISNUMBER(SEARCH("unable to locate acct",G1090)),ISNUMBER(SEARCH("unknown",G1090)),ISNUMBER(SEARCH("inactive",G1090)),H1090=""),0,1)</f>
        <v>1</v>
      </c>
    </row>
    <row r="1091" spans="1:22" hidden="1">
      <c r="A1091" s="2">
        <v>45918</v>
      </c>
      <c r="B1091" s="1" t="s">
        <v>1567</v>
      </c>
      <c r="C1091" s="1" t="s">
        <v>139</v>
      </c>
      <c r="D1091" s="1" t="s">
        <v>57</v>
      </c>
      <c r="E1091" s="1">
        <v>85032</v>
      </c>
      <c r="F1091" s="1" t="s">
        <v>2606</v>
      </c>
      <c r="G1091" s="1" t="s">
        <v>2602</v>
      </c>
      <c r="H1091" s="4" t="s">
        <v>5317</v>
      </c>
      <c r="I1091" s="5" t="s">
        <v>190</v>
      </c>
      <c r="J1091" s="5" t="s">
        <v>31</v>
      </c>
      <c r="K1091" s="5" t="s">
        <v>31</v>
      </c>
      <c r="L1091" s="5" t="s">
        <v>32</v>
      </c>
      <c r="M1091" s="5" t="s">
        <v>31</v>
      </c>
      <c r="N1091" s="5" t="s">
        <v>31</v>
      </c>
      <c r="O1091" s="5" t="s">
        <v>32</v>
      </c>
      <c r="P1091" s="5" t="s">
        <v>33</v>
      </c>
      <c r="Q1091" s="2">
        <v>45961</v>
      </c>
      <c r="V1091" s="45">
        <f>IF(OR(ISNUMBER(SEARCH("unable to locate acct",G1091)),ISNUMBER(SEARCH("unknown",G1091)),ISNUMBER(SEARCH("inactive",G1091)),H1091=""),0,1)</f>
        <v>1</v>
      </c>
    </row>
    <row r="1092" spans="1:22" hidden="1">
      <c r="A1092" s="2">
        <v>45918</v>
      </c>
      <c r="B1092" s="1" t="s">
        <v>2607</v>
      </c>
      <c r="C1092" s="1" t="s">
        <v>202</v>
      </c>
      <c r="D1092" s="1" t="s">
        <v>2608</v>
      </c>
      <c r="E1092" s="1">
        <v>86032</v>
      </c>
      <c r="F1092" s="1" t="s">
        <v>2609</v>
      </c>
      <c r="G1092" s="1" t="s">
        <v>2602</v>
      </c>
      <c r="H1092" s="4" t="s">
        <v>5098</v>
      </c>
      <c r="I1092" s="5" t="s">
        <v>40</v>
      </c>
      <c r="J1092" s="5" t="s">
        <v>31</v>
      </c>
      <c r="K1092" s="5" t="s">
        <v>31</v>
      </c>
      <c r="L1092" s="5" t="s">
        <v>32</v>
      </c>
      <c r="M1092" s="5" t="s">
        <v>32</v>
      </c>
      <c r="N1092" s="13">
        <v>361.43</v>
      </c>
      <c r="O1092" s="5" t="s">
        <v>32</v>
      </c>
      <c r="P1092" s="5" t="s">
        <v>33</v>
      </c>
      <c r="Q1092" s="2">
        <v>45961</v>
      </c>
      <c r="R1092" s="1" t="s">
        <v>2610</v>
      </c>
      <c r="V1092" s="45">
        <f>IF(OR(ISNUMBER(SEARCH("unable to locate acct",G1092)),ISNUMBER(SEARCH("unknown",G1092)),ISNUMBER(SEARCH("inactive",G1092)),H1092=""),0,1)</f>
        <v>1</v>
      </c>
    </row>
    <row r="1093" spans="1:22" hidden="1">
      <c r="A1093" s="2">
        <v>45918</v>
      </c>
      <c r="B1093" s="1" t="s">
        <v>2611</v>
      </c>
      <c r="C1093" s="1" t="s">
        <v>738</v>
      </c>
      <c r="D1093" s="1" t="s">
        <v>57</v>
      </c>
      <c r="E1093" s="1">
        <v>85024</v>
      </c>
      <c r="F1093" s="1" t="s">
        <v>2612</v>
      </c>
      <c r="G1093" s="1" t="s">
        <v>2602</v>
      </c>
      <c r="H1093" s="4" t="s">
        <v>21</v>
      </c>
      <c r="V1093" s="45">
        <f>IF(OR(ISNUMBER(SEARCH("unable to locate acct",G1093)),ISNUMBER(SEARCH("unknown",G1093)),ISNUMBER(SEARCH("inactive",G1093)),H1093=""),0,1)</f>
        <v>1</v>
      </c>
    </row>
    <row r="1094" spans="1:22" hidden="1">
      <c r="A1094" s="2">
        <v>45918</v>
      </c>
      <c r="B1094" s="1" t="s">
        <v>2613</v>
      </c>
      <c r="C1094" s="1" t="s">
        <v>2614</v>
      </c>
      <c r="D1094" s="1" t="s">
        <v>168</v>
      </c>
      <c r="E1094" s="1">
        <v>85396</v>
      </c>
      <c r="F1094" s="1" t="s">
        <v>2615</v>
      </c>
      <c r="G1094" s="1" t="s">
        <v>2602</v>
      </c>
      <c r="H1094" s="21" t="s">
        <v>5673</v>
      </c>
      <c r="I1094" s="5" t="s">
        <v>30</v>
      </c>
      <c r="J1094" s="5" t="s">
        <v>32</v>
      </c>
      <c r="K1094" s="5" t="s">
        <v>31</v>
      </c>
      <c r="L1094" s="5" t="s">
        <v>32</v>
      </c>
      <c r="M1094" s="5" t="s">
        <v>32</v>
      </c>
      <c r="N1094" s="15">
        <v>2904.39</v>
      </c>
      <c r="O1094" s="5" t="s">
        <v>32</v>
      </c>
      <c r="Q1094" s="2">
        <v>45961</v>
      </c>
      <c r="R1094" s="1" t="s">
        <v>2616</v>
      </c>
      <c r="V1094" s="45">
        <f>IF(OR(ISNUMBER(SEARCH("unable to locate acct",G1094)),ISNUMBER(SEARCH("unknown",G1094)),ISNUMBER(SEARCH("inactive",G1094)),H1094=""),0,1)</f>
        <v>1</v>
      </c>
    </row>
    <row r="1095" spans="1:22" hidden="1">
      <c r="A1095" s="2">
        <v>45918</v>
      </c>
      <c r="B1095" s="1" t="s">
        <v>2147</v>
      </c>
      <c r="C1095" s="1" t="s">
        <v>585</v>
      </c>
      <c r="D1095" s="1" t="s">
        <v>57</v>
      </c>
      <c r="E1095" s="1">
        <v>85014</v>
      </c>
      <c r="F1095" s="1" t="s">
        <v>2617</v>
      </c>
      <c r="G1095" s="1" t="s">
        <v>2602</v>
      </c>
      <c r="H1095" s="4" t="s">
        <v>5099</v>
      </c>
      <c r="I1095" s="5" t="s">
        <v>30</v>
      </c>
      <c r="J1095" s="5" t="s">
        <v>32</v>
      </c>
      <c r="L1095" s="5" t="s">
        <v>32</v>
      </c>
      <c r="O1095" s="5" t="s">
        <v>32</v>
      </c>
      <c r="P1095" s="5" t="s">
        <v>33</v>
      </c>
      <c r="V1095" s="45">
        <f>IF(OR(ISNUMBER(SEARCH("unable to locate acct",G1095)),ISNUMBER(SEARCH("unknown",G1095)),ISNUMBER(SEARCH("inactive",G1095)),H1095=""),0,1)</f>
        <v>1</v>
      </c>
    </row>
    <row r="1096" spans="1:22" hidden="1">
      <c r="A1096" s="2">
        <v>45918</v>
      </c>
      <c r="B1096" s="1" t="s">
        <v>2618</v>
      </c>
      <c r="C1096" s="1" t="s">
        <v>472</v>
      </c>
      <c r="D1096" s="1" t="s">
        <v>1087</v>
      </c>
      <c r="E1096" s="1">
        <v>85607</v>
      </c>
      <c r="F1096" s="1" t="s">
        <v>2619</v>
      </c>
      <c r="G1096" s="1" t="s">
        <v>2602</v>
      </c>
      <c r="H1096" s="4" t="s">
        <v>84</v>
      </c>
      <c r="V1096" s="45">
        <f>IF(OR(ISNUMBER(SEARCH("unable to locate acct",G1096)),ISNUMBER(SEARCH("unknown",G1096)),ISNUMBER(SEARCH("inactive",G1096)),H1096=""),0,1)</f>
        <v>1</v>
      </c>
    </row>
    <row r="1097" spans="1:22" hidden="1">
      <c r="A1097" s="2">
        <v>45918</v>
      </c>
      <c r="B1097" s="1" t="s">
        <v>2620</v>
      </c>
      <c r="C1097" s="1" t="s">
        <v>375</v>
      </c>
      <c r="D1097" s="1" t="s">
        <v>626</v>
      </c>
      <c r="E1097" s="1">
        <v>85281</v>
      </c>
      <c r="F1097" s="1" t="s">
        <v>2621</v>
      </c>
      <c r="G1097" s="1" t="s">
        <v>2602</v>
      </c>
      <c r="H1097" s="4" t="s">
        <v>5318</v>
      </c>
      <c r="I1097" s="5" t="s">
        <v>30</v>
      </c>
      <c r="J1097" s="5" t="s">
        <v>31</v>
      </c>
      <c r="K1097" s="5" t="s">
        <v>31</v>
      </c>
      <c r="L1097" s="5" t="s">
        <v>32</v>
      </c>
      <c r="M1097" s="5" t="s">
        <v>31</v>
      </c>
      <c r="N1097" s="5" t="s">
        <v>31</v>
      </c>
      <c r="O1097" s="5" t="s">
        <v>32</v>
      </c>
      <c r="P1097" s="5" t="s">
        <v>33</v>
      </c>
      <c r="Q1097" s="2">
        <v>45961</v>
      </c>
      <c r="R1097" s="1" t="s">
        <v>2622</v>
      </c>
      <c r="V1097" s="45">
        <f>IF(OR(ISNUMBER(SEARCH("unable to locate acct",G1097)),ISNUMBER(SEARCH("unknown",G1097)),ISNUMBER(SEARCH("inactive",G1097)),H1097=""),0,1)</f>
        <v>1</v>
      </c>
    </row>
    <row r="1098" spans="1:22" hidden="1">
      <c r="A1098" s="2">
        <v>45918</v>
      </c>
      <c r="B1098" s="1" t="s">
        <v>2623</v>
      </c>
      <c r="C1098" s="1" t="s">
        <v>1476</v>
      </c>
      <c r="D1098" s="1" t="s">
        <v>2624</v>
      </c>
      <c r="E1098" s="1">
        <v>85901</v>
      </c>
      <c r="F1098" s="1" t="s">
        <v>2625</v>
      </c>
      <c r="G1098" s="1" t="s">
        <v>2602</v>
      </c>
      <c r="H1098" s="4" t="s">
        <v>5319</v>
      </c>
      <c r="I1098" s="5" t="s">
        <v>67</v>
      </c>
      <c r="J1098" s="5" t="s">
        <v>31</v>
      </c>
      <c r="K1098" s="5" t="s">
        <v>31</v>
      </c>
      <c r="L1098" s="5" t="s">
        <v>32</v>
      </c>
      <c r="M1098" s="5" t="s">
        <v>31</v>
      </c>
      <c r="N1098" s="5" t="s">
        <v>31</v>
      </c>
      <c r="O1098" s="5" t="s">
        <v>32</v>
      </c>
      <c r="P1098" s="5" t="s">
        <v>33</v>
      </c>
      <c r="Q1098" s="2">
        <v>45961</v>
      </c>
      <c r="V1098" s="45">
        <f>IF(OR(ISNUMBER(SEARCH("unable to locate acct",G1098)),ISNUMBER(SEARCH("unknown",G1098)),ISNUMBER(SEARCH("inactive",G1098)),H1098=""),0,1)</f>
        <v>1</v>
      </c>
    </row>
    <row r="1099" spans="1:22" hidden="1">
      <c r="A1099" s="2">
        <v>45918</v>
      </c>
      <c r="B1099" s="1" t="s">
        <v>2626</v>
      </c>
      <c r="C1099" s="1" t="s">
        <v>2202</v>
      </c>
      <c r="D1099" s="1" t="s">
        <v>163</v>
      </c>
      <c r="E1099" s="1">
        <v>85338</v>
      </c>
      <c r="F1099" s="1" t="s">
        <v>2627</v>
      </c>
      <c r="G1099" s="1" t="s">
        <v>2602</v>
      </c>
      <c r="H1099" s="4" t="s">
        <v>5320</v>
      </c>
      <c r="I1099" s="5" t="s">
        <v>120</v>
      </c>
      <c r="J1099" s="5" t="s">
        <v>31</v>
      </c>
      <c r="K1099" s="5" t="s">
        <v>31</v>
      </c>
      <c r="L1099" s="5" t="s">
        <v>32</v>
      </c>
      <c r="M1099" s="5" t="s">
        <v>31</v>
      </c>
      <c r="N1099" s="5" t="s">
        <v>31</v>
      </c>
      <c r="O1099" s="5" t="s">
        <v>32</v>
      </c>
      <c r="P1099" s="5" t="s">
        <v>33</v>
      </c>
      <c r="Q1099" s="2">
        <v>45961</v>
      </c>
      <c r="V1099" s="45">
        <f>IF(OR(ISNUMBER(SEARCH("unable to locate acct",G1099)),ISNUMBER(SEARCH("unknown",G1099)),ISNUMBER(SEARCH("inactive",G1099)),H1099=""),0,1)</f>
        <v>1</v>
      </c>
    </row>
    <row r="1100" spans="1:22" hidden="1">
      <c r="A1100" s="2">
        <v>45918</v>
      </c>
      <c r="B1100" s="1" t="s">
        <v>2628</v>
      </c>
      <c r="C1100" s="1" t="s">
        <v>2629</v>
      </c>
      <c r="D1100" s="1" t="s">
        <v>234</v>
      </c>
      <c r="E1100" s="1">
        <v>85340</v>
      </c>
      <c r="F1100" s="1" t="s">
        <v>304</v>
      </c>
      <c r="G1100" s="1" t="s">
        <v>2602</v>
      </c>
      <c r="H1100" s="4" t="s">
        <v>5035</v>
      </c>
      <c r="I1100" s="5" t="s">
        <v>190</v>
      </c>
      <c r="J1100" s="5" t="s">
        <v>31</v>
      </c>
      <c r="K1100" s="5" t="s">
        <v>31</v>
      </c>
      <c r="L1100" s="5" t="s">
        <v>2630</v>
      </c>
      <c r="M1100" s="5" t="s">
        <v>31</v>
      </c>
      <c r="N1100" s="5" t="s">
        <v>31</v>
      </c>
      <c r="O1100" s="5" t="s">
        <v>32</v>
      </c>
      <c r="P1100" s="5" t="s">
        <v>33</v>
      </c>
      <c r="Q1100" s="2">
        <v>45961</v>
      </c>
      <c r="V1100" s="45">
        <f>IF(OR(ISNUMBER(SEARCH("unable to locate acct",G1100)),ISNUMBER(SEARCH("unknown",G1100)),ISNUMBER(SEARCH("inactive",G1100)),H1100=""),0,1)</f>
        <v>1</v>
      </c>
    </row>
    <row r="1101" spans="1:22" hidden="1">
      <c r="A1101" s="2">
        <v>45918</v>
      </c>
      <c r="B1101" s="1" t="s">
        <v>646</v>
      </c>
      <c r="C1101" s="1" t="s">
        <v>2631</v>
      </c>
      <c r="D1101" s="1" t="s">
        <v>196</v>
      </c>
      <c r="E1101" s="1">
        <v>85383</v>
      </c>
      <c r="F1101" s="1" t="s">
        <v>2632</v>
      </c>
      <c r="G1101" s="1" t="s">
        <v>2602</v>
      </c>
      <c r="H1101" s="4" t="s">
        <v>21</v>
      </c>
      <c r="V1101" s="45">
        <f>IF(OR(ISNUMBER(SEARCH("unable to locate acct",G1101)),ISNUMBER(SEARCH("unknown",G1101)),ISNUMBER(SEARCH("inactive",G1101)),H1101=""),0,1)</f>
        <v>1</v>
      </c>
    </row>
    <row r="1102" spans="1:22" hidden="1">
      <c r="A1102" s="2">
        <v>45918</v>
      </c>
      <c r="B1102" s="1" t="s">
        <v>2633</v>
      </c>
      <c r="C1102" s="1" t="s">
        <v>2634</v>
      </c>
      <c r="D1102" s="1" t="s">
        <v>119</v>
      </c>
      <c r="E1102" s="1">
        <v>85260</v>
      </c>
      <c r="F1102" s="1" t="s">
        <v>2635</v>
      </c>
      <c r="G1102" s="1" t="s">
        <v>2602</v>
      </c>
      <c r="H1102" s="4" t="s">
        <v>5321</v>
      </c>
      <c r="I1102" s="5" t="s">
        <v>120</v>
      </c>
      <c r="J1102" s="5" t="s">
        <v>31</v>
      </c>
      <c r="K1102" s="5" t="s">
        <v>31</v>
      </c>
      <c r="L1102" s="5" t="s">
        <v>32</v>
      </c>
      <c r="M1102" s="5" t="s">
        <v>31</v>
      </c>
      <c r="N1102" s="5" t="s">
        <v>31</v>
      </c>
      <c r="O1102" s="5" t="s">
        <v>32</v>
      </c>
      <c r="P1102" s="5" t="s">
        <v>33</v>
      </c>
      <c r="Q1102" s="2">
        <v>45960</v>
      </c>
      <c r="V1102" s="45">
        <f>IF(OR(ISNUMBER(SEARCH("unable to locate acct",G1102)),ISNUMBER(SEARCH("unknown",G1102)),ISNUMBER(SEARCH("inactive",G1102)),H1102=""),0,1)</f>
        <v>1</v>
      </c>
    </row>
    <row r="1103" spans="1:22" hidden="1">
      <c r="A1103" s="2">
        <v>45918</v>
      </c>
      <c r="B1103" s="1" t="s">
        <v>2636</v>
      </c>
      <c r="C1103" s="1" t="s">
        <v>2637</v>
      </c>
      <c r="D1103" s="1" t="s">
        <v>163</v>
      </c>
      <c r="E1103" s="1">
        <v>85338</v>
      </c>
      <c r="F1103" s="1" t="s">
        <v>2638</v>
      </c>
      <c r="G1103" s="1" t="s">
        <v>2602</v>
      </c>
      <c r="H1103" s="4" t="s">
        <v>5322</v>
      </c>
      <c r="I1103" s="5" t="s">
        <v>237</v>
      </c>
      <c r="J1103" s="5" t="s">
        <v>31</v>
      </c>
      <c r="K1103" s="5" t="s">
        <v>31</v>
      </c>
      <c r="L1103" s="5" t="s">
        <v>381</v>
      </c>
      <c r="M1103" s="5" t="s">
        <v>31</v>
      </c>
      <c r="N1103" s="5" t="s">
        <v>31</v>
      </c>
      <c r="O1103" s="5" t="s">
        <v>32</v>
      </c>
      <c r="P1103" s="5" t="s">
        <v>33</v>
      </c>
      <c r="Q1103" s="2">
        <v>45960</v>
      </c>
      <c r="V1103" s="45">
        <f>IF(OR(ISNUMBER(SEARCH("unable to locate acct",G1103)),ISNUMBER(SEARCH("unknown",G1103)),ISNUMBER(SEARCH("inactive",G1103)),H1103=""),0,1)</f>
        <v>1</v>
      </c>
    </row>
    <row r="1104" spans="1:22" hidden="1">
      <c r="A1104" s="2">
        <v>45918</v>
      </c>
      <c r="B1104" s="1" t="s">
        <v>2639</v>
      </c>
      <c r="C1104" s="1" t="s">
        <v>2640</v>
      </c>
      <c r="D1104" s="1" t="s">
        <v>57</v>
      </c>
      <c r="E1104" s="1">
        <v>85029</v>
      </c>
      <c r="F1104" s="1" t="s">
        <v>2641</v>
      </c>
      <c r="G1104" s="1" t="s">
        <v>2602</v>
      </c>
      <c r="H1104" s="4" t="s">
        <v>5323</v>
      </c>
      <c r="I1104" s="5" t="s">
        <v>40</v>
      </c>
      <c r="J1104" s="5" t="s">
        <v>31</v>
      </c>
      <c r="K1104" s="5" t="s">
        <v>31</v>
      </c>
      <c r="L1104" s="5" t="s">
        <v>32</v>
      </c>
      <c r="M1104" s="5" t="s">
        <v>31</v>
      </c>
      <c r="N1104" s="5" t="s">
        <v>31</v>
      </c>
      <c r="O1104" s="5" t="s">
        <v>32</v>
      </c>
      <c r="P1104" s="5" t="s">
        <v>33</v>
      </c>
      <c r="Q1104" s="2">
        <v>45960</v>
      </c>
      <c r="V1104" s="45">
        <f>IF(OR(ISNUMBER(SEARCH("unable to locate acct",G1104)),ISNUMBER(SEARCH("unknown",G1104)),ISNUMBER(SEARCH("inactive",G1104)),H1104=""),0,1)</f>
        <v>1</v>
      </c>
    </row>
    <row r="1105" spans="1:22" hidden="1">
      <c r="A1105" s="2">
        <v>45918</v>
      </c>
      <c r="B1105" s="1" t="s">
        <v>2642</v>
      </c>
      <c r="C1105" s="1" t="s">
        <v>539</v>
      </c>
      <c r="D1105" s="1" t="s">
        <v>57</v>
      </c>
      <c r="E1105" s="1">
        <v>85053</v>
      </c>
      <c r="F1105" s="1" t="s">
        <v>2643</v>
      </c>
      <c r="G1105" s="1" t="s">
        <v>2602</v>
      </c>
      <c r="H1105" s="4" t="s">
        <v>5324</v>
      </c>
      <c r="I1105" s="5" t="s">
        <v>30</v>
      </c>
      <c r="J1105" s="5" t="s">
        <v>31</v>
      </c>
      <c r="K1105" s="5" t="s">
        <v>31</v>
      </c>
      <c r="L1105" s="5" t="s">
        <v>32</v>
      </c>
      <c r="M1105" s="5" t="s">
        <v>31</v>
      </c>
      <c r="N1105" s="5" t="s">
        <v>31</v>
      </c>
      <c r="O1105" s="5" t="s">
        <v>32</v>
      </c>
      <c r="P1105" s="5" t="s">
        <v>33</v>
      </c>
      <c r="Q1105" s="2">
        <v>45960</v>
      </c>
      <c r="V1105" s="45">
        <f>IF(OR(ISNUMBER(SEARCH("unable to locate acct",G1105)),ISNUMBER(SEARCH("unknown",G1105)),ISNUMBER(SEARCH("inactive",G1105)),H1105=""),0,1)</f>
        <v>1</v>
      </c>
    </row>
    <row r="1106" spans="1:22" hidden="1">
      <c r="A1106" s="2">
        <v>45918</v>
      </c>
      <c r="B1106" s="1" t="s">
        <v>2644</v>
      </c>
      <c r="C1106" s="1" t="s">
        <v>472</v>
      </c>
      <c r="D1106" s="1" t="s">
        <v>163</v>
      </c>
      <c r="E1106" s="1">
        <v>85338</v>
      </c>
      <c r="F1106" s="1" t="s">
        <v>2645</v>
      </c>
      <c r="G1106" s="1" t="s">
        <v>2602</v>
      </c>
      <c r="H1106" s="4" t="s">
        <v>5322</v>
      </c>
      <c r="I1106" s="5" t="s">
        <v>237</v>
      </c>
      <c r="J1106" s="5" t="s">
        <v>31</v>
      </c>
      <c r="K1106" s="5" t="s">
        <v>31</v>
      </c>
      <c r="L1106" s="5" t="s">
        <v>381</v>
      </c>
      <c r="M1106" s="5" t="s">
        <v>31</v>
      </c>
      <c r="N1106" s="5" t="s">
        <v>31</v>
      </c>
      <c r="O1106" s="5" t="s">
        <v>32</v>
      </c>
      <c r="P1106" s="5" t="s">
        <v>33</v>
      </c>
      <c r="Q1106" s="2">
        <v>45960</v>
      </c>
      <c r="V1106" s="45">
        <f>IF(OR(ISNUMBER(SEARCH("unable to locate acct",G1106)),ISNUMBER(SEARCH("unknown",G1106)),ISNUMBER(SEARCH("inactive",G1106)),H1106=""),0,1)</f>
        <v>1</v>
      </c>
    </row>
    <row r="1107" spans="1:22" hidden="1">
      <c r="A1107" s="2">
        <v>45918</v>
      </c>
      <c r="B1107" s="1" t="s">
        <v>2646</v>
      </c>
      <c r="C1107" s="1" t="s">
        <v>549</v>
      </c>
      <c r="D1107" s="1" t="s">
        <v>57</v>
      </c>
      <c r="E1107" s="1">
        <v>85013</v>
      </c>
      <c r="F1107" s="1" t="s">
        <v>2647</v>
      </c>
      <c r="G1107" s="1" t="s">
        <v>2602</v>
      </c>
      <c r="H1107" s="4" t="s">
        <v>4946</v>
      </c>
      <c r="I1107" s="5" t="s">
        <v>190</v>
      </c>
      <c r="J1107" s="5" t="s">
        <v>31</v>
      </c>
      <c r="K1107" s="5" t="s">
        <v>31</v>
      </c>
      <c r="L1107" s="7" t="s">
        <v>2648</v>
      </c>
      <c r="M1107" s="5" t="s">
        <v>32</v>
      </c>
      <c r="N1107" s="15">
        <v>349.63</v>
      </c>
      <c r="O1107" s="5" t="s">
        <v>32</v>
      </c>
      <c r="P1107" s="7"/>
      <c r="Q1107" s="2">
        <v>45960</v>
      </c>
      <c r="R1107" s="1" t="s">
        <v>486</v>
      </c>
      <c r="V1107" s="45">
        <f>IF(OR(ISNUMBER(SEARCH("unable to locate acct",G1107)),ISNUMBER(SEARCH("unknown",G1107)),ISNUMBER(SEARCH("inactive",G1107)),H1107=""),0,1)</f>
        <v>1</v>
      </c>
    </row>
    <row r="1108" spans="1:22" hidden="1">
      <c r="A1108" s="2">
        <v>45918</v>
      </c>
      <c r="B1108" s="1" t="s">
        <v>2649</v>
      </c>
      <c r="C1108" s="1" t="s">
        <v>1087</v>
      </c>
      <c r="D1108" s="1" t="s">
        <v>119</v>
      </c>
      <c r="E1108" s="1">
        <v>85260</v>
      </c>
      <c r="F1108" s="1" t="s">
        <v>2650</v>
      </c>
      <c r="G1108" s="1" t="s">
        <v>2602</v>
      </c>
      <c r="H1108" s="21" t="s">
        <v>5674</v>
      </c>
      <c r="I1108" s="5" t="s">
        <v>67</v>
      </c>
      <c r="J1108" s="5" t="s">
        <v>31</v>
      </c>
      <c r="K1108" s="5" t="s">
        <v>31</v>
      </c>
      <c r="L1108" s="5" t="s">
        <v>32</v>
      </c>
      <c r="M1108" s="5" t="s">
        <v>31</v>
      </c>
      <c r="N1108" s="5" t="s">
        <v>31</v>
      </c>
      <c r="O1108" s="5" t="s">
        <v>32</v>
      </c>
      <c r="P1108" s="5" t="s">
        <v>33</v>
      </c>
      <c r="Q1108" s="2">
        <v>45960</v>
      </c>
      <c r="V1108" s="45">
        <f>IF(OR(ISNUMBER(SEARCH("unable to locate acct",G1108)),ISNUMBER(SEARCH("unknown",G1108)),ISNUMBER(SEARCH("inactive",G1108)),H1108=""),0,1)</f>
        <v>1</v>
      </c>
    </row>
    <row r="1109" spans="1:22" hidden="1">
      <c r="A1109" s="2">
        <v>45918</v>
      </c>
      <c r="B1109" s="1" t="s">
        <v>2651</v>
      </c>
      <c r="C1109" s="1" t="s">
        <v>2652</v>
      </c>
      <c r="D1109" s="1" t="s">
        <v>168</v>
      </c>
      <c r="E1109" s="1">
        <v>85396</v>
      </c>
      <c r="F1109" s="1" t="s">
        <v>2653</v>
      </c>
      <c r="G1109" s="1" t="s">
        <v>2602</v>
      </c>
      <c r="H1109" s="4" t="s">
        <v>5036</v>
      </c>
      <c r="I1109" s="5" t="s">
        <v>190</v>
      </c>
      <c r="J1109" s="5" t="s">
        <v>31</v>
      </c>
      <c r="K1109" s="5" t="s">
        <v>31</v>
      </c>
      <c r="L1109" s="7" t="s">
        <v>2654</v>
      </c>
      <c r="M1109" s="5" t="s">
        <v>31</v>
      </c>
      <c r="N1109" s="5" t="s">
        <v>31</v>
      </c>
      <c r="O1109" s="5" t="s">
        <v>32</v>
      </c>
      <c r="P1109" s="5" t="s">
        <v>33</v>
      </c>
      <c r="Q1109" s="2">
        <v>45960</v>
      </c>
      <c r="R1109" s="1" t="s">
        <v>2655</v>
      </c>
      <c r="V1109" s="45">
        <f>IF(OR(ISNUMBER(SEARCH("unable to locate acct",G1109)),ISNUMBER(SEARCH("unknown",G1109)),ISNUMBER(SEARCH("inactive",G1109)),H1109=""),0,1)</f>
        <v>1</v>
      </c>
    </row>
    <row r="1110" spans="1:22" hidden="1">
      <c r="A1110" s="2">
        <v>45918</v>
      </c>
      <c r="B1110" s="1" t="s">
        <v>2656</v>
      </c>
      <c r="C1110" s="1" t="s">
        <v>246</v>
      </c>
      <c r="D1110" s="1" t="s">
        <v>234</v>
      </c>
      <c r="E1110" s="1">
        <v>85340</v>
      </c>
      <c r="F1110" s="1" t="s">
        <v>2657</v>
      </c>
      <c r="G1110" s="1" t="s">
        <v>2658</v>
      </c>
      <c r="H1110" s="4" t="s">
        <v>2659</v>
      </c>
      <c r="I1110" s="5" t="s">
        <v>67</v>
      </c>
      <c r="J1110" s="5" t="s">
        <v>31</v>
      </c>
      <c r="K1110" s="5" t="s">
        <v>31</v>
      </c>
      <c r="L1110" s="5" t="s">
        <v>1429</v>
      </c>
      <c r="M1110" s="5" t="s">
        <v>31</v>
      </c>
      <c r="N1110" s="5" t="s">
        <v>31</v>
      </c>
      <c r="O1110" s="5" t="s">
        <v>32</v>
      </c>
      <c r="P1110" s="5" t="s">
        <v>33</v>
      </c>
      <c r="Q1110" s="2">
        <v>45960</v>
      </c>
      <c r="V1110" s="45">
        <f>IF(OR(ISNUMBER(SEARCH("unable to locate acct",G1110)),ISNUMBER(SEARCH("unknown",G1110)),ISNUMBER(SEARCH("inactive",G1110)),H1110=""),0,1)</f>
        <v>1</v>
      </c>
    </row>
    <row r="1111" spans="1:22" hidden="1">
      <c r="A1111" s="2">
        <v>45918</v>
      </c>
      <c r="B1111" s="1" t="s">
        <v>1637</v>
      </c>
      <c r="C1111" s="1" t="s">
        <v>1333</v>
      </c>
      <c r="D1111" s="1" t="s">
        <v>24</v>
      </c>
      <c r="E1111" s="1" t="s">
        <v>24</v>
      </c>
      <c r="F1111" s="1" t="s">
        <v>2660</v>
      </c>
      <c r="G1111" s="1" t="s">
        <v>2661</v>
      </c>
      <c r="H1111" s="4" t="s">
        <v>203</v>
      </c>
      <c r="V1111" s="45">
        <f>IF(OR(ISNUMBER(SEARCH("unable to locate acct",G1111)),ISNUMBER(SEARCH("unknown",G1111)),ISNUMBER(SEARCH("inactive",G1111)),H1111=""),0,1)</f>
        <v>1</v>
      </c>
    </row>
    <row r="1112" spans="1:22" hidden="1">
      <c r="A1112" s="2">
        <v>45918</v>
      </c>
      <c r="B1112" s="1" t="s">
        <v>2352</v>
      </c>
      <c r="C1112" s="1" t="s">
        <v>224</v>
      </c>
      <c r="D1112" s="1" t="s">
        <v>119</v>
      </c>
      <c r="E1112" s="1">
        <v>85262</v>
      </c>
      <c r="F1112" s="1" t="s">
        <v>2662</v>
      </c>
      <c r="G1112" s="1" t="s">
        <v>2658</v>
      </c>
      <c r="H1112" s="4" t="s">
        <v>2663</v>
      </c>
      <c r="I1112" s="5" t="s">
        <v>1346</v>
      </c>
      <c r="J1112" s="5" t="s">
        <v>31</v>
      </c>
      <c r="K1112" s="5" t="s">
        <v>31</v>
      </c>
      <c r="L1112" s="5" t="s">
        <v>381</v>
      </c>
      <c r="M1112" s="5" t="s">
        <v>31</v>
      </c>
      <c r="N1112" s="5" t="s">
        <v>31</v>
      </c>
      <c r="O1112" s="5" t="s">
        <v>32</v>
      </c>
      <c r="P1112" s="5" t="s">
        <v>33</v>
      </c>
      <c r="Q1112" s="2">
        <v>45960</v>
      </c>
      <c r="V1112" s="45">
        <f>IF(OR(ISNUMBER(SEARCH("unable to locate acct",G1112)),ISNUMBER(SEARCH("unknown",G1112)),ISNUMBER(SEARCH("inactive",G1112)),H1112=""),0,1)</f>
        <v>1</v>
      </c>
    </row>
    <row r="1113" spans="1:22" hidden="1">
      <c r="A1113" s="2">
        <v>45919</v>
      </c>
      <c r="B1113" s="1" t="s">
        <v>885</v>
      </c>
      <c r="C1113" s="1" t="s">
        <v>129</v>
      </c>
      <c r="D1113" s="1" t="s">
        <v>106</v>
      </c>
      <c r="E1113" s="1">
        <v>85379</v>
      </c>
      <c r="F1113" s="1" t="s">
        <v>2664</v>
      </c>
      <c r="G1113" s="1" t="s">
        <v>2658</v>
      </c>
      <c r="H1113" s="4" t="s">
        <v>21</v>
      </c>
      <c r="V1113" s="45">
        <f>IF(OR(ISNUMBER(SEARCH("unable to locate acct",G1113)),ISNUMBER(SEARCH("unknown",G1113)),ISNUMBER(SEARCH("inactive",G1113)),H1113=""),0,1)</f>
        <v>1</v>
      </c>
    </row>
    <row r="1114" spans="1:22" hidden="1">
      <c r="A1114" s="2">
        <v>45919</v>
      </c>
      <c r="B1114" s="1" t="s">
        <v>2665</v>
      </c>
      <c r="C1114" s="1" t="s">
        <v>1302</v>
      </c>
      <c r="D1114" s="1" t="s">
        <v>57</v>
      </c>
      <c r="E1114" s="1">
        <v>85032</v>
      </c>
      <c r="F1114" s="1" t="s">
        <v>2666</v>
      </c>
      <c r="G1114" s="1" t="s">
        <v>2658</v>
      </c>
      <c r="H1114" s="4" t="s">
        <v>2667</v>
      </c>
      <c r="I1114" s="5" t="s">
        <v>237</v>
      </c>
      <c r="J1114" s="5" t="s">
        <v>31</v>
      </c>
      <c r="K1114" s="5" t="s">
        <v>31</v>
      </c>
      <c r="L1114" s="5" t="s">
        <v>381</v>
      </c>
      <c r="M1114" s="5" t="s">
        <v>32</v>
      </c>
      <c r="N1114" s="13">
        <v>719.22</v>
      </c>
      <c r="O1114" s="5" t="s">
        <v>32</v>
      </c>
      <c r="Q1114" s="2">
        <v>45960</v>
      </c>
      <c r="R1114" s="1" t="s">
        <v>2668</v>
      </c>
      <c r="V1114" s="45">
        <f>IF(OR(ISNUMBER(SEARCH("unable to locate acct",G1114)),ISNUMBER(SEARCH("unknown",G1114)),ISNUMBER(SEARCH("inactive",G1114)),H1114=""),0,1)</f>
        <v>1</v>
      </c>
    </row>
    <row r="1115" spans="1:22" hidden="1">
      <c r="A1115" s="2">
        <v>45919</v>
      </c>
      <c r="B1115" s="1" t="s">
        <v>2669</v>
      </c>
      <c r="C1115" s="1" t="s">
        <v>472</v>
      </c>
      <c r="D1115" s="1" t="s">
        <v>130</v>
      </c>
      <c r="E1115" s="1">
        <v>85377</v>
      </c>
      <c r="F1115" s="1" t="s">
        <v>2670</v>
      </c>
      <c r="G1115" s="1" t="s">
        <v>2658</v>
      </c>
      <c r="H1115" s="4" t="s">
        <v>21</v>
      </c>
      <c r="V1115" s="45">
        <f>IF(OR(ISNUMBER(SEARCH("unable to locate acct",G1115)),ISNUMBER(SEARCH("unknown",G1115)),ISNUMBER(SEARCH("inactive",G1115)),H1115=""),0,1)</f>
        <v>1</v>
      </c>
    </row>
    <row r="1116" spans="1:22" hidden="1">
      <c r="A1116" s="2">
        <v>45919</v>
      </c>
      <c r="B1116" s="1" t="s">
        <v>2671</v>
      </c>
      <c r="C1116" s="1" t="s">
        <v>814</v>
      </c>
      <c r="D1116" s="1" t="s">
        <v>163</v>
      </c>
      <c r="E1116" s="1">
        <v>85339</v>
      </c>
      <c r="F1116" s="1" t="s">
        <v>2672</v>
      </c>
      <c r="G1116" s="1" t="s">
        <v>2658</v>
      </c>
      <c r="H1116" s="4" t="s">
        <v>21</v>
      </c>
      <c r="V1116" s="45">
        <f>IF(OR(ISNUMBER(SEARCH("unable to locate acct",G1116)),ISNUMBER(SEARCH("unknown",G1116)),ISNUMBER(SEARCH("inactive",G1116)),H1116=""),0,1)</f>
        <v>1</v>
      </c>
    </row>
    <row r="1117" spans="1:22" hidden="1">
      <c r="A1117" s="2">
        <v>45919</v>
      </c>
      <c r="B1117" s="1" t="s">
        <v>2673</v>
      </c>
      <c r="C1117" s="1" t="s">
        <v>2674</v>
      </c>
      <c r="D1117" s="1" t="s">
        <v>57</v>
      </c>
      <c r="E1117" s="1">
        <v>85032</v>
      </c>
      <c r="F1117" s="1" t="s">
        <v>2675</v>
      </c>
      <c r="G1117" s="1" t="s">
        <v>2658</v>
      </c>
      <c r="H1117" s="4" t="s">
        <v>21</v>
      </c>
      <c r="V1117" s="45">
        <f>IF(OR(ISNUMBER(SEARCH("unable to locate acct",G1117)),ISNUMBER(SEARCH("unknown",G1117)),ISNUMBER(SEARCH("inactive",G1117)),H1117=""),0,1)</f>
        <v>1</v>
      </c>
    </row>
    <row r="1118" spans="1:22" hidden="1">
      <c r="A1118" s="2">
        <v>45919</v>
      </c>
      <c r="B1118" s="1" t="s">
        <v>2676</v>
      </c>
      <c r="C1118" s="1" t="s">
        <v>2595</v>
      </c>
      <c r="D1118" s="1" t="s">
        <v>420</v>
      </c>
      <c r="E1118" s="1">
        <v>85335</v>
      </c>
      <c r="F1118" s="1" t="s">
        <v>2677</v>
      </c>
      <c r="G1118" s="1" t="s">
        <v>2658</v>
      </c>
      <c r="H1118" s="4" t="s">
        <v>2678</v>
      </c>
      <c r="I1118" s="5" t="s">
        <v>40</v>
      </c>
      <c r="J1118" s="5" t="s">
        <v>31</v>
      </c>
      <c r="K1118" s="5" t="s">
        <v>31</v>
      </c>
      <c r="L1118" s="5" t="s">
        <v>32</v>
      </c>
      <c r="M1118" s="5" t="s">
        <v>31</v>
      </c>
      <c r="N1118" s="5" t="s">
        <v>31</v>
      </c>
      <c r="O1118" s="5" t="s">
        <v>32</v>
      </c>
      <c r="P1118" s="5" t="s">
        <v>33</v>
      </c>
      <c r="Q1118" s="2">
        <v>45960</v>
      </c>
      <c r="V1118" s="45">
        <f>IF(OR(ISNUMBER(SEARCH("unable to locate acct",G1118)),ISNUMBER(SEARCH("unknown",G1118)),ISNUMBER(SEARCH("inactive",G1118)),H1118=""),0,1)</f>
        <v>1</v>
      </c>
    </row>
    <row r="1119" spans="1:22" hidden="1">
      <c r="A1119" s="2">
        <v>45919</v>
      </c>
      <c r="B1119" s="1" t="s">
        <v>2679</v>
      </c>
      <c r="C1119" s="1" t="s">
        <v>1333</v>
      </c>
      <c r="D1119" s="1" t="s">
        <v>18</v>
      </c>
      <c r="E1119" s="1">
        <v>85310</v>
      </c>
      <c r="F1119" s="1" t="s">
        <v>2680</v>
      </c>
      <c r="G1119" s="1" t="s">
        <v>2658</v>
      </c>
      <c r="H1119" s="4" t="s">
        <v>2681</v>
      </c>
      <c r="I1119" s="5" t="s">
        <v>40</v>
      </c>
      <c r="J1119" s="5" t="s">
        <v>31</v>
      </c>
      <c r="K1119" s="5" t="s">
        <v>31</v>
      </c>
      <c r="L1119" s="7" t="s">
        <v>2682</v>
      </c>
      <c r="M1119" s="5" t="s">
        <v>31</v>
      </c>
      <c r="N1119" s="5" t="s">
        <v>31</v>
      </c>
      <c r="O1119" s="5" t="s">
        <v>32</v>
      </c>
      <c r="P1119" s="2">
        <v>45940</v>
      </c>
      <c r="Q1119" s="2">
        <v>45960</v>
      </c>
      <c r="R1119" s="1" t="s">
        <v>2683</v>
      </c>
      <c r="V1119" s="45">
        <f>IF(OR(ISNUMBER(SEARCH("unable to locate acct",G1119)),ISNUMBER(SEARCH("unknown",G1119)),ISNUMBER(SEARCH("inactive",G1119)),H1119=""),0,1)</f>
        <v>1</v>
      </c>
    </row>
    <row r="1120" spans="1:22" hidden="1">
      <c r="A1120" s="2">
        <v>45919</v>
      </c>
      <c r="B1120" s="1" t="s">
        <v>2684</v>
      </c>
      <c r="C1120" s="1" t="s">
        <v>2685</v>
      </c>
      <c r="D1120" s="1" t="s">
        <v>2686</v>
      </c>
      <c r="E1120" s="1">
        <v>85306</v>
      </c>
      <c r="F1120" s="1" t="s">
        <v>2687</v>
      </c>
      <c r="G1120" s="1" t="s">
        <v>2658</v>
      </c>
      <c r="H1120" s="4" t="s">
        <v>2688</v>
      </c>
      <c r="I1120" s="5" t="s">
        <v>244</v>
      </c>
      <c r="J1120" s="5" t="s">
        <v>31</v>
      </c>
      <c r="K1120" s="5" t="s">
        <v>31</v>
      </c>
      <c r="L1120" s="5" t="s">
        <v>32</v>
      </c>
      <c r="M1120" s="5" t="s">
        <v>31</v>
      </c>
      <c r="N1120" s="5" t="s">
        <v>31</v>
      </c>
      <c r="O1120" s="5" t="s">
        <v>32</v>
      </c>
      <c r="P1120" s="5" t="s">
        <v>33</v>
      </c>
      <c r="Q1120" s="2">
        <v>45960</v>
      </c>
      <c r="V1120" s="45">
        <f>IF(OR(ISNUMBER(SEARCH("unable to locate acct",G1120)),ISNUMBER(SEARCH("unknown",G1120)),ISNUMBER(SEARCH("inactive",G1120)),H1120=""),0,1)</f>
        <v>1</v>
      </c>
    </row>
    <row r="1121" spans="1:22" hidden="1">
      <c r="A1121" s="2">
        <v>45919</v>
      </c>
      <c r="B1121" s="1" t="s">
        <v>2689</v>
      </c>
      <c r="C1121" s="1" t="s">
        <v>2690</v>
      </c>
      <c r="D1121" s="1" t="s">
        <v>196</v>
      </c>
      <c r="E1121" s="1">
        <v>85345</v>
      </c>
      <c r="F1121" s="1" t="s">
        <v>2691</v>
      </c>
      <c r="G1121" s="1" t="s">
        <v>2692</v>
      </c>
      <c r="H1121" s="4" t="s">
        <v>2693</v>
      </c>
      <c r="I1121" s="5" t="s">
        <v>120</v>
      </c>
      <c r="J1121" s="5" t="s">
        <v>31</v>
      </c>
      <c r="K1121" s="5" t="s">
        <v>31</v>
      </c>
      <c r="L1121" s="5" t="s">
        <v>32</v>
      </c>
      <c r="M1121" s="5" t="s">
        <v>31</v>
      </c>
      <c r="N1121" s="5" t="s">
        <v>31</v>
      </c>
      <c r="O1121" s="5" t="s">
        <v>32</v>
      </c>
      <c r="P1121" s="5" t="s">
        <v>33</v>
      </c>
      <c r="Q1121" s="2">
        <v>45960</v>
      </c>
      <c r="V1121" s="45">
        <f>IF(OR(ISNUMBER(SEARCH("unable to locate acct",G1121)),ISNUMBER(SEARCH("unknown",G1121)),ISNUMBER(SEARCH("inactive",G1121)),H1121=""),0,1)</f>
        <v>1</v>
      </c>
    </row>
    <row r="1122" spans="1:22" hidden="1">
      <c r="A1122" s="2">
        <v>45919</v>
      </c>
      <c r="B1122" s="1" t="s">
        <v>2694</v>
      </c>
      <c r="C1122" s="1" t="s">
        <v>2063</v>
      </c>
      <c r="D1122" s="1" t="s">
        <v>2695</v>
      </c>
      <c r="E1122" s="1">
        <v>85253</v>
      </c>
      <c r="F1122" s="1" t="s">
        <v>2696</v>
      </c>
      <c r="G1122" s="1" t="s">
        <v>2692</v>
      </c>
      <c r="H1122" s="4" t="s">
        <v>2697</v>
      </c>
      <c r="I1122" s="5" t="s">
        <v>30</v>
      </c>
      <c r="J1122" s="5" t="s">
        <v>31</v>
      </c>
      <c r="K1122" s="5" t="s">
        <v>31</v>
      </c>
      <c r="L1122" s="5" t="s">
        <v>32</v>
      </c>
      <c r="M1122" s="5" t="s">
        <v>31</v>
      </c>
      <c r="N1122" s="5" t="s">
        <v>31</v>
      </c>
      <c r="O1122" s="5" t="s">
        <v>32</v>
      </c>
      <c r="P1122" s="5" t="s">
        <v>33</v>
      </c>
      <c r="Q1122" s="2">
        <v>45960</v>
      </c>
      <c r="V1122" s="45">
        <f>IF(OR(ISNUMBER(SEARCH("unable to locate acct",G1122)),ISNUMBER(SEARCH("unknown",G1122)),ISNUMBER(SEARCH("inactive",G1122)),H1122=""),0,1)</f>
        <v>1</v>
      </c>
    </row>
    <row r="1123" spans="1:22" hidden="1">
      <c r="A1123" s="2">
        <v>45919</v>
      </c>
      <c r="B1123" s="1" t="s">
        <v>2698</v>
      </c>
      <c r="C1123" s="1" t="s">
        <v>306</v>
      </c>
      <c r="D1123" s="1" t="s">
        <v>440</v>
      </c>
      <c r="E1123" s="1">
        <v>85361</v>
      </c>
      <c r="F1123" s="1" t="s">
        <v>2699</v>
      </c>
      <c r="G1123" s="1" t="s">
        <v>2692</v>
      </c>
      <c r="H1123" s="4" t="s">
        <v>2700</v>
      </c>
      <c r="I1123" s="5" t="s">
        <v>67</v>
      </c>
      <c r="J1123" s="5" t="s">
        <v>31</v>
      </c>
      <c r="K1123" s="5" t="s">
        <v>31</v>
      </c>
      <c r="L1123" s="5" t="s">
        <v>32</v>
      </c>
      <c r="M1123" s="5" t="s">
        <v>31</v>
      </c>
      <c r="N1123" s="5" t="s">
        <v>31</v>
      </c>
      <c r="O1123" s="5" t="s">
        <v>32</v>
      </c>
      <c r="P1123" s="5" t="s">
        <v>33</v>
      </c>
      <c r="Q1123" s="2">
        <v>45960</v>
      </c>
      <c r="V1123" s="45">
        <f>IF(OR(ISNUMBER(SEARCH("unable to locate acct",G1123)),ISNUMBER(SEARCH("unknown",G1123)),ISNUMBER(SEARCH("inactive",G1123)),H1123=""),0,1)</f>
        <v>1</v>
      </c>
    </row>
    <row r="1124" spans="1:22" hidden="1">
      <c r="A1124" s="2">
        <v>45919</v>
      </c>
      <c r="B1124" s="1" t="s">
        <v>391</v>
      </c>
      <c r="C1124" s="1" t="s">
        <v>2701</v>
      </c>
      <c r="D1124" s="1" t="s">
        <v>2695</v>
      </c>
      <c r="E1124" s="1">
        <v>85253</v>
      </c>
      <c r="F1124" s="1" t="s">
        <v>2702</v>
      </c>
      <c r="G1124" s="1" t="s">
        <v>2692</v>
      </c>
      <c r="H1124" s="4" t="s">
        <v>21</v>
      </c>
      <c r="V1124" s="45">
        <f>IF(OR(ISNUMBER(SEARCH("unable to locate acct",G1124)),ISNUMBER(SEARCH("unknown",G1124)),ISNUMBER(SEARCH("inactive",G1124)),H1124=""),0,1)</f>
        <v>1</v>
      </c>
    </row>
    <row r="1125" spans="1:22" hidden="1">
      <c r="A1125" s="2">
        <v>45919</v>
      </c>
      <c r="B1125" s="1" t="s">
        <v>885</v>
      </c>
      <c r="C1125" s="1" t="s">
        <v>2703</v>
      </c>
      <c r="D1125" s="1" t="s">
        <v>106</v>
      </c>
      <c r="E1125" s="1">
        <v>85379</v>
      </c>
      <c r="F1125" s="1" t="s">
        <v>2704</v>
      </c>
      <c r="G1125" s="1" t="s">
        <v>2692</v>
      </c>
      <c r="H1125" s="4" t="s">
        <v>2705</v>
      </c>
      <c r="I1125" s="5" t="s">
        <v>410</v>
      </c>
      <c r="J1125" s="5" t="s">
        <v>31</v>
      </c>
      <c r="K1125" s="5" t="s">
        <v>31</v>
      </c>
      <c r="L1125" s="5" t="s">
        <v>381</v>
      </c>
      <c r="M1125" s="5" t="s">
        <v>31</v>
      </c>
      <c r="N1125" s="5" t="s">
        <v>31</v>
      </c>
      <c r="O1125" s="5" t="s">
        <v>32</v>
      </c>
      <c r="P1125" s="5" t="s">
        <v>33</v>
      </c>
      <c r="Q1125" s="2">
        <v>45960</v>
      </c>
      <c r="R1125" s="1" t="s">
        <v>2142</v>
      </c>
      <c r="V1125" s="45">
        <f>IF(OR(ISNUMBER(SEARCH("unable to locate acct",G1125)),ISNUMBER(SEARCH("unknown",G1125)),ISNUMBER(SEARCH("inactive",G1125)),H1125=""),0,1)</f>
        <v>1</v>
      </c>
    </row>
    <row r="1126" spans="1:22" hidden="1">
      <c r="A1126" s="2">
        <v>45919</v>
      </c>
      <c r="B1126" s="1" t="s">
        <v>2706</v>
      </c>
      <c r="C1126" s="1" t="s">
        <v>2707</v>
      </c>
      <c r="D1126" s="1" t="s">
        <v>2708</v>
      </c>
      <c r="E1126" s="1">
        <v>85335</v>
      </c>
      <c r="F1126" s="1" t="s">
        <v>2709</v>
      </c>
      <c r="G1126" s="1" t="s">
        <v>2692</v>
      </c>
      <c r="H1126" s="4" t="s">
        <v>21</v>
      </c>
      <c r="V1126" s="45">
        <f>IF(OR(ISNUMBER(SEARCH("unable to locate acct",G1126)),ISNUMBER(SEARCH("unknown",G1126)),ISNUMBER(SEARCH("inactive",G1126)),H1126=""),0,1)</f>
        <v>1</v>
      </c>
    </row>
    <row r="1127" spans="1:22" hidden="1">
      <c r="A1127" s="2">
        <v>45919</v>
      </c>
      <c r="B1127" s="1" t="s">
        <v>2710</v>
      </c>
      <c r="C1127" s="1" t="s">
        <v>2711</v>
      </c>
      <c r="D1127" s="1" t="s">
        <v>57</v>
      </c>
      <c r="E1127" s="1">
        <v>85027</v>
      </c>
      <c r="F1127" s="1" t="s">
        <v>2712</v>
      </c>
      <c r="G1127" s="1" t="s">
        <v>2692</v>
      </c>
      <c r="H1127" s="4" t="s">
        <v>2713</v>
      </c>
      <c r="I1127" s="5" t="s">
        <v>410</v>
      </c>
      <c r="J1127" s="5" t="s">
        <v>31</v>
      </c>
      <c r="K1127" s="5" t="s">
        <v>31</v>
      </c>
      <c r="L1127" s="5" t="s">
        <v>381</v>
      </c>
      <c r="M1127" s="5" t="s">
        <v>31</v>
      </c>
      <c r="N1127" s="5" t="s">
        <v>31</v>
      </c>
      <c r="O1127" s="5" t="s">
        <v>32</v>
      </c>
      <c r="P1127" s="5" t="s">
        <v>33</v>
      </c>
      <c r="Q1127" s="2">
        <v>45960</v>
      </c>
      <c r="V1127" s="45">
        <f>IF(OR(ISNUMBER(SEARCH("unable to locate acct",G1127)),ISNUMBER(SEARCH("unknown",G1127)),ISNUMBER(SEARCH("inactive",G1127)),H1127=""),0,1)</f>
        <v>1</v>
      </c>
    </row>
    <row r="1128" spans="1:22" hidden="1">
      <c r="A1128" s="2">
        <v>45919</v>
      </c>
      <c r="B1128" s="1" t="s">
        <v>2714</v>
      </c>
      <c r="C1128" s="1" t="s">
        <v>2715</v>
      </c>
      <c r="D1128" s="1" t="s">
        <v>196</v>
      </c>
      <c r="E1128" s="1">
        <v>85382</v>
      </c>
      <c r="F1128" s="1" t="s">
        <v>2716</v>
      </c>
      <c r="G1128" s="1" t="s">
        <v>2692</v>
      </c>
      <c r="H1128" s="4" t="s">
        <v>2717</v>
      </c>
      <c r="I1128" s="5" t="s">
        <v>244</v>
      </c>
      <c r="J1128" s="5" t="s">
        <v>31</v>
      </c>
      <c r="K1128" s="5" t="s">
        <v>31</v>
      </c>
      <c r="L1128" s="5" t="s">
        <v>32</v>
      </c>
      <c r="M1128" s="5" t="s">
        <v>31</v>
      </c>
      <c r="N1128" s="5" t="s">
        <v>31</v>
      </c>
      <c r="O1128" s="5" t="s">
        <v>32</v>
      </c>
      <c r="P1128" s="5" t="s">
        <v>33</v>
      </c>
      <c r="Q1128" s="2">
        <v>45960</v>
      </c>
      <c r="V1128" s="45">
        <f>IF(OR(ISNUMBER(SEARCH("unable to locate acct",G1128)),ISNUMBER(SEARCH("unknown",G1128)),ISNUMBER(SEARCH("inactive",G1128)),H1128=""),0,1)</f>
        <v>1</v>
      </c>
    </row>
    <row r="1129" spans="1:22" hidden="1">
      <c r="A1129" s="2">
        <v>45919</v>
      </c>
      <c r="B1129" s="1" t="s">
        <v>2718</v>
      </c>
      <c r="C1129" s="1" t="s">
        <v>708</v>
      </c>
      <c r="D1129" s="1" t="s">
        <v>119</v>
      </c>
      <c r="E1129" s="1">
        <v>85254</v>
      </c>
      <c r="F1129" s="1" t="s">
        <v>2719</v>
      </c>
      <c r="G1129" s="1" t="s">
        <v>2692</v>
      </c>
      <c r="H1129" s="4" t="s">
        <v>2720</v>
      </c>
      <c r="I1129" s="5" t="s">
        <v>30</v>
      </c>
      <c r="J1129" s="5" t="s">
        <v>31</v>
      </c>
      <c r="K1129" s="5" t="s">
        <v>31</v>
      </c>
      <c r="L1129" s="5" t="s">
        <v>32</v>
      </c>
      <c r="M1129" s="5" t="s">
        <v>31</v>
      </c>
      <c r="N1129" s="5" t="s">
        <v>31</v>
      </c>
      <c r="O1129" s="5" t="s">
        <v>32</v>
      </c>
      <c r="P1129" s="5" t="s">
        <v>33</v>
      </c>
      <c r="Q1129" s="2">
        <v>45960</v>
      </c>
      <c r="V1129" s="45">
        <f>IF(OR(ISNUMBER(SEARCH("unable to locate acct",G1129)),ISNUMBER(SEARCH("unknown",G1129)),ISNUMBER(SEARCH("inactive",G1129)),H1129=""),0,1)</f>
        <v>1</v>
      </c>
    </row>
    <row r="1130" spans="1:22" hidden="1">
      <c r="A1130" s="2">
        <v>45919</v>
      </c>
      <c r="B1130" s="1" t="s">
        <v>2721</v>
      </c>
      <c r="C1130" s="1" t="s">
        <v>2722</v>
      </c>
      <c r="D1130" s="1" t="s">
        <v>163</v>
      </c>
      <c r="E1130" s="1">
        <v>85338</v>
      </c>
      <c r="F1130" s="1" t="s">
        <v>2723</v>
      </c>
      <c r="G1130" s="1" t="s">
        <v>2692</v>
      </c>
      <c r="H1130" s="4" t="s">
        <v>2724</v>
      </c>
      <c r="I1130" s="5" t="s">
        <v>30</v>
      </c>
      <c r="J1130" s="5" t="s">
        <v>31</v>
      </c>
      <c r="K1130" s="5" t="s">
        <v>31</v>
      </c>
      <c r="L1130" s="5" t="s">
        <v>32</v>
      </c>
      <c r="M1130" s="5" t="s">
        <v>32</v>
      </c>
      <c r="N1130" s="15">
        <v>747.64</v>
      </c>
      <c r="O1130" s="5" t="s">
        <v>32</v>
      </c>
      <c r="P1130" s="7"/>
      <c r="Q1130" s="2">
        <v>45960</v>
      </c>
      <c r="R1130" s="1" t="s">
        <v>486</v>
      </c>
      <c r="V1130" s="45">
        <f>IF(OR(ISNUMBER(SEARCH("unable to locate acct",G1130)),ISNUMBER(SEARCH("unknown",G1130)),ISNUMBER(SEARCH("inactive",G1130)),H1130=""),0,1)</f>
        <v>1</v>
      </c>
    </row>
    <row r="1131" spans="1:22" hidden="1">
      <c r="A1131" s="2">
        <v>45919</v>
      </c>
      <c r="B1131" s="1" t="s">
        <v>2725</v>
      </c>
      <c r="C1131" s="1" t="s">
        <v>588</v>
      </c>
      <c r="D1131" s="1" t="s">
        <v>163</v>
      </c>
      <c r="E1131" s="1">
        <v>85338</v>
      </c>
      <c r="F1131" s="1" t="s">
        <v>2672</v>
      </c>
      <c r="G1131" s="1" t="s">
        <v>2692</v>
      </c>
      <c r="H1131" s="4" t="s">
        <v>2726</v>
      </c>
      <c r="I1131" s="5" t="s">
        <v>120</v>
      </c>
      <c r="J1131" s="5" t="s">
        <v>31</v>
      </c>
      <c r="K1131" s="5" t="s">
        <v>31</v>
      </c>
      <c r="L1131" s="7" t="s">
        <v>2727</v>
      </c>
      <c r="M1131" s="5" t="s">
        <v>31</v>
      </c>
      <c r="N1131" s="5" t="s">
        <v>31</v>
      </c>
      <c r="O1131" s="5" t="s">
        <v>32</v>
      </c>
      <c r="P1131" s="5" t="s">
        <v>33</v>
      </c>
      <c r="Q1131" s="2">
        <v>45960</v>
      </c>
      <c r="R1131" s="1" t="s">
        <v>2728</v>
      </c>
      <c r="V1131" s="45">
        <f>IF(OR(ISNUMBER(SEARCH("unable to locate acct",G1131)),ISNUMBER(SEARCH("unknown",G1131)),ISNUMBER(SEARCH("inactive",G1131)),H1131=""),0,1)</f>
        <v>1</v>
      </c>
    </row>
    <row r="1132" spans="1:22" hidden="1">
      <c r="A1132" s="2">
        <v>45919</v>
      </c>
      <c r="B1132" s="1" t="s">
        <v>2147</v>
      </c>
      <c r="C1132" s="1" t="s">
        <v>2729</v>
      </c>
      <c r="D1132" s="1" t="s">
        <v>24</v>
      </c>
      <c r="E1132" s="1" t="s">
        <v>24</v>
      </c>
      <c r="F1132" s="1" t="s">
        <v>2730</v>
      </c>
      <c r="G1132" s="1" t="s">
        <v>2692</v>
      </c>
      <c r="H1132" s="4" t="s">
        <v>21</v>
      </c>
      <c r="V1132" s="45">
        <f>IF(OR(ISNUMBER(SEARCH("unable to locate acct",G1132)),ISNUMBER(SEARCH("unknown",G1132)),ISNUMBER(SEARCH("inactive",G1132)),H1132=""),0,1)</f>
        <v>1</v>
      </c>
    </row>
    <row r="1133" spans="1:22" hidden="1">
      <c r="A1133" s="2">
        <v>45919</v>
      </c>
      <c r="B1133" s="1" t="s">
        <v>2731</v>
      </c>
      <c r="C1133" s="1" t="s">
        <v>328</v>
      </c>
      <c r="D1133" s="1" t="s">
        <v>24</v>
      </c>
      <c r="E1133" s="1" t="s">
        <v>24</v>
      </c>
      <c r="F1133" s="1" t="s">
        <v>2732</v>
      </c>
      <c r="G1133" s="1" t="s">
        <v>2692</v>
      </c>
      <c r="H1133" s="4" t="s">
        <v>2733</v>
      </c>
      <c r="I1133" s="5" t="s">
        <v>410</v>
      </c>
      <c r="J1133" s="5" t="s">
        <v>31</v>
      </c>
      <c r="K1133" s="5" t="s">
        <v>31</v>
      </c>
      <c r="L1133" s="5" t="s">
        <v>381</v>
      </c>
      <c r="M1133" s="5" t="s">
        <v>31</v>
      </c>
      <c r="N1133" s="5" t="s">
        <v>31</v>
      </c>
      <c r="O1133" s="5" t="s">
        <v>32</v>
      </c>
      <c r="P1133" s="5" t="s">
        <v>33</v>
      </c>
      <c r="Q1133" s="2">
        <v>45960</v>
      </c>
      <c r="V1133" s="45">
        <f>IF(OR(ISNUMBER(SEARCH("unable to locate acct",G1133)),ISNUMBER(SEARCH("unknown",G1133)),ISNUMBER(SEARCH("inactive",G1133)),H1133=""),0,1)</f>
        <v>1</v>
      </c>
    </row>
    <row r="1134" spans="1:22" hidden="1">
      <c r="A1134" s="2">
        <v>45919</v>
      </c>
      <c r="B1134" s="1" t="s">
        <v>2734</v>
      </c>
      <c r="C1134" s="1" t="s">
        <v>520</v>
      </c>
      <c r="D1134" s="1" t="s">
        <v>57</v>
      </c>
      <c r="E1134" s="1">
        <v>85032</v>
      </c>
      <c r="F1134" s="1" t="s">
        <v>25</v>
      </c>
      <c r="G1134" s="1" t="s">
        <v>2692</v>
      </c>
      <c r="H1134" s="4" t="s">
        <v>2735</v>
      </c>
      <c r="I1134" s="5" t="s">
        <v>410</v>
      </c>
      <c r="J1134" s="5" t="s">
        <v>31</v>
      </c>
      <c r="K1134" s="5" t="s">
        <v>31</v>
      </c>
      <c r="L1134" s="5" t="s">
        <v>381</v>
      </c>
      <c r="M1134" s="5" t="s">
        <v>31</v>
      </c>
      <c r="N1134" s="5" t="s">
        <v>31</v>
      </c>
      <c r="O1134" s="5" t="s">
        <v>32</v>
      </c>
      <c r="P1134" s="5" t="s">
        <v>33</v>
      </c>
      <c r="Q1134" s="2">
        <v>45960</v>
      </c>
      <c r="V1134" s="45">
        <f>IF(OR(ISNUMBER(SEARCH("unable to locate acct",G1134)),ISNUMBER(SEARCH("unknown",G1134)),ISNUMBER(SEARCH("inactive",G1134)),H1134=""),0,1)</f>
        <v>1</v>
      </c>
    </row>
    <row r="1135" spans="1:22" hidden="1">
      <c r="A1135" s="2">
        <v>45919</v>
      </c>
      <c r="B1135" s="1" t="s">
        <v>2736</v>
      </c>
      <c r="C1135" s="1" t="s">
        <v>602</v>
      </c>
      <c r="D1135" s="1" t="s">
        <v>57</v>
      </c>
      <c r="E1135" s="1">
        <v>85022</v>
      </c>
      <c r="F1135" s="1" t="s">
        <v>2737</v>
      </c>
      <c r="G1135" s="1" t="s">
        <v>2692</v>
      </c>
      <c r="H1135" s="4" t="s">
        <v>2738</v>
      </c>
      <c r="I1135" s="5" t="s">
        <v>30</v>
      </c>
      <c r="J1135" s="5" t="s">
        <v>31</v>
      </c>
      <c r="K1135" s="5" t="s">
        <v>31</v>
      </c>
      <c r="L1135" s="5" t="s">
        <v>32</v>
      </c>
      <c r="M1135" s="5" t="s">
        <v>31</v>
      </c>
      <c r="N1135" s="5" t="s">
        <v>31</v>
      </c>
      <c r="O1135" s="5" t="s">
        <v>32</v>
      </c>
      <c r="P1135" s="5" t="s">
        <v>33</v>
      </c>
      <c r="Q1135" s="2">
        <v>45960</v>
      </c>
      <c r="V1135" s="45">
        <f>IF(OR(ISNUMBER(SEARCH("unable to locate acct",G1135)),ISNUMBER(SEARCH("unknown",G1135)),ISNUMBER(SEARCH("inactive",G1135)),H1135=""),0,1)</f>
        <v>1</v>
      </c>
    </row>
    <row r="1136" spans="1:22" hidden="1">
      <c r="A1136" s="2">
        <v>45919</v>
      </c>
      <c r="B1136" s="1" t="s">
        <v>2739</v>
      </c>
      <c r="C1136" s="1" t="s">
        <v>2740</v>
      </c>
      <c r="D1136" s="1" t="s">
        <v>801</v>
      </c>
      <c r="E1136" s="1">
        <v>86303</v>
      </c>
      <c r="F1136" s="1" t="s">
        <v>2741</v>
      </c>
      <c r="G1136" s="1" t="s">
        <v>2692</v>
      </c>
      <c r="H1136" s="4" t="s">
        <v>2742</v>
      </c>
      <c r="I1136" s="5" t="s">
        <v>120</v>
      </c>
      <c r="J1136" s="5" t="s">
        <v>31</v>
      </c>
      <c r="K1136" s="5" t="s">
        <v>31</v>
      </c>
      <c r="L1136" s="5" t="s">
        <v>32</v>
      </c>
      <c r="M1136" s="5" t="s">
        <v>31</v>
      </c>
      <c r="N1136" s="5" t="s">
        <v>31</v>
      </c>
      <c r="O1136" s="5" t="s">
        <v>32</v>
      </c>
      <c r="P1136" s="5" t="s">
        <v>33</v>
      </c>
      <c r="Q1136" s="2">
        <v>45960</v>
      </c>
      <c r="V1136" s="45">
        <f>IF(OR(ISNUMBER(SEARCH("unable to locate acct",G1136)),ISNUMBER(SEARCH("unknown",G1136)),ISNUMBER(SEARCH("inactive",G1136)),H1136=""),0,1)</f>
        <v>1</v>
      </c>
    </row>
    <row r="1137" spans="1:22" hidden="1">
      <c r="A1137" s="5" t="s">
        <v>2743</v>
      </c>
      <c r="B1137" s="1" t="s">
        <v>154</v>
      </c>
      <c r="C1137" s="1" t="s">
        <v>770</v>
      </c>
      <c r="D1137" s="1" t="s">
        <v>57</v>
      </c>
      <c r="E1137" s="1">
        <v>85015</v>
      </c>
      <c r="F1137" s="1" t="s">
        <v>304</v>
      </c>
      <c r="G1137" s="1" t="s">
        <v>2140</v>
      </c>
      <c r="H1137" s="4" t="s">
        <v>21</v>
      </c>
      <c r="V1137" s="45">
        <f>IF(OR(ISNUMBER(SEARCH("unable to locate acct",G1137)),ISNUMBER(SEARCH("unknown",G1137)),ISNUMBER(SEARCH("inactive",G1137)),H1137=""),0,1)</f>
        <v>1</v>
      </c>
    </row>
    <row r="1138" spans="1:22" hidden="1">
      <c r="A1138" s="2">
        <v>45919</v>
      </c>
      <c r="B1138" s="1" t="s">
        <v>2744</v>
      </c>
      <c r="C1138" s="1" t="s">
        <v>1281</v>
      </c>
      <c r="D1138" s="1" t="s">
        <v>119</v>
      </c>
      <c r="E1138" s="1">
        <v>85260</v>
      </c>
      <c r="F1138" s="1" t="s">
        <v>2745</v>
      </c>
      <c r="G1138" s="1" t="s">
        <v>2140</v>
      </c>
      <c r="H1138" s="4" t="s">
        <v>2746</v>
      </c>
      <c r="I1138" s="5" t="s">
        <v>30</v>
      </c>
      <c r="J1138" s="5" t="s">
        <v>31</v>
      </c>
      <c r="K1138" s="5" t="s">
        <v>31</v>
      </c>
      <c r="L1138" s="5" t="s">
        <v>1429</v>
      </c>
      <c r="M1138" s="5" t="s">
        <v>31</v>
      </c>
      <c r="N1138" s="5" t="s">
        <v>31</v>
      </c>
      <c r="O1138" s="5" t="s">
        <v>32</v>
      </c>
      <c r="P1138" s="5" t="s">
        <v>33</v>
      </c>
      <c r="Q1138" s="2">
        <v>45960</v>
      </c>
      <c r="V1138" s="45">
        <f>IF(OR(ISNUMBER(SEARCH("unable to locate acct",G1138)),ISNUMBER(SEARCH("unknown",G1138)),ISNUMBER(SEARCH("inactive",G1138)),H1138=""),0,1)</f>
        <v>1</v>
      </c>
    </row>
    <row r="1139" spans="1:22" hidden="1">
      <c r="A1139" s="2">
        <v>45919</v>
      </c>
      <c r="B1139" s="1" t="s">
        <v>2747</v>
      </c>
      <c r="C1139" s="1" t="s">
        <v>2748</v>
      </c>
      <c r="D1139" s="1" t="s">
        <v>57</v>
      </c>
      <c r="E1139" s="1">
        <v>85013</v>
      </c>
      <c r="F1139" s="1" t="s">
        <v>2749</v>
      </c>
      <c r="G1139" s="1" t="s">
        <v>2140</v>
      </c>
      <c r="H1139" s="4" t="s">
        <v>2750</v>
      </c>
      <c r="I1139" s="5" t="s">
        <v>30</v>
      </c>
      <c r="J1139" s="5" t="s">
        <v>31</v>
      </c>
      <c r="K1139" s="5" t="s">
        <v>31</v>
      </c>
      <c r="L1139" s="5" t="s">
        <v>1429</v>
      </c>
      <c r="M1139" s="5" t="s">
        <v>31</v>
      </c>
      <c r="N1139" s="5" t="s">
        <v>31</v>
      </c>
      <c r="O1139" s="5" t="s">
        <v>32</v>
      </c>
      <c r="P1139" s="5" t="s">
        <v>33</v>
      </c>
      <c r="Q1139" s="2">
        <v>45960</v>
      </c>
      <c r="R1139" s="1" t="s">
        <v>2751</v>
      </c>
      <c r="V1139" s="45">
        <f>IF(OR(ISNUMBER(SEARCH("unable to locate acct",G1139)),ISNUMBER(SEARCH("unknown",G1139)),ISNUMBER(SEARCH("inactive",G1139)),H1139=""),0,1)</f>
        <v>1</v>
      </c>
    </row>
    <row r="1140" spans="1:22" hidden="1">
      <c r="A1140" s="2">
        <v>45919</v>
      </c>
      <c r="B1140" s="1" t="s">
        <v>2138</v>
      </c>
      <c r="C1140" s="1" t="s">
        <v>2139</v>
      </c>
      <c r="D1140" s="1" t="s">
        <v>106</v>
      </c>
      <c r="E1140" s="1">
        <v>85388</v>
      </c>
      <c r="F1140" s="1" t="s">
        <v>304</v>
      </c>
      <c r="G1140" s="1" t="s">
        <v>2140</v>
      </c>
      <c r="H1140" s="4" t="s">
        <v>2141</v>
      </c>
      <c r="I1140" s="5" t="s">
        <v>40</v>
      </c>
      <c r="J1140" s="5" t="s">
        <v>31</v>
      </c>
      <c r="K1140" s="5" t="s">
        <v>31</v>
      </c>
      <c r="L1140" s="5" t="s">
        <v>1429</v>
      </c>
      <c r="M1140" s="5" t="s">
        <v>31</v>
      </c>
      <c r="N1140" s="5" t="s">
        <v>31</v>
      </c>
      <c r="O1140" s="5" t="s">
        <v>32</v>
      </c>
      <c r="P1140" s="5" t="s">
        <v>33</v>
      </c>
      <c r="Q1140" s="2">
        <v>45960</v>
      </c>
      <c r="V1140" s="45">
        <f>IF(OR(ISNUMBER(SEARCH("unable to locate acct",G1140)),ISNUMBER(SEARCH("unknown",G1140)),ISNUMBER(SEARCH("inactive",G1140)),H1140=""),0,1)</f>
        <v>1</v>
      </c>
    </row>
    <row r="1141" spans="1:22" hidden="1">
      <c r="A1141" s="2">
        <v>45919</v>
      </c>
      <c r="B1141" s="1" t="s">
        <v>2752</v>
      </c>
      <c r="C1141" s="1" t="s">
        <v>2753</v>
      </c>
      <c r="D1141" s="1" t="s">
        <v>57</v>
      </c>
      <c r="E1141" s="1">
        <v>85021</v>
      </c>
      <c r="F1141" s="1" t="s">
        <v>2754</v>
      </c>
      <c r="G1141" s="1" t="s">
        <v>2140</v>
      </c>
      <c r="H1141" s="4" t="s">
        <v>21</v>
      </c>
      <c r="V1141" s="45">
        <f>IF(OR(ISNUMBER(SEARCH("unable to locate acct",G1141)),ISNUMBER(SEARCH("unknown",G1141)),ISNUMBER(SEARCH("inactive",G1141)),H1141=""),0,1)</f>
        <v>1</v>
      </c>
    </row>
    <row r="1142" spans="1:22" hidden="1">
      <c r="A1142" s="2">
        <v>45919</v>
      </c>
      <c r="B1142" s="1" t="s">
        <v>2755</v>
      </c>
      <c r="C1142" s="1" t="s">
        <v>1212</v>
      </c>
      <c r="D1142" s="1" t="s">
        <v>106</v>
      </c>
      <c r="E1142" s="1">
        <v>85374</v>
      </c>
      <c r="F1142" s="1" t="s">
        <v>2756</v>
      </c>
      <c r="G1142" s="1" t="s">
        <v>2140</v>
      </c>
      <c r="H1142" s="4" t="s">
        <v>2757</v>
      </c>
      <c r="I1142" s="5" t="s">
        <v>30</v>
      </c>
      <c r="J1142" s="5" t="s">
        <v>31</v>
      </c>
      <c r="K1142" s="5" t="s">
        <v>31</v>
      </c>
      <c r="L1142" s="5" t="s">
        <v>1429</v>
      </c>
      <c r="M1142" s="5" t="s">
        <v>31</v>
      </c>
      <c r="N1142" s="5" t="s">
        <v>31</v>
      </c>
      <c r="O1142" s="5" t="s">
        <v>32</v>
      </c>
      <c r="P1142" s="5" t="s">
        <v>33</v>
      </c>
      <c r="Q1142" s="2">
        <v>45960</v>
      </c>
      <c r="V1142" s="45">
        <f>IF(OR(ISNUMBER(SEARCH("unable to locate acct",G1142)),ISNUMBER(SEARCH("unknown",G1142)),ISNUMBER(SEARCH("inactive",G1142)),H1142=""),0,1)</f>
        <v>1</v>
      </c>
    </row>
    <row r="1143" spans="1:22" hidden="1">
      <c r="A1143" s="2">
        <v>45922</v>
      </c>
      <c r="B1143" s="1" t="s">
        <v>2758</v>
      </c>
      <c r="C1143" s="1" t="s">
        <v>111</v>
      </c>
      <c r="D1143" s="1" t="s">
        <v>2759</v>
      </c>
      <c r="E1143" s="1">
        <v>85120</v>
      </c>
      <c r="F1143" s="1" t="s">
        <v>2760</v>
      </c>
      <c r="G1143" s="1" t="s">
        <v>2140</v>
      </c>
      <c r="H1143" s="4" t="s">
        <v>21</v>
      </c>
      <c r="V1143" s="45">
        <f>IF(OR(ISNUMBER(SEARCH("unable to locate acct",G1143)),ISNUMBER(SEARCH("unknown",G1143)),ISNUMBER(SEARCH("inactive",G1143)),H1143=""),0,1)</f>
        <v>1</v>
      </c>
    </row>
    <row r="1144" spans="1:22" hidden="1">
      <c r="A1144" s="2">
        <v>45921</v>
      </c>
      <c r="B1144" s="1" t="s">
        <v>2761</v>
      </c>
      <c r="C1144" s="1" t="s">
        <v>188</v>
      </c>
      <c r="D1144" s="1" t="s">
        <v>626</v>
      </c>
      <c r="E1144" s="1">
        <v>85281</v>
      </c>
      <c r="F1144" s="1" t="s">
        <v>2762</v>
      </c>
      <c r="G1144" s="1" t="s">
        <v>2140</v>
      </c>
      <c r="H1144" s="4" t="s">
        <v>2763</v>
      </c>
      <c r="I1144" s="5" t="s">
        <v>30</v>
      </c>
      <c r="J1144" s="5" t="s">
        <v>31</v>
      </c>
      <c r="K1144" s="5" t="s">
        <v>31</v>
      </c>
      <c r="L1144" s="5" t="s">
        <v>393</v>
      </c>
      <c r="M1144" s="5" t="s">
        <v>31</v>
      </c>
      <c r="N1144" s="5" t="s">
        <v>31</v>
      </c>
      <c r="O1144" s="5" t="s">
        <v>32</v>
      </c>
      <c r="P1144" s="5" t="s">
        <v>33</v>
      </c>
      <c r="Q1144" s="2">
        <v>45960</v>
      </c>
      <c r="V1144" s="45">
        <f>IF(OR(ISNUMBER(SEARCH("unable to locate acct",G1144)),ISNUMBER(SEARCH("unknown",G1144)),ISNUMBER(SEARCH("inactive",G1144)),H1144=""),0,1)</f>
        <v>1</v>
      </c>
    </row>
    <row r="1145" spans="1:22" hidden="1">
      <c r="A1145" s="2">
        <v>45921</v>
      </c>
      <c r="B1145" s="1" t="s">
        <v>2764</v>
      </c>
      <c r="C1145" s="1" t="s">
        <v>429</v>
      </c>
      <c r="D1145" s="1" t="s">
        <v>106</v>
      </c>
      <c r="E1145" s="1">
        <v>85379</v>
      </c>
      <c r="F1145" s="1" t="s">
        <v>2765</v>
      </c>
      <c r="G1145" s="1" t="s">
        <v>2140</v>
      </c>
      <c r="H1145" s="4" t="s">
        <v>84</v>
      </c>
      <c r="V1145" s="45">
        <f>IF(OR(ISNUMBER(SEARCH("unable to locate acct",G1145)),ISNUMBER(SEARCH("unknown",G1145)),ISNUMBER(SEARCH("inactive",G1145)),H1145=""),0,1)</f>
        <v>1</v>
      </c>
    </row>
    <row r="1146" spans="1:22" hidden="1">
      <c r="A1146" s="2">
        <v>45921</v>
      </c>
      <c r="B1146" s="1" t="s">
        <v>2766</v>
      </c>
      <c r="C1146" s="1" t="s">
        <v>296</v>
      </c>
      <c r="D1146" s="1" t="s">
        <v>57</v>
      </c>
      <c r="E1146" s="1">
        <v>85087</v>
      </c>
      <c r="F1146" s="1" t="s">
        <v>2767</v>
      </c>
      <c r="G1146" s="1" t="s">
        <v>2140</v>
      </c>
      <c r="H1146" s="4" t="s">
        <v>21</v>
      </c>
      <c r="V1146" s="45">
        <f>IF(OR(ISNUMBER(SEARCH("unable to locate acct",G1146)),ISNUMBER(SEARCH("unknown",G1146)),ISNUMBER(SEARCH("inactive",G1146)),H1146=""),0,1)</f>
        <v>1</v>
      </c>
    </row>
    <row r="1147" spans="1:22" hidden="1">
      <c r="A1147" s="2">
        <v>45922</v>
      </c>
      <c r="B1147" s="1" t="s">
        <v>2768</v>
      </c>
      <c r="C1147" s="1" t="s">
        <v>539</v>
      </c>
      <c r="D1147" s="1" t="s">
        <v>123</v>
      </c>
      <c r="E1147" s="1">
        <v>85296</v>
      </c>
      <c r="F1147" s="1" t="s">
        <v>2769</v>
      </c>
      <c r="G1147" s="1" t="s">
        <v>2140</v>
      </c>
      <c r="H1147" s="4" t="s">
        <v>2770</v>
      </c>
      <c r="I1147" s="5" t="s">
        <v>30</v>
      </c>
      <c r="J1147" s="5" t="s">
        <v>31</v>
      </c>
      <c r="K1147" s="5" t="s">
        <v>31</v>
      </c>
      <c r="L1147" s="5" t="s">
        <v>1429</v>
      </c>
      <c r="M1147" s="5" t="s">
        <v>32</v>
      </c>
      <c r="N1147" s="15">
        <v>507.13</v>
      </c>
      <c r="O1147" s="5" t="s">
        <v>32</v>
      </c>
      <c r="P1147" s="7"/>
      <c r="Q1147" s="2">
        <v>45960</v>
      </c>
      <c r="R1147" s="1" t="s">
        <v>486</v>
      </c>
      <c r="V1147" s="45">
        <f>IF(OR(ISNUMBER(SEARCH("unable to locate acct",G1147)),ISNUMBER(SEARCH("unknown",G1147)),ISNUMBER(SEARCH("inactive",G1147)),H1147=""),0,1)</f>
        <v>1</v>
      </c>
    </row>
    <row r="1148" spans="1:22" hidden="1">
      <c r="A1148" s="2">
        <v>45922</v>
      </c>
      <c r="B1148" s="1" t="s">
        <v>2771</v>
      </c>
      <c r="C1148" s="1" t="s">
        <v>602</v>
      </c>
      <c r="D1148" s="1" t="s">
        <v>57</v>
      </c>
      <c r="E1148" s="1">
        <v>85023</v>
      </c>
      <c r="F1148" s="1" t="s">
        <v>2772</v>
      </c>
      <c r="G1148" s="1" t="s">
        <v>2140</v>
      </c>
      <c r="H1148" s="4" t="s">
        <v>2773</v>
      </c>
      <c r="I1148" s="5" t="s">
        <v>30</v>
      </c>
      <c r="J1148" s="5" t="s">
        <v>32</v>
      </c>
      <c r="K1148" s="5" t="s">
        <v>31</v>
      </c>
      <c r="L1148" s="5" t="s">
        <v>393</v>
      </c>
      <c r="M1148" s="5" t="s">
        <v>31</v>
      </c>
      <c r="N1148" s="5" t="s">
        <v>31</v>
      </c>
      <c r="O1148" s="5" t="s">
        <v>32</v>
      </c>
      <c r="P1148" s="5" t="s">
        <v>33</v>
      </c>
      <c r="Q1148" s="2">
        <v>45960</v>
      </c>
      <c r="V1148" s="45">
        <f>IF(OR(ISNUMBER(SEARCH("unable to locate acct",G1148)),ISNUMBER(SEARCH("unknown",G1148)),ISNUMBER(SEARCH("inactive",G1148)),H1148=""),0,1)</f>
        <v>1</v>
      </c>
    </row>
    <row r="1149" spans="1:22" hidden="1">
      <c r="A1149" s="2">
        <v>45922</v>
      </c>
      <c r="B1149" s="1" t="s">
        <v>1983</v>
      </c>
      <c r="C1149" s="1" t="s">
        <v>2774</v>
      </c>
      <c r="D1149" s="1" t="s">
        <v>24</v>
      </c>
      <c r="E1149" s="1" t="s">
        <v>24</v>
      </c>
      <c r="F1149" s="1" t="s">
        <v>25</v>
      </c>
      <c r="G1149" s="1" t="s">
        <v>2140</v>
      </c>
      <c r="H1149" s="4" t="s">
        <v>203</v>
      </c>
      <c r="V1149" s="45">
        <f>IF(OR(ISNUMBER(SEARCH("unable to locate acct",G1149)),ISNUMBER(SEARCH("unknown",G1149)),ISNUMBER(SEARCH("inactive",G1149)),H1149=""),0,1)</f>
        <v>1</v>
      </c>
    </row>
    <row r="1150" spans="1:22" hidden="1">
      <c r="A1150" s="2">
        <v>45922</v>
      </c>
      <c r="B1150" s="1" t="s">
        <v>2775</v>
      </c>
      <c r="C1150" s="1" t="s">
        <v>2776</v>
      </c>
      <c r="D1150" s="1" t="s">
        <v>24</v>
      </c>
      <c r="E1150" s="1" t="s">
        <v>24</v>
      </c>
      <c r="F1150" s="1" t="s">
        <v>2777</v>
      </c>
      <c r="G1150" s="1" t="s">
        <v>2140</v>
      </c>
      <c r="H1150" s="4" t="s">
        <v>2778</v>
      </c>
      <c r="I1150" s="5" t="s">
        <v>30</v>
      </c>
      <c r="J1150" s="5" t="s">
        <v>31</v>
      </c>
      <c r="K1150" s="5" t="s">
        <v>31</v>
      </c>
      <c r="L1150" s="5" t="s">
        <v>1429</v>
      </c>
      <c r="M1150" s="5" t="s">
        <v>31</v>
      </c>
      <c r="N1150" s="5" t="s">
        <v>31</v>
      </c>
      <c r="O1150" s="5" t="s">
        <v>32</v>
      </c>
      <c r="P1150" s="5" t="s">
        <v>33</v>
      </c>
      <c r="Q1150" s="2">
        <v>45960</v>
      </c>
      <c r="V1150" s="45">
        <f>IF(OR(ISNUMBER(SEARCH("unable to locate acct",G1150)),ISNUMBER(SEARCH("unknown",G1150)),ISNUMBER(SEARCH("inactive",G1150)),H1150=""),0,1)</f>
        <v>1</v>
      </c>
    </row>
    <row r="1151" spans="1:22" hidden="1">
      <c r="A1151" s="2">
        <v>45919</v>
      </c>
      <c r="B1151" s="1" t="s">
        <v>2779</v>
      </c>
      <c r="C1151" s="1" t="s">
        <v>816</v>
      </c>
      <c r="D1151" s="1" t="s">
        <v>79</v>
      </c>
      <c r="E1151" s="1">
        <v>86323</v>
      </c>
      <c r="F1151" s="1" t="s">
        <v>2780</v>
      </c>
      <c r="G1151" s="1" t="s">
        <v>2140</v>
      </c>
      <c r="H1151" s="4" t="s">
        <v>2781</v>
      </c>
      <c r="I1151" s="5" t="s">
        <v>67</v>
      </c>
      <c r="J1151" s="5" t="s">
        <v>31</v>
      </c>
      <c r="K1151" s="5" t="s">
        <v>31</v>
      </c>
      <c r="L1151" s="5" t="s">
        <v>1429</v>
      </c>
      <c r="M1151" s="5" t="s">
        <v>31</v>
      </c>
      <c r="N1151" s="5" t="s">
        <v>31</v>
      </c>
      <c r="O1151" s="5" t="s">
        <v>32</v>
      </c>
      <c r="P1151" s="5" t="s">
        <v>33</v>
      </c>
      <c r="Q1151" s="2">
        <v>45960</v>
      </c>
      <c r="V1151" s="45">
        <f>IF(OR(ISNUMBER(SEARCH("unable to locate acct",G1151)),ISNUMBER(SEARCH("unknown",G1151)),ISNUMBER(SEARCH("inactive",G1151)),H1151=""),0,1)</f>
        <v>1</v>
      </c>
    </row>
    <row r="1152" spans="1:22" hidden="1">
      <c r="A1152" s="2">
        <v>45922</v>
      </c>
      <c r="B1152" s="1" t="s">
        <v>2058</v>
      </c>
      <c r="C1152" s="1" t="s">
        <v>2782</v>
      </c>
      <c r="D1152" s="1" t="s">
        <v>57</v>
      </c>
      <c r="E1152" s="1">
        <v>85012</v>
      </c>
      <c r="F1152" s="1" t="s">
        <v>2783</v>
      </c>
      <c r="G1152" s="1" t="s">
        <v>2784</v>
      </c>
      <c r="H1152" s="4" t="s">
        <v>5037</v>
      </c>
      <c r="I1152" s="5" t="s">
        <v>30</v>
      </c>
      <c r="J1152" s="5" t="s">
        <v>31</v>
      </c>
      <c r="K1152" s="5" t="s">
        <v>31</v>
      </c>
      <c r="L1152" s="7" t="s">
        <v>2785</v>
      </c>
      <c r="M1152" s="5" t="s">
        <v>31</v>
      </c>
      <c r="N1152" s="5" t="s">
        <v>31</v>
      </c>
      <c r="O1152" s="5" t="s">
        <v>32</v>
      </c>
      <c r="P1152" s="2">
        <v>45940</v>
      </c>
      <c r="Q1152" s="2">
        <v>45960</v>
      </c>
      <c r="R1152" s="1" t="s">
        <v>2786</v>
      </c>
      <c r="V1152" s="45">
        <f>IF(OR(ISNUMBER(SEARCH("unable to locate acct",G1152)),ISNUMBER(SEARCH("unknown",G1152)),ISNUMBER(SEARCH("inactive",G1152)),H1152=""),0,1)</f>
        <v>1</v>
      </c>
    </row>
    <row r="1153" spans="1:22" hidden="1">
      <c r="A1153" s="2">
        <v>45922</v>
      </c>
      <c r="B1153" s="1" t="s">
        <v>2787</v>
      </c>
      <c r="C1153" s="1" t="s">
        <v>178</v>
      </c>
      <c r="D1153" s="1" t="s">
        <v>24</v>
      </c>
      <c r="E1153" s="1" t="s">
        <v>24</v>
      </c>
      <c r="F1153" s="1" t="s">
        <v>2788</v>
      </c>
      <c r="G1153" s="1" t="s">
        <v>2784</v>
      </c>
      <c r="H1153" s="4" t="s">
        <v>21</v>
      </c>
      <c r="V1153" s="45">
        <f>IF(OR(ISNUMBER(SEARCH("unable to locate acct",G1153)),ISNUMBER(SEARCH("unknown",G1153)),ISNUMBER(SEARCH("inactive",G1153)),H1153=""),0,1)</f>
        <v>1</v>
      </c>
    </row>
    <row r="1154" spans="1:22" ht="11.45" hidden="1" customHeight="1">
      <c r="A1154" s="2">
        <v>45922</v>
      </c>
      <c r="B1154" s="1" t="s">
        <v>2789</v>
      </c>
      <c r="C1154" s="1" t="s">
        <v>246</v>
      </c>
      <c r="D1154" s="1" t="s">
        <v>106</v>
      </c>
      <c r="E1154" s="1">
        <v>85378</v>
      </c>
      <c r="F1154" s="1" t="s">
        <v>2790</v>
      </c>
      <c r="G1154" s="1" t="s">
        <v>2784</v>
      </c>
      <c r="H1154" s="4" t="s">
        <v>21</v>
      </c>
      <c r="V1154" s="45">
        <f>IF(OR(ISNUMBER(SEARCH("unable to locate acct",G1154)),ISNUMBER(SEARCH("unknown",G1154)),ISNUMBER(SEARCH("inactive",G1154)),H1154=""),0,1)</f>
        <v>1</v>
      </c>
    </row>
    <row r="1155" spans="1:22" ht="11.45" hidden="1" customHeight="1">
      <c r="A1155" s="2">
        <v>45922</v>
      </c>
      <c r="B1155" s="1" t="s">
        <v>2791</v>
      </c>
      <c r="C1155" s="1" t="s">
        <v>193</v>
      </c>
      <c r="D1155" s="1" t="s">
        <v>168</v>
      </c>
      <c r="E1155" s="1">
        <v>85326</v>
      </c>
      <c r="F1155" s="1" t="s">
        <v>304</v>
      </c>
      <c r="G1155" s="1" t="s">
        <v>2784</v>
      </c>
      <c r="H1155" s="4" t="s">
        <v>2792</v>
      </c>
      <c r="I1155" s="5" t="s">
        <v>30</v>
      </c>
      <c r="J1155" s="5" t="s">
        <v>31</v>
      </c>
      <c r="K1155" s="5" t="s">
        <v>31</v>
      </c>
      <c r="L1155" s="5" t="s">
        <v>1429</v>
      </c>
      <c r="M1155" s="5" t="s">
        <v>31</v>
      </c>
      <c r="N1155" s="5" t="s">
        <v>31</v>
      </c>
      <c r="O1155" s="5" t="s">
        <v>32</v>
      </c>
      <c r="P1155" s="5" t="s">
        <v>33</v>
      </c>
      <c r="Q1155" s="2">
        <v>45960</v>
      </c>
      <c r="V1155" s="45">
        <f>IF(OR(ISNUMBER(SEARCH("unable to locate acct",G1155)),ISNUMBER(SEARCH("unknown",G1155)),ISNUMBER(SEARCH("inactive",G1155)),H1155=""),0,1)</f>
        <v>1</v>
      </c>
    </row>
    <row r="1156" spans="1:22" ht="11.45" hidden="1" customHeight="1">
      <c r="A1156" s="2">
        <v>45922</v>
      </c>
      <c r="B1156" s="1" t="s">
        <v>2793</v>
      </c>
      <c r="C1156" s="1" t="s">
        <v>2794</v>
      </c>
      <c r="D1156" s="1" t="s">
        <v>234</v>
      </c>
      <c r="E1156" s="1">
        <v>85340</v>
      </c>
      <c r="F1156" s="1" t="s">
        <v>2795</v>
      </c>
      <c r="G1156" s="1" t="s">
        <v>2784</v>
      </c>
      <c r="H1156" s="4" t="s">
        <v>2796</v>
      </c>
      <c r="I1156" s="5" t="s">
        <v>30</v>
      </c>
      <c r="J1156" s="5" t="s">
        <v>31</v>
      </c>
      <c r="K1156" s="5" t="s">
        <v>31</v>
      </c>
      <c r="L1156" s="5" t="s">
        <v>1429</v>
      </c>
      <c r="M1156" s="5" t="s">
        <v>31</v>
      </c>
      <c r="N1156" s="5" t="s">
        <v>31</v>
      </c>
      <c r="O1156" s="5" t="s">
        <v>32</v>
      </c>
      <c r="P1156" s="5" t="s">
        <v>33</v>
      </c>
      <c r="Q1156" s="2">
        <v>45960</v>
      </c>
      <c r="V1156" s="45">
        <f>IF(OR(ISNUMBER(SEARCH("unable to locate acct",G1156)),ISNUMBER(SEARCH("unknown",G1156)),ISNUMBER(SEARCH("inactive",G1156)),H1156=""),0,1)</f>
        <v>1</v>
      </c>
    </row>
    <row r="1157" spans="1:22" ht="11.45" hidden="1" customHeight="1">
      <c r="A1157" s="2">
        <v>45922</v>
      </c>
      <c r="B1157" s="1" t="s">
        <v>263</v>
      </c>
      <c r="C1157" s="1" t="s">
        <v>2434</v>
      </c>
      <c r="D1157" s="1" t="s">
        <v>196</v>
      </c>
      <c r="E1157" s="1">
        <v>85383</v>
      </c>
      <c r="F1157" s="1" t="s">
        <v>2797</v>
      </c>
      <c r="G1157" s="1" t="s">
        <v>2784</v>
      </c>
      <c r="H1157" s="4" t="s">
        <v>2798</v>
      </c>
      <c r="I1157" s="5" t="s">
        <v>190</v>
      </c>
      <c r="J1157" s="5" t="s">
        <v>31</v>
      </c>
      <c r="K1157" s="5" t="s">
        <v>31</v>
      </c>
      <c r="L1157" s="5" t="s">
        <v>2799</v>
      </c>
      <c r="M1157" s="5" t="s">
        <v>31</v>
      </c>
      <c r="N1157" s="5" t="s">
        <v>31</v>
      </c>
      <c r="O1157" s="5" t="s">
        <v>32</v>
      </c>
      <c r="P1157" s="5" t="s">
        <v>33</v>
      </c>
      <c r="Q1157" s="2">
        <v>45960</v>
      </c>
      <c r="V1157" s="45">
        <f>IF(OR(ISNUMBER(SEARCH("unable to locate acct",G1157)),ISNUMBER(SEARCH("unknown",G1157)),ISNUMBER(SEARCH("inactive",G1157)),H1157=""),0,1)</f>
        <v>1</v>
      </c>
    </row>
    <row r="1158" spans="1:22" ht="11.45" hidden="1" customHeight="1">
      <c r="A1158" s="2">
        <v>45922</v>
      </c>
      <c r="B1158" s="1" t="s">
        <v>2800</v>
      </c>
      <c r="C1158" s="1" t="s">
        <v>2776</v>
      </c>
      <c r="D1158" s="1" t="s">
        <v>119</v>
      </c>
      <c r="E1158" s="1">
        <v>85254</v>
      </c>
      <c r="F1158" s="1" t="s">
        <v>304</v>
      </c>
      <c r="G1158" s="1" t="s">
        <v>2784</v>
      </c>
      <c r="H1158" s="4" t="s">
        <v>2801</v>
      </c>
      <c r="I1158" s="5" t="s">
        <v>190</v>
      </c>
      <c r="J1158" s="5" t="s">
        <v>31</v>
      </c>
      <c r="K1158" s="5" t="s">
        <v>31</v>
      </c>
      <c r="L1158" s="5" t="s">
        <v>2802</v>
      </c>
      <c r="M1158" s="5" t="s">
        <v>31</v>
      </c>
      <c r="N1158" s="5" t="s">
        <v>31</v>
      </c>
      <c r="O1158" s="5" t="s">
        <v>32</v>
      </c>
      <c r="P1158" s="5" t="s">
        <v>33</v>
      </c>
      <c r="Q1158" s="2">
        <v>45960</v>
      </c>
      <c r="V1158" s="45">
        <f>IF(OR(ISNUMBER(SEARCH("unable to locate acct",G1158)),ISNUMBER(SEARCH("unknown",G1158)),ISNUMBER(SEARCH("inactive",G1158)),H1158=""),0,1)</f>
        <v>1</v>
      </c>
    </row>
    <row r="1159" spans="1:22" ht="11.45" hidden="1" customHeight="1">
      <c r="A1159" s="2">
        <v>45922</v>
      </c>
      <c r="B1159" s="1" t="s">
        <v>2803</v>
      </c>
      <c r="C1159" s="1" t="s">
        <v>1840</v>
      </c>
      <c r="D1159" s="1" t="s">
        <v>168</v>
      </c>
      <c r="E1159" s="1">
        <v>85326</v>
      </c>
      <c r="F1159" s="1" t="s">
        <v>2804</v>
      </c>
      <c r="G1159" s="1" t="s">
        <v>2784</v>
      </c>
      <c r="H1159" s="4" t="s">
        <v>2805</v>
      </c>
      <c r="I1159" s="5" t="s">
        <v>40</v>
      </c>
      <c r="J1159" s="5" t="s">
        <v>31</v>
      </c>
      <c r="K1159" s="5" t="s">
        <v>31</v>
      </c>
      <c r="L1159" s="7" t="s">
        <v>2806</v>
      </c>
      <c r="M1159" s="5" t="s">
        <v>32</v>
      </c>
      <c r="N1159" s="15">
        <v>333.26</v>
      </c>
      <c r="O1159" s="5" t="s">
        <v>32</v>
      </c>
      <c r="P1159" s="29">
        <v>45940</v>
      </c>
      <c r="Q1159" s="2">
        <v>45960</v>
      </c>
      <c r="R1159" s="1" t="s">
        <v>2655</v>
      </c>
      <c r="V1159" s="45">
        <f>IF(OR(ISNUMBER(SEARCH("unable to locate acct",G1159)),ISNUMBER(SEARCH("unknown",G1159)),ISNUMBER(SEARCH("inactive",G1159)),H1159=""),0,1)</f>
        <v>1</v>
      </c>
    </row>
    <row r="1160" spans="1:22" ht="11.45" hidden="1" customHeight="1">
      <c r="A1160" s="2">
        <v>45922</v>
      </c>
      <c r="B1160" s="1" t="s">
        <v>2807</v>
      </c>
      <c r="C1160" s="1" t="s">
        <v>1141</v>
      </c>
      <c r="D1160" s="1" t="s">
        <v>1813</v>
      </c>
      <c r="E1160" s="1">
        <v>86327</v>
      </c>
      <c r="F1160" s="1" t="s">
        <v>2808</v>
      </c>
      <c r="G1160" s="1" t="s">
        <v>2784</v>
      </c>
      <c r="H1160" s="4" t="s">
        <v>2809</v>
      </c>
      <c r="I1160" s="5" t="s">
        <v>40</v>
      </c>
      <c r="J1160" s="5" t="s">
        <v>31</v>
      </c>
      <c r="K1160" s="5" t="s">
        <v>31</v>
      </c>
      <c r="L1160" s="5" t="s">
        <v>1429</v>
      </c>
      <c r="M1160" s="5" t="s">
        <v>31</v>
      </c>
      <c r="N1160" s="5" t="s">
        <v>31</v>
      </c>
      <c r="O1160" s="5" t="s">
        <v>32</v>
      </c>
      <c r="P1160" s="5" t="s">
        <v>33</v>
      </c>
      <c r="Q1160" s="2">
        <v>45960</v>
      </c>
      <c r="V1160" s="45">
        <f>IF(OR(ISNUMBER(SEARCH("unable to locate acct",G1160)),ISNUMBER(SEARCH("unknown",G1160)),ISNUMBER(SEARCH("inactive",G1160)),H1160=""),0,1)</f>
        <v>1</v>
      </c>
    </row>
    <row r="1161" spans="1:22" ht="11.45" hidden="1" customHeight="1">
      <c r="A1161" s="2">
        <v>45922</v>
      </c>
      <c r="B1161" s="1" t="s">
        <v>2810</v>
      </c>
      <c r="C1161" s="1" t="s">
        <v>768</v>
      </c>
      <c r="D1161" s="1" t="s">
        <v>420</v>
      </c>
      <c r="E1161" s="1">
        <v>85335</v>
      </c>
      <c r="F1161" s="1" t="s">
        <v>2811</v>
      </c>
      <c r="G1161" s="1" t="s">
        <v>2784</v>
      </c>
      <c r="H1161" s="4" t="s">
        <v>84</v>
      </c>
      <c r="V1161" s="45">
        <f>IF(OR(ISNUMBER(SEARCH("unable to locate acct",G1161)),ISNUMBER(SEARCH("unknown",G1161)),ISNUMBER(SEARCH("inactive",G1161)),H1161=""),0,1)</f>
        <v>1</v>
      </c>
    </row>
    <row r="1162" spans="1:22" ht="11.45" hidden="1" customHeight="1">
      <c r="A1162" s="2">
        <v>45922</v>
      </c>
      <c r="B1162" s="1" t="s">
        <v>2812</v>
      </c>
      <c r="C1162" s="1" t="s">
        <v>2813</v>
      </c>
      <c r="D1162" s="1" t="s">
        <v>106</v>
      </c>
      <c r="E1162" s="1">
        <v>85379</v>
      </c>
      <c r="F1162" s="1" t="s">
        <v>2814</v>
      </c>
      <c r="G1162" s="1" t="s">
        <v>2784</v>
      </c>
      <c r="H1162" s="4" t="s">
        <v>5100</v>
      </c>
      <c r="I1162" s="5" t="s">
        <v>244</v>
      </c>
      <c r="J1162" s="5" t="s">
        <v>31</v>
      </c>
      <c r="K1162" s="5" t="s">
        <v>31</v>
      </c>
      <c r="L1162" s="5" t="s">
        <v>32</v>
      </c>
      <c r="M1162" s="5" t="s">
        <v>32</v>
      </c>
      <c r="N1162" s="13">
        <v>309.36</v>
      </c>
      <c r="O1162" s="5" t="s">
        <v>32</v>
      </c>
      <c r="P1162" s="5" t="s">
        <v>33</v>
      </c>
      <c r="Q1162" s="2">
        <v>45960</v>
      </c>
      <c r="V1162" s="45">
        <f>IF(OR(ISNUMBER(SEARCH("unable to locate acct",G1162)),ISNUMBER(SEARCH("unknown",G1162)),ISNUMBER(SEARCH("inactive",G1162)),H1162=""),0,1)</f>
        <v>1</v>
      </c>
    </row>
    <row r="1163" spans="1:22" ht="11.45" hidden="1" customHeight="1">
      <c r="A1163" s="2">
        <v>45922</v>
      </c>
      <c r="B1163" s="1" t="s">
        <v>2189</v>
      </c>
      <c r="C1163" s="1" t="s">
        <v>111</v>
      </c>
      <c r="D1163" s="1" t="s">
        <v>801</v>
      </c>
      <c r="E1163" s="1">
        <v>86303</v>
      </c>
      <c r="F1163" s="1" t="s">
        <v>2815</v>
      </c>
      <c r="G1163" s="1" t="s">
        <v>2784</v>
      </c>
      <c r="H1163" s="4" t="s">
        <v>5325</v>
      </c>
      <c r="I1163" s="5" t="s">
        <v>67</v>
      </c>
      <c r="J1163" s="5" t="s">
        <v>31</v>
      </c>
      <c r="K1163" s="5" t="s">
        <v>31</v>
      </c>
      <c r="L1163" s="5" t="s">
        <v>32</v>
      </c>
      <c r="M1163" s="5" t="s">
        <v>31</v>
      </c>
      <c r="N1163" s="5" t="s">
        <v>31</v>
      </c>
      <c r="O1163" s="5" t="s">
        <v>32</v>
      </c>
      <c r="P1163" s="5" t="s">
        <v>33</v>
      </c>
      <c r="Q1163" s="2">
        <v>45960</v>
      </c>
      <c r="V1163" s="45">
        <f>IF(OR(ISNUMBER(SEARCH("unable to locate acct",G1163)),ISNUMBER(SEARCH("unknown",G1163)),ISNUMBER(SEARCH("inactive",G1163)),H1163=""),0,1)</f>
        <v>1</v>
      </c>
    </row>
    <row r="1164" spans="1:22" ht="11.45" hidden="1" customHeight="1">
      <c r="A1164" s="2">
        <v>45922</v>
      </c>
      <c r="B1164" s="1" t="s">
        <v>2816</v>
      </c>
      <c r="C1164" s="1" t="s">
        <v>1170</v>
      </c>
      <c r="D1164" s="1" t="s">
        <v>168</v>
      </c>
      <c r="E1164" s="1">
        <v>85326</v>
      </c>
      <c r="F1164" s="1" t="s">
        <v>2817</v>
      </c>
      <c r="G1164" s="1" t="s">
        <v>2784</v>
      </c>
      <c r="H1164" s="4" t="s">
        <v>5101</v>
      </c>
      <c r="I1164" s="5" t="s">
        <v>30</v>
      </c>
      <c r="J1164" s="5" t="s">
        <v>31</v>
      </c>
      <c r="K1164" s="5" t="s">
        <v>31</v>
      </c>
      <c r="L1164" s="5" t="s">
        <v>32</v>
      </c>
      <c r="M1164" s="5" t="s">
        <v>32</v>
      </c>
      <c r="N1164" s="15">
        <v>1027.99</v>
      </c>
      <c r="O1164" s="5" t="s">
        <v>32</v>
      </c>
      <c r="P1164" s="7"/>
      <c r="Q1164" s="2">
        <v>45960</v>
      </c>
      <c r="R1164" s="1" t="s">
        <v>486</v>
      </c>
      <c r="V1164" s="45">
        <f>IF(OR(ISNUMBER(SEARCH("unable to locate acct",G1164)),ISNUMBER(SEARCH("unknown",G1164)),ISNUMBER(SEARCH("inactive",G1164)),H1164=""),0,1)</f>
        <v>1</v>
      </c>
    </row>
    <row r="1165" spans="1:22" ht="11.45" hidden="1" customHeight="1">
      <c r="A1165" s="2">
        <v>45922</v>
      </c>
      <c r="B1165" s="1" t="s">
        <v>358</v>
      </c>
      <c r="C1165" s="1" t="s">
        <v>250</v>
      </c>
      <c r="D1165" s="1" t="s">
        <v>168</v>
      </c>
      <c r="E1165" s="1">
        <v>85326</v>
      </c>
      <c r="F1165" s="1" t="s">
        <v>2818</v>
      </c>
      <c r="G1165" s="1" t="s">
        <v>2784</v>
      </c>
      <c r="H1165" s="4" t="s">
        <v>21</v>
      </c>
      <c r="V1165" s="45">
        <f>IF(OR(ISNUMBER(SEARCH("unable to locate acct",G1165)),ISNUMBER(SEARCH("unknown",G1165)),ISNUMBER(SEARCH("inactive",G1165)),H1165=""),0,1)</f>
        <v>1</v>
      </c>
    </row>
    <row r="1166" spans="1:22" ht="11.45" hidden="1" customHeight="1">
      <c r="A1166" s="2">
        <v>45922</v>
      </c>
      <c r="B1166" s="1" t="s">
        <v>2819</v>
      </c>
      <c r="C1166" s="1" t="s">
        <v>615</v>
      </c>
      <c r="D1166" s="1" t="s">
        <v>168</v>
      </c>
      <c r="E1166" s="1">
        <v>85326</v>
      </c>
      <c r="F1166" s="1" t="s">
        <v>2820</v>
      </c>
      <c r="G1166" s="1" t="s">
        <v>2784</v>
      </c>
      <c r="H1166" s="4" t="s">
        <v>21</v>
      </c>
      <c r="V1166" s="45">
        <f>IF(OR(ISNUMBER(SEARCH("unable to locate acct",G1166)),ISNUMBER(SEARCH("unknown",G1166)),ISNUMBER(SEARCH("inactive",G1166)),H1166=""),0,1)</f>
        <v>1</v>
      </c>
    </row>
    <row r="1167" spans="1:22" ht="11.45" hidden="1" customHeight="1">
      <c r="A1167" s="2">
        <v>45922</v>
      </c>
      <c r="B1167" s="1" t="s">
        <v>2821</v>
      </c>
      <c r="C1167" s="1" t="s">
        <v>2822</v>
      </c>
      <c r="D1167" s="1" t="s">
        <v>106</v>
      </c>
      <c r="E1167" s="1">
        <v>85387</v>
      </c>
      <c r="F1167" s="1" t="s">
        <v>2823</v>
      </c>
      <c r="G1167" s="1" t="s">
        <v>2784</v>
      </c>
      <c r="H1167" s="4" t="s">
        <v>5326</v>
      </c>
      <c r="I1167" s="5" t="s">
        <v>30</v>
      </c>
      <c r="J1167" s="5" t="s">
        <v>31</v>
      </c>
      <c r="K1167" s="5" t="s">
        <v>31</v>
      </c>
      <c r="L1167" s="5" t="s">
        <v>32</v>
      </c>
      <c r="M1167" s="5" t="s">
        <v>31</v>
      </c>
      <c r="N1167" s="5" t="s">
        <v>31</v>
      </c>
      <c r="O1167" s="5" t="s">
        <v>32</v>
      </c>
      <c r="P1167" s="5" t="s">
        <v>33</v>
      </c>
      <c r="Q1167" s="2">
        <v>45960</v>
      </c>
      <c r="V1167" s="45">
        <f>IF(OR(ISNUMBER(SEARCH("unable to locate acct",G1167)),ISNUMBER(SEARCH("unknown",G1167)),ISNUMBER(SEARCH("inactive",G1167)),H1167=""),0,1)</f>
        <v>1</v>
      </c>
    </row>
    <row r="1168" spans="1:22" ht="11.45" hidden="1" customHeight="1">
      <c r="A1168" s="2">
        <v>45922</v>
      </c>
      <c r="B1168" s="1" t="s">
        <v>2824</v>
      </c>
      <c r="C1168" s="1" t="s">
        <v>1818</v>
      </c>
      <c r="D1168" s="1" t="s">
        <v>689</v>
      </c>
      <c r="E1168" s="1">
        <v>85375</v>
      </c>
      <c r="F1168" s="1" t="s">
        <v>2825</v>
      </c>
      <c r="G1168" s="1" t="s">
        <v>2826</v>
      </c>
      <c r="H1168" s="4" t="s">
        <v>21</v>
      </c>
      <c r="V1168" s="45">
        <f>IF(OR(ISNUMBER(SEARCH("unable to locate acct",G1168)),ISNUMBER(SEARCH("unknown",G1168)),ISNUMBER(SEARCH("inactive",G1168)),H1168=""),0,1)</f>
        <v>1</v>
      </c>
    </row>
    <row r="1169" spans="1:22" ht="11.45" hidden="1" customHeight="1">
      <c r="A1169" s="2">
        <v>45922</v>
      </c>
      <c r="B1169" s="1" t="s">
        <v>2827</v>
      </c>
      <c r="C1169" s="1" t="s">
        <v>2828</v>
      </c>
      <c r="D1169" s="1" t="s">
        <v>168</v>
      </c>
      <c r="E1169" s="1">
        <v>85326</v>
      </c>
      <c r="F1169" s="1" t="s">
        <v>2823</v>
      </c>
      <c r="G1169" s="1" t="s">
        <v>2826</v>
      </c>
      <c r="H1169" s="4" t="s">
        <v>5102</v>
      </c>
      <c r="I1169" s="5" t="s">
        <v>30</v>
      </c>
      <c r="J1169" s="5" t="s">
        <v>32</v>
      </c>
      <c r="K1169" s="5" t="s">
        <v>31</v>
      </c>
      <c r="L1169" s="5" t="s">
        <v>32</v>
      </c>
      <c r="M1169" s="5" t="s">
        <v>32</v>
      </c>
      <c r="N1169" s="15">
        <v>771.64</v>
      </c>
      <c r="O1169" s="5" t="s">
        <v>32</v>
      </c>
      <c r="P1169" s="7"/>
      <c r="Q1169" s="2">
        <v>45960</v>
      </c>
      <c r="R1169" s="1" t="s">
        <v>486</v>
      </c>
      <c r="V1169" s="45">
        <f>IF(OR(ISNUMBER(SEARCH("unable to locate acct",G1169)),ISNUMBER(SEARCH("unknown",G1169)),ISNUMBER(SEARCH("inactive",G1169)),H1169=""),0,1)</f>
        <v>1</v>
      </c>
    </row>
    <row r="1170" spans="1:22" ht="11.45" hidden="1" customHeight="1">
      <c r="A1170" s="2">
        <v>45922</v>
      </c>
      <c r="B1170" s="1" t="s">
        <v>2829</v>
      </c>
      <c r="C1170" s="1" t="s">
        <v>2830</v>
      </c>
      <c r="D1170" s="1" t="s">
        <v>57</v>
      </c>
      <c r="E1170" s="1">
        <v>85022</v>
      </c>
      <c r="F1170" s="1" t="s">
        <v>2831</v>
      </c>
      <c r="G1170" s="1" t="s">
        <v>2832</v>
      </c>
      <c r="H1170" s="4" t="s">
        <v>5327</v>
      </c>
      <c r="I1170" s="5" t="s">
        <v>120</v>
      </c>
      <c r="J1170" s="5" t="s">
        <v>32</v>
      </c>
      <c r="K1170" s="5" t="s">
        <v>31</v>
      </c>
      <c r="L1170" s="5" t="s">
        <v>32</v>
      </c>
      <c r="M1170" s="5" t="s">
        <v>31</v>
      </c>
      <c r="N1170" s="5" t="s">
        <v>31</v>
      </c>
      <c r="O1170" s="5" t="s">
        <v>32</v>
      </c>
      <c r="P1170" s="5" t="s">
        <v>33</v>
      </c>
      <c r="Q1170" s="2">
        <v>45960</v>
      </c>
      <c r="V1170" s="45">
        <f>IF(OR(ISNUMBER(SEARCH("unable to locate acct",G1170)),ISNUMBER(SEARCH("unknown",G1170)),ISNUMBER(SEARCH("inactive",G1170)),H1170=""),0,1)</f>
        <v>1</v>
      </c>
    </row>
    <row r="1171" spans="1:22" ht="11.45" hidden="1" customHeight="1">
      <c r="A1171" s="2">
        <v>45923</v>
      </c>
      <c r="B1171" s="1" t="s">
        <v>2833</v>
      </c>
      <c r="C1171" s="1" t="s">
        <v>2834</v>
      </c>
      <c r="D1171" s="1" t="s">
        <v>168</v>
      </c>
      <c r="E1171" s="1">
        <v>85326</v>
      </c>
      <c r="F1171" s="1" t="s">
        <v>2835</v>
      </c>
      <c r="G1171" s="1" t="s">
        <v>2826</v>
      </c>
      <c r="H1171" s="4" t="s">
        <v>5038</v>
      </c>
      <c r="I1171" s="5" t="s">
        <v>190</v>
      </c>
      <c r="J1171" s="5" t="s">
        <v>31</v>
      </c>
      <c r="K1171" s="5" t="s">
        <v>31</v>
      </c>
      <c r="L1171" s="7" t="s">
        <v>2836</v>
      </c>
      <c r="M1171" s="5" t="s">
        <v>31</v>
      </c>
      <c r="N1171" s="5" t="s">
        <v>31</v>
      </c>
      <c r="O1171" s="5" t="s">
        <v>32</v>
      </c>
      <c r="P1171" s="2">
        <v>45940</v>
      </c>
      <c r="Q1171" s="2">
        <v>45960</v>
      </c>
      <c r="R1171" s="1" t="s">
        <v>2837</v>
      </c>
      <c r="V1171" s="45">
        <f>IF(OR(ISNUMBER(SEARCH("unable to locate acct",G1171)),ISNUMBER(SEARCH("unknown",G1171)),ISNUMBER(SEARCH("inactive",G1171)),H1171=""),0,1)</f>
        <v>1</v>
      </c>
    </row>
    <row r="1172" spans="1:22" ht="11.45" hidden="1" customHeight="1">
      <c r="A1172" s="2">
        <v>45923</v>
      </c>
      <c r="B1172" s="1" t="s">
        <v>2838</v>
      </c>
      <c r="C1172" s="1" t="s">
        <v>278</v>
      </c>
      <c r="D1172" s="1" t="s">
        <v>168</v>
      </c>
      <c r="E1172" s="1">
        <v>85326</v>
      </c>
      <c r="F1172" s="1" t="s">
        <v>2839</v>
      </c>
      <c r="G1172" s="1" t="s">
        <v>2826</v>
      </c>
      <c r="H1172" s="4" t="s">
        <v>5328</v>
      </c>
      <c r="I1172" s="5" t="s">
        <v>40</v>
      </c>
      <c r="J1172" s="5" t="s">
        <v>31</v>
      </c>
      <c r="K1172" s="5" t="s">
        <v>31</v>
      </c>
      <c r="L1172" s="5" t="s">
        <v>32</v>
      </c>
      <c r="M1172" s="5" t="s">
        <v>31</v>
      </c>
      <c r="N1172" s="5" t="s">
        <v>31</v>
      </c>
      <c r="O1172" s="5" t="s">
        <v>32</v>
      </c>
      <c r="P1172" s="5" t="s">
        <v>33</v>
      </c>
      <c r="Q1172" s="2">
        <v>45960</v>
      </c>
      <c r="V1172" s="45">
        <f>IF(OR(ISNUMBER(SEARCH("unable to locate acct",G1172)),ISNUMBER(SEARCH("unknown",G1172)),ISNUMBER(SEARCH("inactive",G1172)),H1172=""),0,1)</f>
        <v>1</v>
      </c>
    </row>
    <row r="1173" spans="1:22" ht="11.45" hidden="1" customHeight="1">
      <c r="A1173" s="2">
        <v>45923</v>
      </c>
      <c r="B1173" s="1" t="s">
        <v>2840</v>
      </c>
      <c r="C1173" s="1" t="s">
        <v>1467</v>
      </c>
      <c r="D1173" s="1" t="s">
        <v>163</v>
      </c>
      <c r="E1173" s="1">
        <v>85338</v>
      </c>
      <c r="F1173" s="1" t="s">
        <v>2841</v>
      </c>
      <c r="G1173" s="1" t="s">
        <v>2826</v>
      </c>
      <c r="H1173" s="4" t="s">
        <v>21</v>
      </c>
      <c r="V1173" s="45">
        <f>IF(OR(ISNUMBER(SEARCH("unable to locate acct",G1173)),ISNUMBER(SEARCH("unknown",G1173)),ISNUMBER(SEARCH("inactive",G1173)),H1173=""),0,1)</f>
        <v>1</v>
      </c>
    </row>
    <row r="1174" spans="1:22" ht="11.45" hidden="1" customHeight="1">
      <c r="A1174" s="2">
        <v>45923</v>
      </c>
      <c r="B1174" s="1" t="s">
        <v>2842</v>
      </c>
      <c r="C1174" s="1" t="s">
        <v>2843</v>
      </c>
      <c r="D1174" s="1" t="s">
        <v>57</v>
      </c>
      <c r="E1174" s="1">
        <v>85022</v>
      </c>
      <c r="F1174" s="1" t="s">
        <v>2844</v>
      </c>
      <c r="G1174" s="1" t="s">
        <v>2826</v>
      </c>
      <c r="H1174" s="21" t="s">
        <v>5675</v>
      </c>
      <c r="I1174" s="5" t="s">
        <v>30</v>
      </c>
      <c r="J1174" s="5" t="s">
        <v>31</v>
      </c>
      <c r="K1174" s="5" t="s">
        <v>31</v>
      </c>
      <c r="L1174" s="5" t="s">
        <v>32</v>
      </c>
      <c r="M1174" s="5" t="s">
        <v>32</v>
      </c>
      <c r="N1174" s="15">
        <v>1080.4000000000001</v>
      </c>
      <c r="O1174" s="5" t="s">
        <v>32</v>
      </c>
      <c r="Q1174" s="2">
        <v>45960</v>
      </c>
      <c r="R1174" s="1" t="s">
        <v>486</v>
      </c>
      <c r="V1174" s="45">
        <f>IF(OR(ISNUMBER(SEARCH("unable to locate acct",G1174)),ISNUMBER(SEARCH("unknown",G1174)),ISNUMBER(SEARCH("inactive",G1174)),H1174=""),0,1)</f>
        <v>1</v>
      </c>
    </row>
    <row r="1175" spans="1:22" ht="11.45" hidden="1" customHeight="1">
      <c r="A1175" s="2">
        <v>45923</v>
      </c>
      <c r="B1175" s="1" t="s">
        <v>2845</v>
      </c>
      <c r="C1175" s="1" t="s">
        <v>2846</v>
      </c>
      <c r="D1175" s="1" t="s">
        <v>420</v>
      </c>
      <c r="E1175" s="1">
        <v>85335</v>
      </c>
      <c r="F1175" s="1" t="s">
        <v>2847</v>
      </c>
      <c r="G1175" s="1" t="s">
        <v>2848</v>
      </c>
      <c r="H1175" s="4" t="s">
        <v>21</v>
      </c>
      <c r="V1175" s="45">
        <f>IF(OR(ISNUMBER(SEARCH("unable to locate acct",G1175)),ISNUMBER(SEARCH("unknown",G1175)),ISNUMBER(SEARCH("inactive",G1175)),H1175=""),0,1)</f>
        <v>1</v>
      </c>
    </row>
    <row r="1176" spans="1:22" ht="11.45" hidden="1" customHeight="1">
      <c r="A1176" s="2">
        <v>45923</v>
      </c>
      <c r="B1176" s="1" t="s">
        <v>885</v>
      </c>
      <c r="C1176" s="1" t="s">
        <v>257</v>
      </c>
      <c r="D1176" s="1" t="s">
        <v>234</v>
      </c>
      <c r="E1176" s="1">
        <v>85340</v>
      </c>
      <c r="F1176" s="1" t="s">
        <v>2849</v>
      </c>
      <c r="G1176" s="1" t="s">
        <v>2826</v>
      </c>
      <c r="H1176" s="4" t="s">
        <v>5329</v>
      </c>
      <c r="I1176" s="5" t="s">
        <v>30</v>
      </c>
      <c r="J1176" s="5" t="s">
        <v>31</v>
      </c>
      <c r="K1176" s="5" t="s">
        <v>31</v>
      </c>
      <c r="L1176" s="5" t="s">
        <v>32</v>
      </c>
      <c r="M1176" s="5" t="s">
        <v>31</v>
      </c>
      <c r="N1176" s="5" t="s">
        <v>31</v>
      </c>
      <c r="O1176" s="5" t="s">
        <v>32</v>
      </c>
      <c r="P1176" s="5" t="s">
        <v>33</v>
      </c>
      <c r="Q1176" s="2">
        <v>45960</v>
      </c>
      <c r="V1176" s="45">
        <f>IF(OR(ISNUMBER(SEARCH("unable to locate acct",G1176)),ISNUMBER(SEARCH("unknown",G1176)),ISNUMBER(SEARCH("inactive",G1176)),H1176=""),0,1)</f>
        <v>1</v>
      </c>
    </row>
    <row r="1177" spans="1:22" ht="11.45" hidden="1" customHeight="1">
      <c r="A1177" s="2">
        <v>45924</v>
      </c>
      <c r="B1177" s="1" t="s">
        <v>2747</v>
      </c>
      <c r="C1177" s="1" t="s">
        <v>2748</v>
      </c>
      <c r="D1177" s="1" t="s">
        <v>57</v>
      </c>
      <c r="E1177" s="1">
        <v>85013</v>
      </c>
      <c r="F1177" s="1" t="s">
        <v>2850</v>
      </c>
      <c r="G1177" s="1" t="s">
        <v>2851</v>
      </c>
      <c r="H1177" s="4" t="s">
        <v>2750</v>
      </c>
      <c r="I1177" s="5" t="s">
        <v>30</v>
      </c>
      <c r="J1177" s="5" t="s">
        <v>31</v>
      </c>
      <c r="K1177" s="5" t="s">
        <v>31</v>
      </c>
      <c r="L1177" s="5" t="s">
        <v>32</v>
      </c>
      <c r="M1177" s="5" t="s">
        <v>31</v>
      </c>
      <c r="N1177" s="5" t="s">
        <v>31</v>
      </c>
      <c r="O1177" s="5" t="s">
        <v>32</v>
      </c>
      <c r="P1177" s="5" t="s">
        <v>33</v>
      </c>
      <c r="Q1177" s="2">
        <v>45960</v>
      </c>
      <c r="R1177" s="1" t="s">
        <v>2142</v>
      </c>
      <c r="V1177" s="45">
        <f>IF(OR(ISNUMBER(SEARCH("unable to locate acct",G1177)),ISNUMBER(SEARCH("unknown",G1177)),ISNUMBER(SEARCH("inactive",G1177)),H1177=""),0,1)</f>
        <v>1</v>
      </c>
    </row>
    <row r="1178" spans="1:22" ht="11.45" hidden="1" customHeight="1">
      <c r="A1178" s="2">
        <v>44098</v>
      </c>
      <c r="B1178" s="1" t="s">
        <v>2852</v>
      </c>
      <c r="C1178" s="1" t="s">
        <v>2853</v>
      </c>
      <c r="D1178" s="1" t="s">
        <v>2854</v>
      </c>
      <c r="E1178" s="1">
        <v>86322</v>
      </c>
      <c r="F1178" s="1" t="s">
        <v>2855</v>
      </c>
      <c r="G1178" s="1" t="s">
        <v>2851</v>
      </c>
      <c r="H1178" s="21" t="s">
        <v>5676</v>
      </c>
      <c r="I1178" s="5" t="s">
        <v>51</v>
      </c>
      <c r="J1178" s="5" t="s">
        <v>31</v>
      </c>
      <c r="K1178" s="5" t="s">
        <v>31</v>
      </c>
      <c r="L1178" s="7" t="s">
        <v>2856</v>
      </c>
      <c r="M1178" s="5" t="s">
        <v>31</v>
      </c>
      <c r="N1178" s="5" t="s">
        <v>31</v>
      </c>
      <c r="O1178" s="5" t="s">
        <v>32</v>
      </c>
      <c r="P1178" s="2">
        <v>45940</v>
      </c>
      <c r="Q1178" s="2">
        <v>45960</v>
      </c>
      <c r="R1178" s="1" t="s">
        <v>2655</v>
      </c>
      <c r="V1178" s="45">
        <f>IF(OR(ISNUMBER(SEARCH("unable to locate acct",G1178)),ISNUMBER(SEARCH("unknown",G1178)),ISNUMBER(SEARCH("inactive",G1178)),H1178=""),0,1)</f>
        <v>1</v>
      </c>
    </row>
    <row r="1179" spans="1:22" ht="11.45" hidden="1" customHeight="1">
      <c r="A1179" s="2">
        <v>45924</v>
      </c>
      <c r="B1179" s="1" t="s">
        <v>2857</v>
      </c>
      <c r="C1179" s="1" t="s">
        <v>2549</v>
      </c>
      <c r="D1179" s="1" t="s">
        <v>106</v>
      </c>
      <c r="E1179" s="1">
        <v>85387</v>
      </c>
      <c r="F1179" s="1" t="s">
        <v>2858</v>
      </c>
      <c r="G1179" s="1" t="s">
        <v>2851</v>
      </c>
      <c r="H1179" s="4" t="s">
        <v>203</v>
      </c>
      <c r="V1179" s="45">
        <f>IF(OR(ISNUMBER(SEARCH("unable to locate acct",G1179)),ISNUMBER(SEARCH("unknown",G1179)),ISNUMBER(SEARCH("inactive",G1179)),H1179=""),0,1)</f>
        <v>1</v>
      </c>
    </row>
    <row r="1180" spans="1:22" ht="11.45" hidden="1" customHeight="1">
      <c r="A1180" s="2">
        <v>45925</v>
      </c>
      <c r="B1180" s="1" t="s">
        <v>2859</v>
      </c>
      <c r="C1180" s="1" t="s">
        <v>129</v>
      </c>
      <c r="D1180" s="1" t="s">
        <v>258</v>
      </c>
      <c r="E1180" s="1">
        <v>85541</v>
      </c>
      <c r="F1180" s="1" t="s">
        <v>2860</v>
      </c>
      <c r="G1180" s="1" t="s">
        <v>2851</v>
      </c>
      <c r="H1180" s="4" t="s">
        <v>5330</v>
      </c>
      <c r="I1180" s="5" t="s">
        <v>67</v>
      </c>
      <c r="J1180" s="5" t="s">
        <v>31</v>
      </c>
      <c r="K1180" s="5" t="s">
        <v>31</v>
      </c>
      <c r="L1180" s="5" t="s">
        <v>32</v>
      </c>
      <c r="M1180" s="5" t="s">
        <v>31</v>
      </c>
      <c r="N1180" s="5" t="s">
        <v>31</v>
      </c>
      <c r="O1180" s="5" t="s">
        <v>32</v>
      </c>
      <c r="P1180" s="5" t="s">
        <v>33</v>
      </c>
      <c r="Q1180" s="2">
        <v>45960</v>
      </c>
      <c r="V1180" s="45">
        <f>IF(OR(ISNUMBER(SEARCH("unable to locate acct",G1180)),ISNUMBER(SEARCH("unknown",G1180)),ISNUMBER(SEARCH("inactive",G1180)),H1180=""),0,1)</f>
        <v>1</v>
      </c>
    </row>
    <row r="1181" spans="1:22" ht="11.45" hidden="1" customHeight="1">
      <c r="A1181" s="2">
        <v>45925</v>
      </c>
      <c r="B1181" s="1" t="s">
        <v>2861</v>
      </c>
      <c r="C1181" s="1" t="s">
        <v>139</v>
      </c>
      <c r="D1181" s="1" t="s">
        <v>57</v>
      </c>
      <c r="E1181" s="1">
        <v>85032</v>
      </c>
      <c r="F1181" s="1" t="s">
        <v>2862</v>
      </c>
      <c r="G1181" s="1" t="s">
        <v>2851</v>
      </c>
      <c r="H1181" s="4" t="s">
        <v>5331</v>
      </c>
      <c r="I1181" s="5" t="s">
        <v>1501</v>
      </c>
      <c r="J1181" s="5" t="s">
        <v>31</v>
      </c>
      <c r="K1181" s="5" t="s">
        <v>31</v>
      </c>
      <c r="L1181" s="5" t="s">
        <v>32</v>
      </c>
      <c r="M1181" s="5" t="s">
        <v>31</v>
      </c>
      <c r="N1181" s="5" t="s">
        <v>31</v>
      </c>
      <c r="O1181" s="5" t="s">
        <v>32</v>
      </c>
      <c r="P1181" s="5" t="s">
        <v>33</v>
      </c>
      <c r="Q1181" s="2">
        <v>45960</v>
      </c>
      <c r="R1181" s="30" t="s">
        <v>2863</v>
      </c>
      <c r="V1181" s="45">
        <f>IF(OR(ISNUMBER(SEARCH("unable to locate acct",G1181)),ISNUMBER(SEARCH("unknown",G1181)),ISNUMBER(SEARCH("inactive",G1181)),H1181=""),0,1)</f>
        <v>1</v>
      </c>
    </row>
    <row r="1182" spans="1:22" ht="11.45" hidden="1" customHeight="1">
      <c r="A1182" s="2">
        <v>45925</v>
      </c>
      <c r="B1182" s="1" t="s">
        <v>2864</v>
      </c>
      <c r="C1182" s="1" t="s">
        <v>588</v>
      </c>
      <c r="D1182" s="1" t="s">
        <v>801</v>
      </c>
      <c r="E1182" s="1">
        <v>86301</v>
      </c>
      <c r="F1182" s="1" t="s">
        <v>2865</v>
      </c>
      <c r="G1182" s="1" t="s">
        <v>2851</v>
      </c>
      <c r="H1182" s="21" t="s">
        <v>5677</v>
      </c>
      <c r="I1182" s="5" t="s">
        <v>40</v>
      </c>
      <c r="J1182" s="5" t="s">
        <v>31</v>
      </c>
      <c r="K1182" s="5" t="s">
        <v>31</v>
      </c>
      <c r="L1182" s="5" t="s">
        <v>32</v>
      </c>
      <c r="M1182" s="5" t="s">
        <v>31</v>
      </c>
      <c r="N1182" s="5" t="s">
        <v>31</v>
      </c>
      <c r="O1182" s="5" t="s">
        <v>32</v>
      </c>
      <c r="P1182" s="5" t="s">
        <v>33</v>
      </c>
      <c r="Q1182" s="2">
        <v>45960</v>
      </c>
      <c r="V1182" s="45">
        <f>IF(OR(ISNUMBER(SEARCH("unable to locate acct",G1182)),ISNUMBER(SEARCH("unknown",G1182)),ISNUMBER(SEARCH("inactive",G1182)),H1182=""),0,1)</f>
        <v>1</v>
      </c>
    </row>
    <row r="1183" spans="1:22" ht="11.45" hidden="1" customHeight="1">
      <c r="A1183" s="2">
        <v>45926</v>
      </c>
      <c r="B1183" s="1" t="s">
        <v>2866</v>
      </c>
      <c r="C1183" s="1" t="s">
        <v>429</v>
      </c>
      <c r="D1183" s="1" t="s">
        <v>79</v>
      </c>
      <c r="E1183" s="1">
        <v>86323</v>
      </c>
      <c r="F1183" s="1" t="s">
        <v>2867</v>
      </c>
      <c r="G1183" s="1" t="s">
        <v>2868</v>
      </c>
      <c r="H1183" s="21" t="s">
        <v>5332</v>
      </c>
      <c r="I1183" s="5" t="s">
        <v>120</v>
      </c>
      <c r="J1183" s="5" t="s">
        <v>31</v>
      </c>
      <c r="K1183" s="5" t="s">
        <v>31</v>
      </c>
      <c r="L1183" s="5" t="s">
        <v>32</v>
      </c>
      <c r="M1183" s="5" t="s">
        <v>31</v>
      </c>
      <c r="N1183" s="5" t="s">
        <v>31</v>
      </c>
      <c r="O1183" s="5" t="s">
        <v>32</v>
      </c>
      <c r="P1183" s="5" t="s">
        <v>33</v>
      </c>
      <c r="Q1183" s="2">
        <v>45960</v>
      </c>
      <c r="V1183" s="45">
        <f>IF(OR(ISNUMBER(SEARCH("unable to locate acct",G1183)),ISNUMBER(SEARCH("unknown",G1183)),ISNUMBER(SEARCH("inactive",G1183)),H1183=""),0,1)</f>
        <v>1</v>
      </c>
    </row>
    <row r="1184" spans="1:22" ht="11.45" hidden="1" customHeight="1">
      <c r="A1184" s="2">
        <v>45926</v>
      </c>
      <c r="B1184" s="1" t="s">
        <v>240</v>
      </c>
      <c r="C1184" s="1" t="s">
        <v>2869</v>
      </c>
      <c r="D1184" s="1" t="s">
        <v>87</v>
      </c>
      <c r="E1184" s="1">
        <v>85351</v>
      </c>
      <c r="F1184" s="1" t="s">
        <v>2870</v>
      </c>
      <c r="G1184" s="1" t="s">
        <v>2871</v>
      </c>
      <c r="H1184" s="4" t="s">
        <v>21</v>
      </c>
      <c r="V1184" s="45">
        <f>IF(OR(ISNUMBER(SEARCH("unable to locate acct",G1184)),ISNUMBER(SEARCH("unknown",G1184)),ISNUMBER(SEARCH("inactive",G1184)),H1184=""),0,1)</f>
        <v>1</v>
      </c>
    </row>
    <row r="1185" spans="1:22" ht="11.45" hidden="1" customHeight="1">
      <c r="A1185" s="2">
        <v>45926</v>
      </c>
      <c r="B1185" s="1" t="s">
        <v>2872</v>
      </c>
      <c r="C1185" s="1" t="s">
        <v>1560</v>
      </c>
      <c r="D1185" s="1" t="s">
        <v>234</v>
      </c>
      <c r="E1185" s="1">
        <v>85340</v>
      </c>
      <c r="F1185" s="1" t="s">
        <v>2873</v>
      </c>
      <c r="G1185" s="1" t="s">
        <v>2868</v>
      </c>
      <c r="H1185" s="4" t="s">
        <v>5333</v>
      </c>
      <c r="I1185" s="5" t="s">
        <v>30</v>
      </c>
      <c r="J1185" s="5" t="s">
        <v>31</v>
      </c>
      <c r="K1185" s="5" t="s">
        <v>31</v>
      </c>
      <c r="L1185" s="5" t="s">
        <v>32</v>
      </c>
      <c r="M1185" s="5" t="s">
        <v>31</v>
      </c>
      <c r="N1185" s="5" t="s">
        <v>31</v>
      </c>
      <c r="O1185" s="5" t="s">
        <v>32</v>
      </c>
      <c r="P1185" s="5" t="s">
        <v>33</v>
      </c>
      <c r="Q1185" s="2">
        <v>45960</v>
      </c>
      <c r="V1185" s="45">
        <f>IF(OR(ISNUMBER(SEARCH("unable to locate acct",G1185)),ISNUMBER(SEARCH("unknown",G1185)),ISNUMBER(SEARCH("inactive",G1185)),H1185=""),0,1)</f>
        <v>1</v>
      </c>
    </row>
    <row r="1186" spans="1:22" ht="11.45" hidden="1" customHeight="1">
      <c r="A1186" s="2">
        <v>45927</v>
      </c>
      <c r="B1186" s="1" t="s">
        <v>2029</v>
      </c>
      <c r="C1186" s="1" t="s">
        <v>2532</v>
      </c>
      <c r="D1186" s="1" t="s">
        <v>18</v>
      </c>
      <c r="E1186" s="1">
        <v>85308</v>
      </c>
      <c r="F1186" s="1" t="s">
        <v>2874</v>
      </c>
      <c r="G1186" s="1" t="s">
        <v>2875</v>
      </c>
      <c r="H1186" s="4" t="s">
        <v>203</v>
      </c>
      <c r="V1186" s="45">
        <f>IF(OR(ISNUMBER(SEARCH("unable to locate acct",G1186)),ISNUMBER(SEARCH("unknown",G1186)),ISNUMBER(SEARCH("inactive",G1186)),H1186=""),0,1)</f>
        <v>1</v>
      </c>
    </row>
    <row r="1187" spans="1:22" ht="11.45" hidden="1" customHeight="1">
      <c r="A1187" s="2">
        <v>45928</v>
      </c>
      <c r="B1187" s="1" t="s">
        <v>2876</v>
      </c>
      <c r="C1187" s="1" t="s">
        <v>547</v>
      </c>
      <c r="D1187" s="1" t="s">
        <v>610</v>
      </c>
      <c r="E1187" s="1">
        <v>85367</v>
      </c>
      <c r="F1187" s="1" t="s">
        <v>2877</v>
      </c>
      <c r="G1187" s="1" t="s">
        <v>2875</v>
      </c>
      <c r="H1187" s="4" t="s">
        <v>5334</v>
      </c>
      <c r="I1187" s="5" t="s">
        <v>30</v>
      </c>
      <c r="J1187" s="5" t="s">
        <v>31</v>
      </c>
      <c r="K1187" s="5" t="s">
        <v>31</v>
      </c>
      <c r="L1187" s="5" t="s">
        <v>32</v>
      </c>
      <c r="M1187" s="5" t="s">
        <v>31</v>
      </c>
      <c r="N1187" s="5" t="s">
        <v>31</v>
      </c>
      <c r="O1187" s="5" t="s">
        <v>32</v>
      </c>
      <c r="P1187" s="5" t="s">
        <v>33</v>
      </c>
      <c r="Q1187" s="2">
        <v>45960</v>
      </c>
      <c r="V1187" s="45">
        <f>IF(OR(ISNUMBER(SEARCH("unable to locate acct",G1187)),ISNUMBER(SEARCH("unknown",G1187)),ISNUMBER(SEARCH("inactive",G1187)),H1187=""),0,1)</f>
        <v>1</v>
      </c>
    </row>
    <row r="1188" spans="1:22" ht="11.45" hidden="1" customHeight="1">
      <c r="A1188" s="2">
        <v>45928</v>
      </c>
      <c r="B1188" s="1" t="s">
        <v>2878</v>
      </c>
      <c r="C1188" s="1" t="s">
        <v>2879</v>
      </c>
      <c r="D1188" s="1" t="s">
        <v>18</v>
      </c>
      <c r="E1188" s="1">
        <v>85310</v>
      </c>
      <c r="F1188" s="1" t="s">
        <v>2880</v>
      </c>
      <c r="G1188" s="1" t="s">
        <v>2875</v>
      </c>
      <c r="H1188" s="4" t="s">
        <v>5103</v>
      </c>
      <c r="I1188" s="5" t="s">
        <v>532</v>
      </c>
      <c r="J1188" s="5" t="s">
        <v>31</v>
      </c>
      <c r="K1188" s="5" t="s">
        <v>31</v>
      </c>
      <c r="L1188" s="5" t="s">
        <v>381</v>
      </c>
      <c r="M1188" s="5" t="s">
        <v>32</v>
      </c>
      <c r="N1188" s="13">
        <v>368.4</v>
      </c>
      <c r="O1188" s="5" t="s">
        <v>32</v>
      </c>
      <c r="P1188" s="5" t="s">
        <v>33</v>
      </c>
      <c r="Q1188" s="2">
        <v>45960</v>
      </c>
      <c r="V1188" s="45">
        <f>IF(OR(ISNUMBER(SEARCH("unable to locate acct",G1188)),ISNUMBER(SEARCH("unknown",G1188)),ISNUMBER(SEARCH("inactive",G1188)),H1188=""),0,1)</f>
        <v>1</v>
      </c>
    </row>
    <row r="1189" spans="1:22" ht="11.45" hidden="1" customHeight="1">
      <c r="A1189" s="2">
        <v>45929</v>
      </c>
      <c r="B1189" s="1" t="s">
        <v>2881</v>
      </c>
      <c r="C1189" s="1" t="s">
        <v>1281</v>
      </c>
      <c r="D1189" s="1" t="s">
        <v>57</v>
      </c>
      <c r="E1189" s="1">
        <v>85086</v>
      </c>
      <c r="F1189" s="1" t="s">
        <v>2882</v>
      </c>
      <c r="G1189" s="1" t="s">
        <v>2875</v>
      </c>
      <c r="H1189" s="4" t="s">
        <v>21</v>
      </c>
      <c r="V1189" s="45">
        <f>IF(OR(ISNUMBER(SEARCH("unable to locate acct",G1189)),ISNUMBER(SEARCH("unknown",G1189)),ISNUMBER(SEARCH("inactive",G1189)),H1189=""),0,1)</f>
        <v>1</v>
      </c>
    </row>
    <row r="1190" spans="1:22" ht="11.45" hidden="1" customHeight="1">
      <c r="A1190" s="2">
        <v>45929</v>
      </c>
      <c r="B1190" s="1" t="s">
        <v>2883</v>
      </c>
      <c r="C1190" s="1" t="s">
        <v>2884</v>
      </c>
      <c r="D1190" s="1" t="s">
        <v>57</v>
      </c>
      <c r="E1190" s="1">
        <v>85050</v>
      </c>
      <c r="F1190" s="1" t="s">
        <v>2885</v>
      </c>
      <c r="G1190" s="1" t="s">
        <v>2875</v>
      </c>
      <c r="H1190" s="21" t="s">
        <v>5678</v>
      </c>
      <c r="I1190" s="5" t="s">
        <v>30</v>
      </c>
      <c r="J1190" s="5" t="s">
        <v>31</v>
      </c>
      <c r="K1190" s="5" t="s">
        <v>31</v>
      </c>
      <c r="L1190" s="5" t="s">
        <v>32</v>
      </c>
      <c r="M1190" s="5" t="s">
        <v>31</v>
      </c>
      <c r="N1190" s="5" t="s">
        <v>31</v>
      </c>
      <c r="O1190" s="5" t="s">
        <v>32</v>
      </c>
      <c r="P1190" s="5" t="s">
        <v>33</v>
      </c>
      <c r="Q1190" s="2">
        <v>45960</v>
      </c>
      <c r="V1190" s="45">
        <f>IF(OR(ISNUMBER(SEARCH("unable to locate acct",G1190)),ISNUMBER(SEARCH("unknown",G1190)),ISNUMBER(SEARCH("inactive",G1190)),H1190=""),0,1)</f>
        <v>1</v>
      </c>
    </row>
    <row r="1191" spans="1:22" ht="11.45" hidden="1" customHeight="1">
      <c r="A1191" s="2">
        <v>45930</v>
      </c>
      <c r="B1191" s="1" t="s">
        <v>2886</v>
      </c>
      <c r="C1191" s="1" t="s">
        <v>2887</v>
      </c>
      <c r="D1191" s="1" t="s">
        <v>106</v>
      </c>
      <c r="E1191" s="1">
        <v>85379</v>
      </c>
      <c r="F1191" s="1" t="s">
        <v>2888</v>
      </c>
      <c r="G1191" s="1" t="s">
        <v>2889</v>
      </c>
      <c r="H1191" s="4" t="s">
        <v>710</v>
      </c>
      <c r="I1191" s="5" t="s">
        <v>237</v>
      </c>
      <c r="J1191" s="5" t="s">
        <v>31</v>
      </c>
      <c r="K1191" s="5" t="s">
        <v>31</v>
      </c>
      <c r="L1191" s="5" t="s">
        <v>381</v>
      </c>
      <c r="M1191" s="5" t="s">
        <v>31</v>
      </c>
      <c r="N1191" s="5" t="s">
        <v>31</v>
      </c>
      <c r="O1191" s="5" t="s">
        <v>32</v>
      </c>
      <c r="P1191" s="5" t="s">
        <v>33</v>
      </c>
      <c r="Q1191" s="2">
        <v>45960</v>
      </c>
      <c r="V1191" s="45">
        <f>IF(OR(ISNUMBER(SEARCH("unable to locate acct",G1191)),ISNUMBER(SEARCH("unknown",G1191)),ISNUMBER(SEARCH("inactive",G1191)),H1191=""),0,1)</f>
        <v>1</v>
      </c>
    </row>
    <row r="1192" spans="1:22" ht="11.45" hidden="1" customHeight="1">
      <c r="A1192" s="2">
        <v>45930</v>
      </c>
      <c r="B1192" s="1" t="s">
        <v>2890</v>
      </c>
      <c r="C1192" s="1" t="s">
        <v>1001</v>
      </c>
      <c r="D1192" s="1" t="s">
        <v>119</v>
      </c>
      <c r="E1192" s="1">
        <v>85266</v>
      </c>
      <c r="F1192" s="1" t="s">
        <v>2891</v>
      </c>
      <c r="G1192" s="1" t="s">
        <v>2889</v>
      </c>
      <c r="H1192" s="4" t="s">
        <v>5335</v>
      </c>
      <c r="I1192" s="5" t="s">
        <v>30</v>
      </c>
      <c r="J1192" s="5" t="s">
        <v>31</v>
      </c>
      <c r="K1192" s="5" t="s">
        <v>31</v>
      </c>
      <c r="L1192" s="5" t="s">
        <v>32</v>
      </c>
      <c r="M1192" s="5" t="s">
        <v>31</v>
      </c>
      <c r="N1192" s="5" t="s">
        <v>31</v>
      </c>
      <c r="O1192" s="5" t="s">
        <v>32</v>
      </c>
      <c r="P1192" s="5" t="s">
        <v>33</v>
      </c>
      <c r="Q1192" s="2">
        <v>45960</v>
      </c>
      <c r="V1192" s="45">
        <f>IF(OR(ISNUMBER(SEARCH("unable to locate acct",G1192)),ISNUMBER(SEARCH("unknown",G1192)),ISNUMBER(SEARCH("inactive",G1192)),H1192=""),0,1)</f>
        <v>1</v>
      </c>
    </row>
    <row r="1193" spans="1:22" ht="11.45" hidden="1" customHeight="1">
      <c r="A1193" s="2">
        <v>45930</v>
      </c>
      <c r="B1193" s="1" t="s">
        <v>1143</v>
      </c>
      <c r="C1193" s="1" t="s">
        <v>118</v>
      </c>
      <c r="D1193" s="1" t="s">
        <v>87</v>
      </c>
      <c r="E1193" s="1">
        <v>85351</v>
      </c>
      <c r="F1193" s="1" t="s">
        <v>2892</v>
      </c>
      <c r="G1193" s="1" t="s">
        <v>2889</v>
      </c>
      <c r="H1193" s="4" t="s">
        <v>5336</v>
      </c>
      <c r="I1193" s="5" t="s">
        <v>244</v>
      </c>
      <c r="J1193" s="5" t="s">
        <v>31</v>
      </c>
      <c r="K1193" s="5" t="s">
        <v>31</v>
      </c>
      <c r="L1193" s="5" t="s">
        <v>32</v>
      </c>
      <c r="M1193" s="5" t="s">
        <v>31</v>
      </c>
      <c r="N1193" s="5" t="s">
        <v>31</v>
      </c>
      <c r="O1193" s="5" t="s">
        <v>32</v>
      </c>
      <c r="P1193" s="5" t="s">
        <v>33</v>
      </c>
      <c r="Q1193" s="2">
        <v>45960</v>
      </c>
      <c r="R1193" s="1" t="s">
        <v>2893</v>
      </c>
      <c r="V1193" s="45">
        <f>IF(OR(ISNUMBER(SEARCH("unable to locate acct",G1193)),ISNUMBER(SEARCH("unknown",G1193)),ISNUMBER(SEARCH("inactive",G1193)),H1193=""),0,1)</f>
        <v>1</v>
      </c>
    </row>
    <row r="1194" spans="1:22" ht="11.45" hidden="1" customHeight="1">
      <c r="A1194" s="2">
        <v>45930</v>
      </c>
      <c r="B1194" s="1" t="s">
        <v>2894</v>
      </c>
      <c r="C1194" s="1" t="s">
        <v>278</v>
      </c>
      <c r="D1194" s="1" t="s">
        <v>1813</v>
      </c>
      <c r="E1194" s="1">
        <v>86327</v>
      </c>
      <c r="F1194" s="1" t="s">
        <v>2895</v>
      </c>
      <c r="G1194" s="1" t="s">
        <v>2889</v>
      </c>
      <c r="H1194" s="4" t="s">
        <v>5039</v>
      </c>
      <c r="I1194" s="5" t="s">
        <v>67</v>
      </c>
      <c r="J1194" s="5" t="s">
        <v>31</v>
      </c>
      <c r="K1194" s="5" t="s">
        <v>31</v>
      </c>
      <c r="L1194" s="5" t="s">
        <v>2896</v>
      </c>
      <c r="M1194" s="5" t="s">
        <v>31</v>
      </c>
      <c r="N1194" s="5" t="s">
        <v>31</v>
      </c>
      <c r="O1194" s="5" t="s">
        <v>32</v>
      </c>
      <c r="P1194" s="5" t="s">
        <v>33</v>
      </c>
      <c r="Q1194" s="2">
        <v>45960</v>
      </c>
      <c r="R1194" s="1" t="s">
        <v>2897</v>
      </c>
      <c r="V1194" s="45">
        <f>IF(OR(ISNUMBER(SEARCH("unable to locate acct",G1194)),ISNUMBER(SEARCH("unknown",G1194)),ISNUMBER(SEARCH("inactive",G1194)),H1194=""),0,1)</f>
        <v>1</v>
      </c>
    </row>
    <row r="1195" spans="1:22" ht="11.25" hidden="1" customHeight="1">
      <c r="A1195" s="2">
        <v>45930</v>
      </c>
      <c r="B1195" s="1" t="s">
        <v>2898</v>
      </c>
      <c r="C1195" s="1" t="s">
        <v>2899</v>
      </c>
      <c r="D1195" s="1" t="s">
        <v>196</v>
      </c>
      <c r="E1195" s="1">
        <v>85345</v>
      </c>
      <c r="F1195" s="1" t="s">
        <v>304</v>
      </c>
      <c r="G1195" s="1" t="s">
        <v>2889</v>
      </c>
      <c r="H1195" s="4" t="s">
        <v>5040</v>
      </c>
      <c r="I1195" s="5" t="s">
        <v>190</v>
      </c>
      <c r="J1195" s="5" t="s">
        <v>31</v>
      </c>
      <c r="K1195" s="5" t="s">
        <v>31</v>
      </c>
      <c r="L1195" s="7" t="s">
        <v>2900</v>
      </c>
      <c r="M1195" s="5" t="s">
        <v>31</v>
      </c>
      <c r="N1195" s="5" t="s">
        <v>31</v>
      </c>
      <c r="O1195" s="5" t="s">
        <v>32</v>
      </c>
      <c r="P1195" s="2">
        <v>45940</v>
      </c>
      <c r="Q1195" s="2">
        <v>45960</v>
      </c>
      <c r="R1195" s="1" t="s">
        <v>2901</v>
      </c>
      <c r="V1195" s="45">
        <f>IF(OR(ISNUMBER(SEARCH("unable to locate acct",G1195)),ISNUMBER(SEARCH("unknown",G1195)),ISNUMBER(SEARCH("inactive",G1195)),H1195=""),0,1)</f>
        <v>1</v>
      </c>
    </row>
    <row r="1196" spans="1:22" ht="13.5" hidden="1" customHeight="1">
      <c r="A1196" s="2">
        <v>45930</v>
      </c>
      <c r="B1196" s="1" t="s">
        <v>2902</v>
      </c>
      <c r="C1196" s="1" t="s">
        <v>1929</v>
      </c>
      <c r="D1196" s="1" t="s">
        <v>163</v>
      </c>
      <c r="E1196" s="1">
        <v>85395</v>
      </c>
      <c r="F1196" s="1" t="s">
        <v>2903</v>
      </c>
      <c r="G1196" s="1" t="s">
        <v>2889</v>
      </c>
      <c r="H1196" s="4" t="s">
        <v>5041</v>
      </c>
      <c r="I1196" s="5" t="s">
        <v>40</v>
      </c>
      <c r="J1196" s="5" t="s">
        <v>31</v>
      </c>
      <c r="K1196" s="5" t="s">
        <v>31</v>
      </c>
      <c r="L1196" s="5" t="s">
        <v>2904</v>
      </c>
      <c r="M1196" s="5" t="s">
        <v>31</v>
      </c>
      <c r="N1196" s="5" t="s">
        <v>31</v>
      </c>
      <c r="O1196" s="5" t="s">
        <v>32</v>
      </c>
      <c r="P1196" s="5" t="s">
        <v>33</v>
      </c>
      <c r="Q1196" s="2">
        <v>45960</v>
      </c>
      <c r="V1196" s="45">
        <f>IF(OR(ISNUMBER(SEARCH("unable to locate acct",G1196)),ISNUMBER(SEARCH("unknown",G1196)),ISNUMBER(SEARCH("inactive",G1196)),H1196=""),0,1)</f>
        <v>1</v>
      </c>
    </row>
    <row r="1197" spans="1:22" ht="11.45" hidden="1" customHeight="1">
      <c r="A1197" s="2">
        <v>45930</v>
      </c>
      <c r="B1197" s="1" t="s">
        <v>2905</v>
      </c>
      <c r="C1197" s="1" t="s">
        <v>2906</v>
      </c>
      <c r="D1197" s="1" t="s">
        <v>168</v>
      </c>
      <c r="E1197" s="1">
        <v>85396</v>
      </c>
      <c r="F1197" s="1" t="s">
        <v>2907</v>
      </c>
      <c r="G1197" s="1" t="s">
        <v>2908</v>
      </c>
      <c r="H1197" s="4" t="s">
        <v>5042</v>
      </c>
      <c r="I1197" s="5" t="s">
        <v>962</v>
      </c>
      <c r="J1197" s="5" t="s">
        <v>31</v>
      </c>
      <c r="K1197" s="5" t="s">
        <v>31</v>
      </c>
      <c r="L1197" s="5" t="s">
        <v>2909</v>
      </c>
      <c r="M1197" s="5" t="s">
        <v>31</v>
      </c>
      <c r="N1197" s="5" t="s">
        <v>31</v>
      </c>
      <c r="O1197" s="5" t="s">
        <v>32</v>
      </c>
      <c r="P1197" s="5" t="s">
        <v>33</v>
      </c>
      <c r="Q1197" s="2">
        <v>45960</v>
      </c>
      <c r="V1197" s="45">
        <f>IF(OR(ISNUMBER(SEARCH("unable to locate acct",G1197)),ISNUMBER(SEARCH("unknown",G1197)),ISNUMBER(SEARCH("inactive",G1197)),H1197=""),0,1)</f>
        <v>1</v>
      </c>
    </row>
    <row r="1198" spans="1:22" ht="13.5" hidden="1" customHeight="1">
      <c r="A1198" s="2">
        <v>45931</v>
      </c>
      <c r="B1198" s="1" t="s">
        <v>2910</v>
      </c>
      <c r="C1198" s="1" t="s">
        <v>2911</v>
      </c>
      <c r="D1198" s="1" t="s">
        <v>57</v>
      </c>
      <c r="E1198" s="1">
        <v>85032</v>
      </c>
      <c r="F1198" s="1" t="s">
        <v>2912</v>
      </c>
      <c r="G1198" s="1" t="s">
        <v>2913</v>
      </c>
      <c r="H1198" s="4" t="s">
        <v>84</v>
      </c>
      <c r="V1198" s="45">
        <f>IF(OR(ISNUMBER(SEARCH("unable to locate acct",G1198)),ISNUMBER(SEARCH("unknown",G1198)),ISNUMBER(SEARCH("inactive",G1198)),H1198=""),0,1)</f>
        <v>1</v>
      </c>
    </row>
    <row r="1199" spans="1:22" hidden="1">
      <c r="A1199" s="2">
        <v>45932</v>
      </c>
      <c r="B1199" s="1" t="s">
        <v>2914</v>
      </c>
      <c r="C1199" s="1" t="s">
        <v>2915</v>
      </c>
      <c r="D1199" s="1" t="s">
        <v>24</v>
      </c>
      <c r="E1199" s="1" t="s">
        <v>24</v>
      </c>
      <c r="F1199" s="1" t="s">
        <v>2916</v>
      </c>
      <c r="G1199" s="1" t="s">
        <v>2917</v>
      </c>
      <c r="H1199" s="4" t="s">
        <v>5104</v>
      </c>
      <c r="I1199" s="5" t="s">
        <v>532</v>
      </c>
      <c r="J1199" s="5" t="s">
        <v>31</v>
      </c>
      <c r="K1199" s="5" t="s">
        <v>31</v>
      </c>
      <c r="L1199" s="5" t="s">
        <v>381</v>
      </c>
      <c r="M1199" s="5" t="s">
        <v>32</v>
      </c>
      <c r="N1199" s="13">
        <v>170.45</v>
      </c>
      <c r="O1199" s="5" t="s">
        <v>32</v>
      </c>
      <c r="P1199" s="5" t="s">
        <v>33</v>
      </c>
      <c r="Q1199" s="2">
        <v>45960</v>
      </c>
      <c r="V1199" s="45">
        <f>IF(OR(ISNUMBER(SEARCH("unable to locate acct",G1199)),ISNUMBER(SEARCH("unknown",G1199)),ISNUMBER(SEARCH("inactive",G1199)),H1199=""),0,1)</f>
        <v>1</v>
      </c>
    </row>
    <row r="1200" spans="1:22" hidden="1">
      <c r="A1200" s="2">
        <v>45932</v>
      </c>
      <c r="B1200" s="1" t="s">
        <v>2918</v>
      </c>
      <c r="C1200" s="1" t="s">
        <v>2919</v>
      </c>
      <c r="D1200" s="1" t="s">
        <v>123</v>
      </c>
      <c r="E1200" s="1">
        <v>85233</v>
      </c>
      <c r="F1200" s="1" t="s">
        <v>304</v>
      </c>
      <c r="G1200" s="1" t="s">
        <v>2920</v>
      </c>
      <c r="H1200" s="4" t="s">
        <v>5337</v>
      </c>
      <c r="I1200" s="5" t="s">
        <v>237</v>
      </c>
      <c r="J1200" s="5" t="s">
        <v>31</v>
      </c>
      <c r="K1200" s="5" t="s">
        <v>31</v>
      </c>
      <c r="L1200" s="5" t="s">
        <v>381</v>
      </c>
      <c r="M1200" s="5" t="s">
        <v>31</v>
      </c>
      <c r="N1200" s="5" t="s">
        <v>31</v>
      </c>
      <c r="O1200" s="5" t="s">
        <v>32</v>
      </c>
      <c r="P1200" s="5" t="s">
        <v>33</v>
      </c>
      <c r="Q1200" s="2">
        <v>45960</v>
      </c>
      <c r="V1200" s="45">
        <f>IF(OR(ISNUMBER(SEARCH("unable to locate acct",G1200)),ISNUMBER(SEARCH("unknown",G1200)),ISNUMBER(SEARCH("inactive",G1200)),H1200=""),0,1)</f>
        <v>1</v>
      </c>
    </row>
    <row r="1201" spans="1:22" hidden="1">
      <c r="A1201" s="2">
        <v>45932</v>
      </c>
      <c r="B1201" s="1" t="s">
        <v>519</v>
      </c>
      <c r="C1201" s="1" t="s">
        <v>2881</v>
      </c>
      <c r="D1201" s="1" t="s">
        <v>57</v>
      </c>
      <c r="E1201" s="1">
        <v>85085</v>
      </c>
      <c r="F1201" s="1" t="s">
        <v>2921</v>
      </c>
      <c r="G1201" s="1" t="s">
        <v>2920</v>
      </c>
      <c r="H1201" s="4" t="s">
        <v>5043</v>
      </c>
      <c r="I1201" s="5" t="s">
        <v>962</v>
      </c>
      <c r="J1201" s="5" t="s">
        <v>31</v>
      </c>
      <c r="K1201" s="5" t="s">
        <v>31</v>
      </c>
      <c r="L1201" s="5" t="s">
        <v>393</v>
      </c>
      <c r="M1201" s="5" t="s">
        <v>31</v>
      </c>
      <c r="N1201" s="5" t="s">
        <v>31</v>
      </c>
      <c r="O1201" s="5" t="s">
        <v>32</v>
      </c>
      <c r="P1201" s="5" t="s">
        <v>33</v>
      </c>
      <c r="Q1201" s="2">
        <v>45960</v>
      </c>
      <c r="R1201" s="1" t="s">
        <v>2922</v>
      </c>
      <c r="V1201" s="45">
        <f>IF(OR(ISNUMBER(SEARCH("unable to locate acct",G1201)),ISNUMBER(SEARCH("unknown",G1201)),ISNUMBER(SEARCH("inactive",G1201)),H1201=""),0,1)</f>
        <v>1</v>
      </c>
    </row>
    <row r="1202" spans="1:22" hidden="1">
      <c r="A1202" s="2">
        <v>45933</v>
      </c>
      <c r="B1202" s="1" t="s">
        <v>788</v>
      </c>
      <c r="C1202" s="1" t="s">
        <v>789</v>
      </c>
      <c r="D1202" s="1" t="s">
        <v>24</v>
      </c>
      <c r="E1202" s="1" t="s">
        <v>24</v>
      </c>
      <c r="F1202" s="1" t="s">
        <v>2923</v>
      </c>
      <c r="G1202" s="1" t="s">
        <v>2924</v>
      </c>
      <c r="H1202" s="4" t="s">
        <v>5338</v>
      </c>
      <c r="I1202" s="5" t="s">
        <v>67</v>
      </c>
      <c r="J1202" s="5" t="s">
        <v>31</v>
      </c>
      <c r="K1202" s="5" t="s">
        <v>31</v>
      </c>
      <c r="L1202" s="5" t="s">
        <v>32</v>
      </c>
      <c r="M1202" s="5" t="s">
        <v>31</v>
      </c>
      <c r="N1202" s="5" t="s">
        <v>31</v>
      </c>
      <c r="O1202" s="5" t="s">
        <v>32</v>
      </c>
      <c r="P1202" s="5" t="s">
        <v>33</v>
      </c>
      <c r="Q1202" s="2">
        <v>45960</v>
      </c>
      <c r="V1202" s="45">
        <f>IF(OR(ISNUMBER(SEARCH("unable to locate acct",G1202)),ISNUMBER(SEARCH("unknown",G1202)),ISNUMBER(SEARCH("inactive",G1202)),H1202=""),0,1)</f>
        <v>1</v>
      </c>
    </row>
    <row r="1203" spans="1:22" hidden="1">
      <c r="A1203" s="2">
        <v>45933</v>
      </c>
      <c r="B1203" s="1" t="s">
        <v>128</v>
      </c>
      <c r="C1203" s="1" t="s">
        <v>356</v>
      </c>
      <c r="D1203" s="1" t="s">
        <v>24</v>
      </c>
      <c r="E1203" s="1" t="s">
        <v>24</v>
      </c>
      <c r="F1203" s="1" t="s">
        <v>25</v>
      </c>
      <c r="G1203" s="1" t="s">
        <v>2924</v>
      </c>
      <c r="H1203" s="4" t="s">
        <v>203</v>
      </c>
      <c r="V1203" s="45">
        <f>IF(OR(ISNUMBER(SEARCH("unable to locate acct",G1203)),ISNUMBER(SEARCH("unknown",G1203)),ISNUMBER(SEARCH("inactive",G1203)),H1203=""),0,1)</f>
        <v>1</v>
      </c>
    </row>
    <row r="1204" spans="1:22" hidden="1">
      <c r="A1204" s="2">
        <v>45933</v>
      </c>
      <c r="B1204" s="1" t="s">
        <v>2925</v>
      </c>
      <c r="C1204" s="1" t="s">
        <v>82</v>
      </c>
      <c r="D1204" s="1" t="s">
        <v>62</v>
      </c>
      <c r="E1204" s="1">
        <v>85331</v>
      </c>
      <c r="F1204" s="1" t="s">
        <v>2926</v>
      </c>
      <c r="G1204" s="1" t="s">
        <v>2927</v>
      </c>
      <c r="H1204" s="4" t="s">
        <v>5339</v>
      </c>
      <c r="I1204" s="5" t="s">
        <v>30</v>
      </c>
      <c r="J1204" s="5" t="s">
        <v>31</v>
      </c>
      <c r="K1204" s="5" t="s">
        <v>31</v>
      </c>
      <c r="L1204" s="5" t="s">
        <v>32</v>
      </c>
      <c r="M1204" s="5" t="s">
        <v>31</v>
      </c>
      <c r="N1204" s="5" t="s">
        <v>31</v>
      </c>
      <c r="O1204" s="5" t="s">
        <v>32</v>
      </c>
      <c r="P1204" s="5" t="s">
        <v>33</v>
      </c>
      <c r="Q1204" s="2">
        <v>45960</v>
      </c>
      <c r="V1204" s="45">
        <f>IF(OR(ISNUMBER(SEARCH("unable to locate acct",G1204)),ISNUMBER(SEARCH("unknown",G1204)),ISNUMBER(SEARCH("inactive",G1204)),H1204=""),0,1)</f>
        <v>1</v>
      </c>
    </row>
    <row r="1205" spans="1:22" hidden="1">
      <c r="A1205" s="2">
        <v>45934</v>
      </c>
      <c r="B1205" s="1" t="s">
        <v>2928</v>
      </c>
      <c r="C1205" s="1" t="s">
        <v>1212</v>
      </c>
      <c r="D1205" s="1" t="s">
        <v>363</v>
      </c>
      <c r="E1205" s="1">
        <v>85225</v>
      </c>
      <c r="F1205" s="1" t="s">
        <v>2929</v>
      </c>
      <c r="G1205" s="1" t="s">
        <v>2930</v>
      </c>
      <c r="H1205" s="4" t="s">
        <v>710</v>
      </c>
      <c r="I1205" s="5" t="s">
        <v>2931</v>
      </c>
      <c r="J1205" s="5" t="s">
        <v>31</v>
      </c>
      <c r="K1205" s="5" t="s">
        <v>31</v>
      </c>
      <c r="L1205" s="5" t="s">
        <v>2932</v>
      </c>
      <c r="M1205" s="5" t="s">
        <v>31</v>
      </c>
      <c r="N1205" s="5" t="s">
        <v>31</v>
      </c>
      <c r="O1205" s="5" t="s">
        <v>32</v>
      </c>
      <c r="P1205" s="5" t="s">
        <v>33</v>
      </c>
      <c r="Q1205" s="2">
        <v>45954</v>
      </c>
      <c r="V1205" s="45">
        <f>IF(OR(ISNUMBER(SEARCH("unable to locate acct",G1205)),ISNUMBER(SEARCH("unknown",G1205)),ISNUMBER(SEARCH("inactive",G1205)),H1205=""),0,1)</f>
        <v>1</v>
      </c>
    </row>
    <row r="1206" spans="1:22" hidden="1">
      <c r="A1206" s="2">
        <v>45934</v>
      </c>
      <c r="B1206" s="1" t="s">
        <v>2933</v>
      </c>
      <c r="C1206" s="1" t="s">
        <v>314</v>
      </c>
      <c r="D1206" s="1" t="s">
        <v>57</v>
      </c>
      <c r="E1206" s="1">
        <v>85032</v>
      </c>
      <c r="F1206" s="1" t="s">
        <v>2934</v>
      </c>
      <c r="G1206" s="1" t="s">
        <v>2930</v>
      </c>
      <c r="H1206" s="4" t="s">
        <v>5340</v>
      </c>
      <c r="I1206" s="5" t="s">
        <v>30</v>
      </c>
      <c r="J1206" s="5" t="s">
        <v>32</v>
      </c>
      <c r="K1206" s="5" t="s">
        <v>31</v>
      </c>
      <c r="L1206" s="5" t="s">
        <v>32</v>
      </c>
      <c r="M1206" s="5" t="s">
        <v>31</v>
      </c>
      <c r="N1206" s="5" t="s">
        <v>31</v>
      </c>
      <c r="O1206" s="5" t="s">
        <v>32</v>
      </c>
      <c r="P1206" s="5" t="s">
        <v>33</v>
      </c>
      <c r="Q1206" s="2">
        <v>45954</v>
      </c>
      <c r="V1206" s="45">
        <f>IF(OR(ISNUMBER(SEARCH("unable to locate acct",G1206)),ISNUMBER(SEARCH("unknown",G1206)),ISNUMBER(SEARCH("inactive",G1206)),H1206=""),0,1)</f>
        <v>1</v>
      </c>
    </row>
    <row r="1207" spans="1:22" hidden="1">
      <c r="A1207" s="2">
        <v>45934</v>
      </c>
      <c r="B1207" s="1" t="s">
        <v>28</v>
      </c>
      <c r="C1207" s="1" t="s">
        <v>1929</v>
      </c>
      <c r="D1207" s="1" t="s">
        <v>255</v>
      </c>
      <c r="E1207" s="1">
        <v>86314</v>
      </c>
      <c r="F1207" s="1" t="s">
        <v>2935</v>
      </c>
      <c r="G1207" s="1" t="s">
        <v>2930</v>
      </c>
      <c r="H1207" s="4" t="s">
        <v>5044</v>
      </c>
      <c r="I1207" s="5" t="s">
        <v>190</v>
      </c>
      <c r="J1207" s="5" t="s">
        <v>31</v>
      </c>
      <c r="K1207" s="5" t="s">
        <v>31</v>
      </c>
      <c r="L1207" s="5" t="s">
        <v>2936</v>
      </c>
      <c r="M1207" s="5" t="s">
        <v>31</v>
      </c>
      <c r="N1207" s="5" t="s">
        <v>31</v>
      </c>
      <c r="O1207" s="5" t="s">
        <v>32</v>
      </c>
      <c r="P1207" s="5" t="s">
        <v>33</v>
      </c>
      <c r="Q1207" s="2">
        <v>45954</v>
      </c>
      <c r="V1207" s="45">
        <f>IF(OR(ISNUMBER(SEARCH("unable to locate acct",G1207)),ISNUMBER(SEARCH("unknown",G1207)),ISNUMBER(SEARCH("inactive",G1207)),H1207=""),0,1)</f>
        <v>1</v>
      </c>
    </row>
    <row r="1208" spans="1:22" hidden="1">
      <c r="A1208" s="2">
        <v>45935</v>
      </c>
      <c r="B1208" s="1" t="s">
        <v>1096</v>
      </c>
      <c r="C1208" s="1" t="s">
        <v>2937</v>
      </c>
      <c r="D1208" s="1" t="s">
        <v>728</v>
      </c>
      <c r="E1208" s="1">
        <v>86326</v>
      </c>
      <c r="F1208" s="1" t="s">
        <v>2938</v>
      </c>
      <c r="G1208" s="1" t="s">
        <v>2930</v>
      </c>
      <c r="H1208" s="4" t="s">
        <v>5341</v>
      </c>
      <c r="I1208" s="5" t="s">
        <v>237</v>
      </c>
      <c r="J1208" s="5" t="s">
        <v>31</v>
      </c>
      <c r="K1208" s="5" t="s">
        <v>31</v>
      </c>
      <c r="L1208" s="5" t="s">
        <v>381</v>
      </c>
      <c r="M1208" s="5" t="s">
        <v>31</v>
      </c>
      <c r="N1208" s="5" t="s">
        <v>31</v>
      </c>
      <c r="O1208" s="5" t="s">
        <v>32</v>
      </c>
      <c r="P1208" s="5" t="s">
        <v>33</v>
      </c>
      <c r="Q1208" s="2">
        <v>45954</v>
      </c>
      <c r="V1208" s="45">
        <f>IF(OR(ISNUMBER(SEARCH("unable to locate acct",G1208)),ISNUMBER(SEARCH("unknown",G1208)),ISNUMBER(SEARCH("inactive",G1208)),H1208=""),0,1)</f>
        <v>1</v>
      </c>
    </row>
    <row r="1209" spans="1:22" hidden="1">
      <c r="A1209" s="2">
        <v>45935</v>
      </c>
      <c r="B1209" s="1" t="s">
        <v>2939</v>
      </c>
      <c r="C1209" s="1" t="s">
        <v>2458</v>
      </c>
      <c r="D1209" s="1" t="s">
        <v>57</v>
      </c>
      <c r="E1209" s="1">
        <v>85014</v>
      </c>
      <c r="F1209" s="1" t="s">
        <v>304</v>
      </c>
      <c r="G1209" s="1" t="s">
        <v>2930</v>
      </c>
      <c r="H1209" s="4" t="s">
        <v>21</v>
      </c>
      <c r="V1209" s="45">
        <f>IF(OR(ISNUMBER(SEARCH("unable to locate acct",G1209)),ISNUMBER(SEARCH("unknown",G1209)),ISNUMBER(SEARCH("inactive",G1209)),H1209=""),0,1)</f>
        <v>1</v>
      </c>
    </row>
    <row r="1210" spans="1:22" hidden="1">
      <c r="A1210" s="2">
        <v>45935</v>
      </c>
      <c r="B1210" s="1" t="s">
        <v>2940</v>
      </c>
      <c r="C1210" s="1" t="s">
        <v>998</v>
      </c>
      <c r="D1210" s="1" t="s">
        <v>2941</v>
      </c>
      <c r="E1210" s="1">
        <v>86324</v>
      </c>
      <c r="F1210" s="1" t="s">
        <v>25</v>
      </c>
      <c r="G1210" s="1" t="s">
        <v>2930</v>
      </c>
      <c r="H1210" s="4" t="s">
        <v>5342</v>
      </c>
      <c r="I1210" s="5" t="s">
        <v>67</v>
      </c>
      <c r="J1210" s="5" t="s">
        <v>31</v>
      </c>
      <c r="K1210" s="5" t="s">
        <v>31</v>
      </c>
      <c r="L1210" s="5" t="s">
        <v>32</v>
      </c>
      <c r="M1210" s="5" t="s">
        <v>31</v>
      </c>
      <c r="N1210" s="5" t="s">
        <v>31</v>
      </c>
      <c r="O1210" s="5" t="s">
        <v>32</v>
      </c>
      <c r="P1210" s="5" t="s">
        <v>33</v>
      </c>
      <c r="Q1210" s="2">
        <v>45954</v>
      </c>
      <c r="R1210" s="1" t="s">
        <v>2897</v>
      </c>
      <c r="V1210" s="45">
        <f>IF(OR(ISNUMBER(SEARCH("unable to locate acct",G1210)),ISNUMBER(SEARCH("unknown",G1210)),ISNUMBER(SEARCH("inactive",G1210)),H1210=""),0,1)</f>
        <v>1</v>
      </c>
    </row>
    <row r="1211" spans="1:22" hidden="1">
      <c r="A1211" s="2">
        <v>45936</v>
      </c>
      <c r="B1211" s="1" t="s">
        <v>2942</v>
      </c>
      <c r="C1211" s="1" t="s">
        <v>2943</v>
      </c>
      <c r="D1211" s="1" t="s">
        <v>57</v>
      </c>
      <c r="E1211" s="1">
        <v>85024</v>
      </c>
      <c r="F1211" s="1" t="s">
        <v>2944</v>
      </c>
      <c r="G1211" s="1" t="s">
        <v>2930</v>
      </c>
      <c r="H1211" s="4" t="s">
        <v>21</v>
      </c>
      <c r="V1211" s="45">
        <f>IF(OR(ISNUMBER(SEARCH("unable to locate acct",G1211)),ISNUMBER(SEARCH("unknown",G1211)),ISNUMBER(SEARCH("inactive",G1211)),H1211=""),0,1)</f>
        <v>1</v>
      </c>
    </row>
    <row r="1212" spans="1:22" hidden="1">
      <c r="A1212" s="2">
        <v>45936</v>
      </c>
      <c r="B1212" s="1" t="s">
        <v>2945</v>
      </c>
      <c r="C1212" s="1" t="s">
        <v>1519</v>
      </c>
      <c r="D1212" s="1" t="s">
        <v>18</v>
      </c>
      <c r="E1212" s="1">
        <v>85308</v>
      </c>
      <c r="F1212" s="1" t="s">
        <v>2946</v>
      </c>
      <c r="G1212" s="1" t="s">
        <v>2930</v>
      </c>
      <c r="H1212" s="4" t="s">
        <v>21</v>
      </c>
      <c r="V1212" s="45">
        <f>IF(OR(ISNUMBER(SEARCH("unable to locate acct",G1212)),ISNUMBER(SEARCH("unknown",G1212)),ISNUMBER(SEARCH("inactive",G1212)),H1212=""),0,1)</f>
        <v>1</v>
      </c>
    </row>
    <row r="1213" spans="1:22" hidden="1">
      <c r="A1213" s="2">
        <v>45937</v>
      </c>
      <c r="B1213" s="1" t="s">
        <v>2947</v>
      </c>
      <c r="C1213" s="1" t="s">
        <v>2948</v>
      </c>
      <c r="D1213" s="1" t="s">
        <v>163</v>
      </c>
      <c r="E1213" s="1">
        <v>85338</v>
      </c>
      <c r="F1213" s="1" t="s">
        <v>2949</v>
      </c>
      <c r="G1213" s="1" t="s">
        <v>2930</v>
      </c>
      <c r="H1213" s="4" t="s">
        <v>5343</v>
      </c>
      <c r="I1213" s="5" t="s">
        <v>532</v>
      </c>
      <c r="J1213" s="5" t="s">
        <v>32</v>
      </c>
      <c r="K1213" s="5" t="s">
        <v>31</v>
      </c>
      <c r="L1213" s="5" t="s">
        <v>381</v>
      </c>
      <c r="M1213" s="5" t="s">
        <v>31</v>
      </c>
      <c r="N1213" s="5" t="s">
        <v>31</v>
      </c>
      <c r="O1213" s="5" t="s">
        <v>32</v>
      </c>
      <c r="P1213" s="5" t="s">
        <v>33</v>
      </c>
      <c r="Q1213" s="2">
        <v>45954</v>
      </c>
      <c r="V1213" s="45">
        <f>IF(OR(ISNUMBER(SEARCH("unable to locate acct",G1213)),ISNUMBER(SEARCH("unknown",G1213)),ISNUMBER(SEARCH("inactive",G1213)),H1213=""),0,1)</f>
        <v>1</v>
      </c>
    </row>
    <row r="1214" spans="1:22" hidden="1">
      <c r="A1214" s="2">
        <v>45938</v>
      </c>
      <c r="B1214" s="1" t="s">
        <v>2950</v>
      </c>
      <c r="C1214" s="1" t="s">
        <v>2951</v>
      </c>
      <c r="D1214" s="1" t="s">
        <v>106</v>
      </c>
      <c r="E1214" s="1">
        <v>85379</v>
      </c>
      <c r="F1214" s="1" t="s">
        <v>304</v>
      </c>
      <c r="G1214" s="1" t="s">
        <v>2661</v>
      </c>
      <c r="H1214" s="4" t="s">
        <v>84</v>
      </c>
      <c r="V1214" s="45">
        <f>IF(OR(ISNUMBER(SEARCH("unable to locate acct",G1214)),ISNUMBER(SEARCH("unknown",G1214)),ISNUMBER(SEARCH("inactive",G1214)),H1214=""),0,1)</f>
        <v>1</v>
      </c>
    </row>
    <row r="1215" spans="1:22" hidden="1">
      <c r="A1215" s="2">
        <v>45938</v>
      </c>
      <c r="B1215" s="1" t="s">
        <v>2952</v>
      </c>
      <c r="C1215" s="1" t="s">
        <v>2953</v>
      </c>
      <c r="D1215" s="1" t="s">
        <v>119</v>
      </c>
      <c r="E1215" s="1">
        <v>85258</v>
      </c>
      <c r="F1215" s="1" t="s">
        <v>2954</v>
      </c>
      <c r="G1215" s="1" t="s">
        <v>2661</v>
      </c>
      <c r="H1215" s="4" t="s">
        <v>5344</v>
      </c>
      <c r="I1215" s="5" t="s">
        <v>30</v>
      </c>
      <c r="J1215" s="5" t="s">
        <v>31</v>
      </c>
      <c r="K1215" s="5" t="s">
        <v>31</v>
      </c>
      <c r="L1215" s="5" t="s">
        <v>32</v>
      </c>
      <c r="M1215" s="5" t="s">
        <v>31</v>
      </c>
      <c r="N1215" s="5" t="s">
        <v>31</v>
      </c>
      <c r="O1215" s="5" t="s">
        <v>32</v>
      </c>
      <c r="P1215" s="5" t="s">
        <v>33</v>
      </c>
      <c r="Q1215" s="2">
        <v>45954</v>
      </c>
      <c r="V1215" s="45">
        <f>IF(OR(ISNUMBER(SEARCH("unable to locate acct",G1215)),ISNUMBER(SEARCH("unknown",G1215)),ISNUMBER(SEARCH("inactive",G1215)),H1215=""),0,1)</f>
        <v>1</v>
      </c>
    </row>
    <row r="1216" spans="1:22" hidden="1">
      <c r="A1216" s="2">
        <v>45938</v>
      </c>
      <c r="B1216" s="1" t="s">
        <v>2955</v>
      </c>
      <c r="C1216" s="1" t="s">
        <v>1762</v>
      </c>
      <c r="D1216" s="1" t="s">
        <v>24</v>
      </c>
      <c r="E1216" s="1" t="s">
        <v>24</v>
      </c>
      <c r="F1216" s="1" t="s">
        <v>2956</v>
      </c>
      <c r="G1216" s="1" t="s">
        <v>2661</v>
      </c>
      <c r="H1216" s="4" t="s">
        <v>5045</v>
      </c>
      <c r="I1216" s="5" t="s">
        <v>51</v>
      </c>
      <c r="J1216" s="5" t="s">
        <v>31</v>
      </c>
      <c r="K1216" s="5" t="s">
        <v>31</v>
      </c>
      <c r="L1216" s="5" t="s">
        <v>2957</v>
      </c>
      <c r="M1216" s="5" t="s">
        <v>31</v>
      </c>
      <c r="N1216" s="5" t="s">
        <v>31</v>
      </c>
      <c r="O1216" s="5" t="s">
        <v>32</v>
      </c>
      <c r="P1216" s="5" t="s">
        <v>33</v>
      </c>
      <c r="Q1216" s="2">
        <v>45954</v>
      </c>
      <c r="V1216" s="45">
        <f>IF(OR(ISNUMBER(SEARCH("unable to locate acct",G1216)),ISNUMBER(SEARCH("unknown",G1216)),ISNUMBER(SEARCH("inactive",G1216)),H1216=""),0,1)</f>
        <v>1</v>
      </c>
    </row>
    <row r="1217" spans="1:22" hidden="1">
      <c r="A1217" s="2">
        <v>45938</v>
      </c>
      <c r="B1217" s="1" t="s">
        <v>2958</v>
      </c>
      <c r="C1217" s="1" t="s">
        <v>2959</v>
      </c>
      <c r="D1217" s="1" t="s">
        <v>119</v>
      </c>
      <c r="E1217" s="1">
        <v>85258</v>
      </c>
      <c r="F1217" s="1" t="s">
        <v>2960</v>
      </c>
      <c r="G1217" s="1" t="s">
        <v>2961</v>
      </c>
      <c r="H1217" s="4" t="s">
        <v>2962</v>
      </c>
      <c r="I1217" s="5" t="s">
        <v>30</v>
      </c>
      <c r="J1217" s="5" t="s">
        <v>31</v>
      </c>
      <c r="K1217" s="5" t="s">
        <v>31</v>
      </c>
      <c r="L1217" s="5" t="s">
        <v>32</v>
      </c>
      <c r="M1217" s="5" t="s">
        <v>31</v>
      </c>
      <c r="N1217" s="5" t="s">
        <v>31</v>
      </c>
      <c r="O1217" s="5" t="s">
        <v>32</v>
      </c>
      <c r="P1217" s="5" t="s">
        <v>33</v>
      </c>
      <c r="Q1217" s="2">
        <v>45954</v>
      </c>
      <c r="V1217" s="45">
        <f>IF(OR(ISNUMBER(SEARCH("unable to locate acct",G1217)),ISNUMBER(SEARCH("unknown",G1217)),ISNUMBER(SEARCH("inactive",G1217)),H1217=""),0,1)</f>
        <v>1</v>
      </c>
    </row>
    <row r="1218" spans="1:22" hidden="1">
      <c r="A1218" s="2">
        <v>45938</v>
      </c>
      <c r="B1218" s="1" t="s">
        <v>2963</v>
      </c>
      <c r="C1218" s="1" t="s">
        <v>2964</v>
      </c>
      <c r="D1218" s="1" t="s">
        <v>2965</v>
      </c>
      <c r="E1218" s="1" t="s">
        <v>24</v>
      </c>
      <c r="F1218" s="1" t="s">
        <v>304</v>
      </c>
      <c r="G1218" s="1" t="s">
        <v>2961</v>
      </c>
      <c r="H1218" s="4" t="s">
        <v>21</v>
      </c>
      <c r="R1218" s="1" t="s">
        <v>2966</v>
      </c>
      <c r="V1218" s="45">
        <f>IF(OR(ISNUMBER(SEARCH("unable to locate acct",G1218)),ISNUMBER(SEARCH("unknown",G1218)),ISNUMBER(SEARCH("inactive",G1218)),H1218=""),0,1)</f>
        <v>1</v>
      </c>
    </row>
    <row r="1219" spans="1:22" hidden="1">
      <c r="A1219" s="2">
        <v>45938</v>
      </c>
      <c r="B1219" s="1" t="s">
        <v>2967</v>
      </c>
      <c r="C1219" s="1" t="s">
        <v>2964</v>
      </c>
      <c r="D1219" s="1" t="s">
        <v>2965</v>
      </c>
      <c r="E1219" s="1" t="s">
        <v>24</v>
      </c>
      <c r="F1219" s="1" t="s">
        <v>304</v>
      </c>
      <c r="G1219" s="1" t="s">
        <v>2961</v>
      </c>
      <c r="H1219" s="4" t="s">
        <v>21</v>
      </c>
      <c r="R1219" s="1" t="s">
        <v>2966</v>
      </c>
      <c r="V1219" s="45">
        <f>IF(OR(ISNUMBER(SEARCH("unable to locate acct",G1219)),ISNUMBER(SEARCH("unknown",G1219)),ISNUMBER(SEARCH("inactive",G1219)),H1219=""),0,1)</f>
        <v>1</v>
      </c>
    </row>
    <row r="1220" spans="1:22" hidden="1">
      <c r="A1220" s="2">
        <v>45938</v>
      </c>
      <c r="B1220" s="1" t="s">
        <v>439</v>
      </c>
      <c r="C1220" s="1" t="s">
        <v>1106</v>
      </c>
      <c r="D1220" s="1" t="s">
        <v>2968</v>
      </c>
      <c r="E1220" s="1">
        <v>85541</v>
      </c>
      <c r="F1220" s="1" t="s">
        <v>2969</v>
      </c>
      <c r="G1220" s="1" t="s">
        <v>2961</v>
      </c>
      <c r="H1220" s="4" t="s">
        <v>5345</v>
      </c>
      <c r="I1220" s="5" t="s">
        <v>67</v>
      </c>
      <c r="J1220" s="5" t="s">
        <v>31</v>
      </c>
      <c r="K1220" s="5" t="s">
        <v>31</v>
      </c>
      <c r="L1220" s="5" t="s">
        <v>32</v>
      </c>
      <c r="M1220" s="5" t="s">
        <v>31</v>
      </c>
      <c r="N1220" s="5" t="s">
        <v>31</v>
      </c>
      <c r="O1220" s="5" t="s">
        <v>32</v>
      </c>
      <c r="P1220" s="5" t="s">
        <v>33</v>
      </c>
      <c r="Q1220" s="2">
        <v>45954</v>
      </c>
      <c r="V1220" s="45">
        <f>IF(OR(ISNUMBER(SEARCH("unable to locate acct",G1220)),ISNUMBER(SEARCH("unknown",G1220)),ISNUMBER(SEARCH("inactive",G1220)),H1220=""),0,1)</f>
        <v>1</v>
      </c>
    </row>
    <row r="1221" spans="1:22" hidden="1">
      <c r="A1221" s="2">
        <v>45938</v>
      </c>
      <c r="B1221" s="1" t="s">
        <v>2964</v>
      </c>
      <c r="C1221" s="1" t="s">
        <v>2967</v>
      </c>
      <c r="D1221" s="1" t="s">
        <v>2965</v>
      </c>
      <c r="E1221" s="1" t="s">
        <v>24</v>
      </c>
      <c r="F1221" s="1" t="s">
        <v>304</v>
      </c>
      <c r="G1221" s="1" t="s">
        <v>2961</v>
      </c>
      <c r="H1221" s="4" t="s">
        <v>21</v>
      </c>
      <c r="R1221" s="1" t="s">
        <v>2966</v>
      </c>
      <c r="V1221" s="45">
        <f>IF(OR(ISNUMBER(SEARCH("unable to locate acct",G1221)),ISNUMBER(SEARCH("unknown",G1221)),ISNUMBER(SEARCH("inactive",G1221)),H1221=""),0,1)</f>
        <v>1</v>
      </c>
    </row>
    <row r="1222" spans="1:22" hidden="1">
      <c r="A1222" s="2">
        <v>45938</v>
      </c>
      <c r="B1222" s="1" t="s">
        <v>2964</v>
      </c>
      <c r="C1222" s="1" t="s">
        <v>2967</v>
      </c>
      <c r="D1222" s="1" t="s">
        <v>2965</v>
      </c>
      <c r="E1222" s="1" t="s">
        <v>24</v>
      </c>
      <c r="F1222" s="1" t="s">
        <v>304</v>
      </c>
      <c r="G1222" s="1" t="s">
        <v>2961</v>
      </c>
      <c r="H1222" s="4" t="s">
        <v>21</v>
      </c>
      <c r="R1222" s="1" t="s">
        <v>2966</v>
      </c>
      <c r="V1222" s="45">
        <f>IF(OR(ISNUMBER(SEARCH("unable to locate acct",G1222)),ISNUMBER(SEARCH("unknown",G1222)),ISNUMBER(SEARCH("inactive",G1222)),H1222=""),0,1)</f>
        <v>1</v>
      </c>
    </row>
    <row r="1223" spans="1:22" hidden="1">
      <c r="A1223" s="2">
        <v>45938</v>
      </c>
      <c r="B1223" s="1" t="s">
        <v>2964</v>
      </c>
      <c r="C1223" s="1" t="s">
        <v>2970</v>
      </c>
      <c r="D1223" s="1" t="s">
        <v>2965</v>
      </c>
      <c r="E1223" s="1" t="s">
        <v>24</v>
      </c>
      <c r="F1223" s="1" t="s">
        <v>304</v>
      </c>
      <c r="G1223" s="1" t="s">
        <v>2961</v>
      </c>
      <c r="H1223" s="4" t="s">
        <v>21</v>
      </c>
      <c r="R1223" s="1" t="s">
        <v>2966</v>
      </c>
      <c r="V1223" s="45">
        <f>IF(OR(ISNUMBER(SEARCH("unable to locate acct",G1223)),ISNUMBER(SEARCH("unknown",G1223)),ISNUMBER(SEARCH("inactive",G1223)),H1223=""),0,1)</f>
        <v>1</v>
      </c>
    </row>
    <row r="1224" spans="1:22" hidden="1">
      <c r="A1224" s="2">
        <v>45939</v>
      </c>
      <c r="B1224" s="1" t="s">
        <v>2971</v>
      </c>
      <c r="C1224" s="1" t="s">
        <v>2972</v>
      </c>
      <c r="D1224" s="1" t="s">
        <v>196</v>
      </c>
      <c r="E1224" s="1">
        <v>85382</v>
      </c>
      <c r="F1224" s="1" t="s">
        <v>2973</v>
      </c>
      <c r="G1224" s="1" t="s">
        <v>2961</v>
      </c>
      <c r="H1224" s="4" t="s">
        <v>5346</v>
      </c>
      <c r="I1224" s="5" t="s">
        <v>30</v>
      </c>
      <c r="J1224" s="5" t="s">
        <v>31</v>
      </c>
      <c r="K1224" s="5" t="s">
        <v>31</v>
      </c>
      <c r="L1224" s="5" t="s">
        <v>32</v>
      </c>
      <c r="M1224" s="5" t="s">
        <v>31</v>
      </c>
      <c r="N1224" s="5" t="s">
        <v>31</v>
      </c>
      <c r="O1224" s="5" t="s">
        <v>32</v>
      </c>
      <c r="P1224" s="5" t="s">
        <v>33</v>
      </c>
      <c r="Q1224" s="2">
        <v>45954</v>
      </c>
      <c r="V1224" s="45">
        <f>IF(OR(ISNUMBER(SEARCH("unable to locate acct",G1224)),ISNUMBER(SEARCH("unknown",G1224)),ISNUMBER(SEARCH("inactive",G1224)),H1224=""),0,1)</f>
        <v>1</v>
      </c>
    </row>
    <row r="1225" spans="1:22" hidden="1">
      <c r="A1225" s="2">
        <v>45939</v>
      </c>
      <c r="B1225" s="1" t="s">
        <v>2974</v>
      </c>
      <c r="C1225" s="1" t="s">
        <v>789</v>
      </c>
      <c r="D1225" s="1" t="s">
        <v>57</v>
      </c>
      <c r="E1225" s="1">
        <v>85050</v>
      </c>
      <c r="F1225" s="1" t="s">
        <v>2975</v>
      </c>
      <c r="G1225" s="1" t="s">
        <v>2961</v>
      </c>
      <c r="H1225" s="4" t="s">
        <v>84</v>
      </c>
      <c r="V1225" s="45">
        <f>IF(OR(ISNUMBER(SEARCH("unable to locate acct",G1225)),ISNUMBER(SEARCH("unknown",G1225)),ISNUMBER(SEARCH("inactive",G1225)),H1225=""),0,1)</f>
        <v>1</v>
      </c>
    </row>
    <row r="1226" spans="1:22" hidden="1">
      <c r="A1226" s="2">
        <v>45940</v>
      </c>
      <c r="B1226" s="1" t="s">
        <v>2976</v>
      </c>
      <c r="C1226" s="1" t="s">
        <v>129</v>
      </c>
      <c r="D1226" s="1" t="s">
        <v>163</v>
      </c>
      <c r="E1226" s="1">
        <v>85338</v>
      </c>
      <c r="F1226" s="1" t="s">
        <v>1912</v>
      </c>
      <c r="G1226" s="8" t="s">
        <v>2977</v>
      </c>
      <c r="H1226" s="4" t="s">
        <v>21</v>
      </c>
      <c r="V1226" s="45">
        <f>IF(OR(ISNUMBER(SEARCH("unable to locate acct",G1226)),ISNUMBER(SEARCH("unknown",G1226)),ISNUMBER(SEARCH("inactive",G1226)),H1226=""),0,1)</f>
        <v>1</v>
      </c>
    </row>
    <row r="1227" spans="1:22" hidden="1">
      <c r="A1227" s="2">
        <v>45940</v>
      </c>
      <c r="B1227" s="1" t="s">
        <v>85</v>
      </c>
      <c r="C1227" s="1" t="s">
        <v>2978</v>
      </c>
      <c r="D1227" s="1" t="s">
        <v>87</v>
      </c>
      <c r="E1227" s="1">
        <v>85351</v>
      </c>
      <c r="F1227" s="1" t="s">
        <v>2979</v>
      </c>
      <c r="G1227" s="8" t="s">
        <v>2977</v>
      </c>
      <c r="H1227" s="4" t="s">
        <v>2980</v>
      </c>
      <c r="I1227" s="5" t="s">
        <v>67</v>
      </c>
      <c r="J1227" s="5" t="s">
        <v>31</v>
      </c>
      <c r="K1227" s="5" t="s">
        <v>31</v>
      </c>
      <c r="L1227" s="5" t="s">
        <v>32</v>
      </c>
      <c r="M1227" s="5" t="s">
        <v>31</v>
      </c>
      <c r="N1227" s="5" t="s">
        <v>31</v>
      </c>
      <c r="O1227" s="5" t="s">
        <v>32</v>
      </c>
      <c r="P1227" s="5" t="s">
        <v>33</v>
      </c>
      <c r="Q1227" s="2">
        <v>45954</v>
      </c>
      <c r="R1227" s="1" t="s">
        <v>2981</v>
      </c>
      <c r="V1227" s="45">
        <f>IF(OR(ISNUMBER(SEARCH("unable to locate acct",G1227)),ISNUMBER(SEARCH("unknown",G1227)),ISNUMBER(SEARCH("inactive",G1227)),H1227=""),0,1)</f>
        <v>1</v>
      </c>
    </row>
    <row r="1228" spans="1:22" hidden="1">
      <c r="A1228" s="2">
        <v>45940</v>
      </c>
      <c r="B1228" s="1" t="s">
        <v>2982</v>
      </c>
      <c r="C1228" s="1" t="s">
        <v>1540</v>
      </c>
      <c r="D1228" s="1" t="s">
        <v>2046</v>
      </c>
      <c r="E1228" s="1">
        <v>85132</v>
      </c>
      <c r="F1228" s="1" t="s">
        <v>2983</v>
      </c>
      <c r="G1228" s="8" t="s">
        <v>2977</v>
      </c>
      <c r="H1228" s="4" t="s">
        <v>2984</v>
      </c>
      <c r="I1228" s="5" t="s">
        <v>244</v>
      </c>
      <c r="J1228" s="5" t="s">
        <v>31</v>
      </c>
      <c r="K1228" s="5" t="s">
        <v>31</v>
      </c>
      <c r="L1228" s="5" t="s">
        <v>32</v>
      </c>
      <c r="M1228" s="5" t="s">
        <v>31</v>
      </c>
      <c r="N1228" s="5" t="s">
        <v>31</v>
      </c>
      <c r="O1228" s="5" t="s">
        <v>32</v>
      </c>
      <c r="P1228" s="5" t="s">
        <v>33</v>
      </c>
      <c r="Q1228" s="2">
        <v>45954</v>
      </c>
      <c r="V1228" s="45">
        <f>IF(OR(ISNUMBER(SEARCH("unable to locate acct",G1228)),ISNUMBER(SEARCH("unknown",G1228)),ISNUMBER(SEARCH("inactive",G1228)),H1228=""),0,1)</f>
        <v>1</v>
      </c>
    </row>
    <row r="1229" spans="1:22" hidden="1">
      <c r="A1229" s="2">
        <v>45940</v>
      </c>
      <c r="B1229" s="1" t="s">
        <v>2985</v>
      </c>
      <c r="C1229" s="1" t="s">
        <v>412</v>
      </c>
      <c r="D1229" s="1" t="s">
        <v>530</v>
      </c>
      <c r="E1229" s="1">
        <v>85122</v>
      </c>
      <c r="F1229" s="1" t="s">
        <v>2986</v>
      </c>
      <c r="G1229" s="8" t="s">
        <v>2977</v>
      </c>
      <c r="H1229" s="4" t="s">
        <v>2987</v>
      </c>
      <c r="I1229" s="5" t="s">
        <v>30</v>
      </c>
      <c r="J1229" s="5" t="s">
        <v>31</v>
      </c>
      <c r="K1229" s="5" t="s">
        <v>31</v>
      </c>
      <c r="L1229" s="5" t="s">
        <v>32</v>
      </c>
      <c r="M1229" s="5" t="s">
        <v>31</v>
      </c>
      <c r="N1229" s="5" t="s">
        <v>31</v>
      </c>
      <c r="O1229" s="5" t="s">
        <v>32</v>
      </c>
      <c r="P1229" s="5" t="s">
        <v>33</v>
      </c>
      <c r="Q1229" s="2">
        <v>45954</v>
      </c>
      <c r="R1229" s="1" t="s">
        <v>2988</v>
      </c>
      <c r="V1229" s="45">
        <f>IF(OR(ISNUMBER(SEARCH("unable to locate acct",G1229)),ISNUMBER(SEARCH("unknown",G1229)),ISNUMBER(SEARCH("inactive",G1229)),H1229=""),0,1)</f>
        <v>1</v>
      </c>
    </row>
    <row r="1230" spans="1:22" hidden="1">
      <c r="A1230" s="2">
        <v>45940</v>
      </c>
      <c r="B1230" s="1" t="s">
        <v>2985</v>
      </c>
      <c r="C1230" s="1" t="s">
        <v>588</v>
      </c>
      <c r="D1230" s="1" t="s">
        <v>530</v>
      </c>
      <c r="E1230" s="1">
        <v>85122</v>
      </c>
      <c r="F1230" s="1" t="s">
        <v>2989</v>
      </c>
      <c r="G1230" s="8" t="s">
        <v>2977</v>
      </c>
      <c r="H1230" s="4" t="s">
        <v>2987</v>
      </c>
      <c r="I1230" s="5" t="s">
        <v>30</v>
      </c>
      <c r="J1230" s="5" t="s">
        <v>31</v>
      </c>
      <c r="K1230" s="5" t="s">
        <v>31</v>
      </c>
      <c r="L1230" s="5" t="s">
        <v>32</v>
      </c>
      <c r="M1230" s="5" t="s">
        <v>31</v>
      </c>
      <c r="N1230" s="5" t="s">
        <v>31</v>
      </c>
      <c r="O1230" s="5" t="s">
        <v>32</v>
      </c>
      <c r="P1230" s="5" t="s">
        <v>33</v>
      </c>
      <c r="Q1230" s="2">
        <v>45954</v>
      </c>
      <c r="R1230" s="1" t="s">
        <v>2988</v>
      </c>
      <c r="V1230" s="45">
        <f>IF(OR(ISNUMBER(SEARCH("unable to locate acct",G1230)),ISNUMBER(SEARCH("unknown",G1230)),ISNUMBER(SEARCH("inactive",G1230)),H1230=""),0,1)</f>
        <v>1</v>
      </c>
    </row>
    <row r="1231" spans="1:22" hidden="1">
      <c r="A1231" s="2">
        <v>45940</v>
      </c>
      <c r="B1231" s="1" t="s">
        <v>1033</v>
      </c>
      <c r="C1231" s="1" t="s">
        <v>306</v>
      </c>
      <c r="D1231" s="1" t="s">
        <v>18</v>
      </c>
      <c r="E1231" s="1">
        <v>85308</v>
      </c>
      <c r="F1231" s="1" t="s">
        <v>2990</v>
      </c>
      <c r="G1231" s="8" t="s">
        <v>2977</v>
      </c>
      <c r="H1231" s="4" t="s">
        <v>21</v>
      </c>
      <c r="V1231" s="45">
        <f>IF(OR(ISNUMBER(SEARCH("unable to locate acct",G1231)),ISNUMBER(SEARCH("unknown",G1231)),ISNUMBER(SEARCH("inactive",G1231)),H1231=""),0,1)</f>
        <v>1</v>
      </c>
    </row>
    <row r="1232" spans="1:22">
      <c r="A1232" s="22">
        <v>45942</v>
      </c>
      <c r="B1232" s="1" t="s">
        <v>2991</v>
      </c>
      <c r="C1232" s="1" t="s">
        <v>139</v>
      </c>
      <c r="D1232" s="1" t="s">
        <v>530</v>
      </c>
      <c r="E1232" s="1">
        <v>85122</v>
      </c>
      <c r="F1232" s="1" t="s">
        <v>2992</v>
      </c>
      <c r="G1232" s="8" t="s">
        <v>2977</v>
      </c>
      <c r="H1232" s="4" t="s">
        <v>2993</v>
      </c>
      <c r="I1232" s="5" t="s">
        <v>30</v>
      </c>
      <c r="J1232" s="5" t="s">
        <v>31</v>
      </c>
      <c r="K1232" s="5" t="s">
        <v>31</v>
      </c>
      <c r="L1232" s="5" t="s">
        <v>32</v>
      </c>
      <c r="M1232" s="5" t="s">
        <v>31</v>
      </c>
      <c r="N1232" s="5" t="s">
        <v>31</v>
      </c>
      <c r="O1232" s="5" t="s">
        <v>32</v>
      </c>
      <c r="P1232" s="5" t="s">
        <v>33</v>
      </c>
      <c r="Q1232" s="2">
        <v>45954</v>
      </c>
      <c r="V1232" s="45">
        <f>IF(OR(ISNUMBER(SEARCH("unable to locate acct",G1232)),ISNUMBER(SEARCH("unknown",G1232)),ISNUMBER(SEARCH("inactive",G1232)),H1232=""),0,1)</f>
        <v>1</v>
      </c>
    </row>
    <row r="1233" spans="1:22" hidden="1">
      <c r="A1233" s="2">
        <v>45939</v>
      </c>
      <c r="B1233" s="1" t="s">
        <v>2994</v>
      </c>
      <c r="C1233" s="1" t="s">
        <v>2995</v>
      </c>
      <c r="D1233" s="1" t="s">
        <v>57</v>
      </c>
      <c r="E1233" s="1">
        <v>85050</v>
      </c>
      <c r="F1233" s="1" t="s">
        <v>2996</v>
      </c>
      <c r="G1233" s="31" t="s">
        <v>2977</v>
      </c>
      <c r="H1233" s="4" t="s">
        <v>2997</v>
      </c>
      <c r="I1233" s="5" t="s">
        <v>2998</v>
      </c>
      <c r="J1233" s="5" t="s">
        <v>31</v>
      </c>
      <c r="K1233" s="5" t="s">
        <v>31</v>
      </c>
      <c r="L1233" s="5" t="s">
        <v>381</v>
      </c>
      <c r="M1233" s="5" t="s">
        <v>31</v>
      </c>
      <c r="N1233" s="5" t="s">
        <v>31</v>
      </c>
      <c r="O1233" s="5" t="s">
        <v>32</v>
      </c>
      <c r="P1233" s="5" t="s">
        <v>33</v>
      </c>
      <c r="Q1233" s="2">
        <v>45954</v>
      </c>
      <c r="V1233" s="45">
        <f>IF(OR(ISNUMBER(SEARCH("unable to locate acct",G1233)),ISNUMBER(SEARCH("unknown",G1233)),ISNUMBER(SEARCH("inactive",G1233)),H1233=""),0,1)</f>
        <v>1</v>
      </c>
    </row>
    <row r="1234" spans="1:22" hidden="1">
      <c r="A1234" s="2">
        <v>45940</v>
      </c>
      <c r="B1234" s="1" t="s">
        <v>2999</v>
      </c>
      <c r="C1234" s="1" t="s">
        <v>2300</v>
      </c>
      <c r="D1234" s="1" t="s">
        <v>2125</v>
      </c>
      <c r="E1234" s="1">
        <v>86325</v>
      </c>
      <c r="F1234" s="1" t="s">
        <v>3000</v>
      </c>
      <c r="G1234" s="8" t="s">
        <v>2977</v>
      </c>
      <c r="H1234" s="4" t="s">
        <v>3001</v>
      </c>
      <c r="I1234" s="5" t="s">
        <v>67</v>
      </c>
      <c r="J1234" s="5" t="s">
        <v>32</v>
      </c>
      <c r="K1234" s="5" t="s">
        <v>31</v>
      </c>
      <c r="L1234" s="5" t="s">
        <v>1278</v>
      </c>
      <c r="M1234" s="5" t="s">
        <v>31</v>
      </c>
      <c r="N1234" s="5" t="s">
        <v>31</v>
      </c>
      <c r="O1234" s="5" t="s">
        <v>32</v>
      </c>
      <c r="P1234" s="5" t="s">
        <v>33</v>
      </c>
      <c r="Q1234" s="2">
        <v>45954</v>
      </c>
      <c r="R1234" s="1" t="s">
        <v>3002</v>
      </c>
      <c r="V1234" s="45">
        <f>IF(OR(ISNUMBER(SEARCH("unable to locate acct",G1234)),ISNUMBER(SEARCH("unknown",G1234)),ISNUMBER(SEARCH("inactive",G1234)),H1234=""),0,1)</f>
        <v>1</v>
      </c>
    </row>
    <row r="1235" spans="1:22" hidden="1">
      <c r="A1235" s="2">
        <v>45940</v>
      </c>
      <c r="B1235" s="1" t="s">
        <v>1858</v>
      </c>
      <c r="C1235" s="1" t="s">
        <v>1602</v>
      </c>
      <c r="D1235" s="1" t="s">
        <v>3003</v>
      </c>
      <c r="E1235" s="1">
        <v>85741</v>
      </c>
      <c r="F1235" s="1" t="s">
        <v>2996</v>
      </c>
      <c r="G1235" s="8" t="s">
        <v>2977</v>
      </c>
      <c r="H1235" s="4" t="s">
        <v>21</v>
      </c>
      <c r="V1235" s="45">
        <f>IF(OR(ISNUMBER(SEARCH("unable to locate acct",G1235)),ISNUMBER(SEARCH("unknown",G1235)),ISNUMBER(SEARCH("inactive",G1235)),H1235=""),0,1)</f>
        <v>1</v>
      </c>
    </row>
    <row r="1236" spans="1:22" hidden="1">
      <c r="A1236" s="2">
        <v>45940</v>
      </c>
      <c r="B1236" s="1" t="s">
        <v>3004</v>
      </c>
      <c r="C1236" s="1" t="s">
        <v>3005</v>
      </c>
      <c r="D1236" s="1" t="s">
        <v>3003</v>
      </c>
      <c r="E1236" s="1">
        <v>85712</v>
      </c>
      <c r="F1236" s="1" t="s">
        <v>2996</v>
      </c>
      <c r="G1236" s="8" t="s">
        <v>2977</v>
      </c>
      <c r="H1236" s="4" t="s">
        <v>21</v>
      </c>
      <c r="V1236" s="45">
        <f>IF(OR(ISNUMBER(SEARCH("unable to locate acct",G1236)),ISNUMBER(SEARCH("unknown",G1236)),ISNUMBER(SEARCH("inactive",G1236)),H1236=""),0,1)</f>
        <v>1</v>
      </c>
    </row>
    <row r="1237" spans="1:22" hidden="1">
      <c r="A1237" s="2">
        <v>45940</v>
      </c>
      <c r="B1237" s="1" t="s">
        <v>3006</v>
      </c>
      <c r="C1237" s="1" t="s">
        <v>3007</v>
      </c>
      <c r="D1237" s="1" t="s">
        <v>57</v>
      </c>
      <c r="E1237" s="1">
        <v>85029</v>
      </c>
      <c r="F1237" s="1" t="s">
        <v>2996</v>
      </c>
      <c r="G1237" s="8" t="s">
        <v>2977</v>
      </c>
      <c r="H1237" s="4" t="s">
        <v>3008</v>
      </c>
      <c r="I1237" s="5" t="s">
        <v>410</v>
      </c>
      <c r="J1237" s="5" t="s">
        <v>31</v>
      </c>
      <c r="K1237" s="5" t="s">
        <v>31</v>
      </c>
      <c r="L1237" s="5" t="s">
        <v>381</v>
      </c>
      <c r="M1237" s="13" t="s">
        <v>32</v>
      </c>
      <c r="N1237" s="13">
        <v>288.29000000000002</v>
      </c>
      <c r="O1237" s="5" t="s">
        <v>32</v>
      </c>
      <c r="P1237" s="5" t="s">
        <v>33</v>
      </c>
      <c r="Q1237" s="2">
        <v>45954</v>
      </c>
      <c r="V1237" s="45">
        <f>IF(OR(ISNUMBER(SEARCH("unable to locate acct",G1237)),ISNUMBER(SEARCH("unknown",G1237)),ISNUMBER(SEARCH("inactive",G1237)),H1237=""),0,1)</f>
        <v>1</v>
      </c>
    </row>
    <row r="1238" spans="1:22" hidden="1">
      <c r="A1238" s="2">
        <v>45940</v>
      </c>
      <c r="B1238" s="1" t="s">
        <v>3009</v>
      </c>
      <c r="C1238" s="1" t="s">
        <v>2549</v>
      </c>
      <c r="D1238" s="1" t="s">
        <v>87</v>
      </c>
      <c r="E1238" s="1">
        <v>85373</v>
      </c>
      <c r="F1238" s="1" t="s">
        <v>2996</v>
      </c>
      <c r="G1238" s="8" t="s">
        <v>2977</v>
      </c>
      <c r="H1238" s="4" t="s">
        <v>3010</v>
      </c>
      <c r="I1238" s="5" t="s">
        <v>51</v>
      </c>
      <c r="J1238" s="5" t="s">
        <v>32</v>
      </c>
      <c r="K1238" s="5" t="s">
        <v>31</v>
      </c>
      <c r="L1238" s="7" t="s">
        <v>3011</v>
      </c>
      <c r="M1238" s="5" t="s">
        <v>31</v>
      </c>
      <c r="N1238" s="5" t="s">
        <v>31</v>
      </c>
      <c r="O1238" s="5" t="s">
        <v>32</v>
      </c>
      <c r="P1238" s="2">
        <v>45945</v>
      </c>
      <c r="Q1238" s="2">
        <v>45954</v>
      </c>
      <c r="R1238" s="1" t="s">
        <v>2053</v>
      </c>
      <c r="V1238" s="45">
        <f>IF(OR(ISNUMBER(SEARCH("unable to locate acct",G1238)),ISNUMBER(SEARCH("unknown",G1238)),ISNUMBER(SEARCH("inactive",G1238)),H1238=""),0,1)</f>
        <v>1</v>
      </c>
    </row>
    <row r="1239" spans="1:22" hidden="1">
      <c r="A1239" s="2">
        <v>45940</v>
      </c>
      <c r="B1239" s="1" t="s">
        <v>3012</v>
      </c>
      <c r="C1239" s="1" t="s">
        <v>3013</v>
      </c>
      <c r="D1239" s="1" t="s">
        <v>62</v>
      </c>
      <c r="E1239" s="1">
        <v>85331</v>
      </c>
      <c r="F1239" s="1" t="s">
        <v>2996</v>
      </c>
      <c r="G1239" s="8" t="s">
        <v>2977</v>
      </c>
      <c r="H1239" s="4" t="s">
        <v>3014</v>
      </c>
      <c r="I1239" s="5" t="s">
        <v>40</v>
      </c>
      <c r="J1239" s="5" t="s">
        <v>31</v>
      </c>
      <c r="K1239" s="5" t="s">
        <v>31</v>
      </c>
      <c r="L1239" s="5" t="s">
        <v>393</v>
      </c>
      <c r="M1239" s="5" t="s">
        <v>31</v>
      </c>
      <c r="N1239" s="5" t="s">
        <v>31</v>
      </c>
      <c r="O1239" s="5" t="s">
        <v>32</v>
      </c>
      <c r="P1239" s="5" t="s">
        <v>33</v>
      </c>
      <c r="Q1239" s="2">
        <v>45954</v>
      </c>
      <c r="R1239" s="1" t="s">
        <v>3015</v>
      </c>
      <c r="V1239" s="45">
        <f>IF(OR(ISNUMBER(SEARCH("unable to locate acct",G1239)),ISNUMBER(SEARCH("unknown",G1239)),ISNUMBER(SEARCH("inactive",G1239)),H1239=""),0,1)</f>
        <v>1</v>
      </c>
    </row>
    <row r="1240" spans="1:22" hidden="1">
      <c r="A1240" s="2">
        <v>45940</v>
      </c>
      <c r="B1240" s="1" t="s">
        <v>3016</v>
      </c>
      <c r="C1240" s="1" t="s">
        <v>301</v>
      </c>
      <c r="D1240" s="1" t="s">
        <v>57</v>
      </c>
      <c r="E1240" s="1">
        <v>85050</v>
      </c>
      <c r="F1240" s="1" t="s">
        <v>2996</v>
      </c>
      <c r="G1240" s="8" t="s">
        <v>2977</v>
      </c>
      <c r="H1240" s="4" t="s">
        <v>3017</v>
      </c>
      <c r="I1240" s="5" t="s">
        <v>532</v>
      </c>
      <c r="J1240" s="5" t="s">
        <v>31</v>
      </c>
      <c r="K1240" s="5" t="s">
        <v>31</v>
      </c>
      <c r="L1240" s="5" t="s">
        <v>381</v>
      </c>
      <c r="M1240" s="5" t="s">
        <v>31</v>
      </c>
      <c r="N1240" s="5" t="s">
        <v>31</v>
      </c>
      <c r="O1240" s="5" t="s">
        <v>32</v>
      </c>
      <c r="P1240" s="5" t="s">
        <v>33</v>
      </c>
      <c r="Q1240" s="2">
        <v>45954</v>
      </c>
      <c r="V1240" s="45">
        <f>IF(OR(ISNUMBER(SEARCH("unable to locate acct",G1240)),ISNUMBER(SEARCH("unknown",G1240)),ISNUMBER(SEARCH("inactive",G1240)),H1240=""),0,1)</f>
        <v>1</v>
      </c>
    </row>
    <row r="1241" spans="1:22" hidden="1">
      <c r="A1241" s="2">
        <v>45940</v>
      </c>
      <c r="B1241" s="1" t="s">
        <v>3018</v>
      </c>
      <c r="C1241" s="1" t="s">
        <v>3019</v>
      </c>
      <c r="D1241" s="1" t="s">
        <v>119</v>
      </c>
      <c r="E1241" s="1">
        <v>85254</v>
      </c>
      <c r="F1241" s="1" t="s">
        <v>2996</v>
      </c>
      <c r="G1241" s="8" t="s">
        <v>2977</v>
      </c>
      <c r="H1241" s="4" t="s">
        <v>3020</v>
      </c>
      <c r="I1241" s="5" t="s">
        <v>190</v>
      </c>
      <c r="J1241" s="5" t="s">
        <v>31</v>
      </c>
      <c r="K1241" s="5" t="s">
        <v>31</v>
      </c>
      <c r="L1241" s="7" t="s">
        <v>3021</v>
      </c>
      <c r="M1241" s="5" t="s">
        <v>32</v>
      </c>
      <c r="N1241" s="13">
        <v>2463.12</v>
      </c>
      <c r="O1241" s="5" t="s">
        <v>32</v>
      </c>
      <c r="P1241" s="2">
        <v>45945</v>
      </c>
      <c r="Q1241" s="2">
        <v>45954</v>
      </c>
      <c r="R1241" s="1" t="s">
        <v>3022</v>
      </c>
      <c r="V1241" s="45">
        <f>IF(OR(ISNUMBER(SEARCH("unable to locate acct",G1241)),ISNUMBER(SEARCH("unknown",G1241)),ISNUMBER(SEARCH("inactive",G1241)),H1241=""),0,1)</f>
        <v>1</v>
      </c>
    </row>
    <row r="1242" spans="1:22" hidden="1">
      <c r="A1242" s="2">
        <v>45940</v>
      </c>
      <c r="B1242" s="1" t="s">
        <v>3023</v>
      </c>
      <c r="C1242" s="1" t="s">
        <v>3024</v>
      </c>
      <c r="D1242" s="1" t="s">
        <v>24</v>
      </c>
      <c r="E1242" s="1" t="s">
        <v>24</v>
      </c>
      <c r="F1242" s="1" t="s">
        <v>3025</v>
      </c>
      <c r="G1242" s="8" t="s">
        <v>2977</v>
      </c>
      <c r="H1242" s="4" t="s">
        <v>21</v>
      </c>
      <c r="V1242" s="45">
        <f>IF(OR(ISNUMBER(SEARCH("unable to locate acct",G1242)),ISNUMBER(SEARCH("unknown",G1242)),ISNUMBER(SEARCH("inactive",G1242)),H1242=""),0,1)</f>
        <v>1</v>
      </c>
    </row>
    <row r="1243" spans="1:22" hidden="1">
      <c r="A1243" s="2">
        <v>45944</v>
      </c>
      <c r="B1243" s="1" t="s">
        <v>3026</v>
      </c>
      <c r="C1243" s="1" t="s">
        <v>472</v>
      </c>
      <c r="D1243" s="1" t="s">
        <v>24</v>
      </c>
      <c r="E1243" s="1" t="s">
        <v>24</v>
      </c>
      <c r="F1243" s="1" t="s">
        <v>3027</v>
      </c>
      <c r="G1243" s="1" t="s">
        <v>3028</v>
      </c>
      <c r="H1243" s="4" t="s">
        <v>203</v>
      </c>
      <c r="V1243" s="45">
        <f>IF(OR(ISNUMBER(SEARCH("unable to locate acct",G1243)),ISNUMBER(SEARCH("unknown",G1243)),ISNUMBER(SEARCH("inactive",G1243)),H1243=""),0,1)</f>
        <v>1</v>
      </c>
    </row>
    <row r="1244" spans="1:22" hidden="1">
      <c r="A1244" s="2">
        <v>45944</v>
      </c>
      <c r="B1244" s="1" t="s">
        <v>3029</v>
      </c>
      <c r="C1244" s="1" t="s">
        <v>3030</v>
      </c>
      <c r="D1244" s="1" t="s">
        <v>57</v>
      </c>
      <c r="E1244" s="1">
        <v>85032</v>
      </c>
      <c r="F1244" s="1" t="s">
        <v>2996</v>
      </c>
      <c r="G1244" s="1" t="s">
        <v>3028</v>
      </c>
      <c r="H1244" s="4" t="s">
        <v>3031</v>
      </c>
      <c r="I1244" s="5" t="s">
        <v>30</v>
      </c>
      <c r="J1244" s="5" t="s">
        <v>31</v>
      </c>
      <c r="K1244" s="5" t="s">
        <v>31</v>
      </c>
      <c r="L1244" s="5" t="s">
        <v>1429</v>
      </c>
      <c r="M1244" s="5" t="s">
        <v>31</v>
      </c>
      <c r="N1244" s="5" t="s">
        <v>31</v>
      </c>
      <c r="O1244" s="5" t="s">
        <v>32</v>
      </c>
      <c r="P1244" s="5" t="s">
        <v>33</v>
      </c>
      <c r="Q1244" s="2">
        <v>45954</v>
      </c>
      <c r="V1244" s="45">
        <f>IF(OR(ISNUMBER(SEARCH("unable to locate acct",G1244)),ISNUMBER(SEARCH("unknown",G1244)),ISNUMBER(SEARCH("inactive",G1244)),H1244=""),0,1)</f>
        <v>1</v>
      </c>
    </row>
    <row r="1245" spans="1:22" hidden="1">
      <c r="A1245" s="2">
        <v>45944</v>
      </c>
      <c r="B1245" s="1" t="s">
        <v>3032</v>
      </c>
      <c r="C1245" s="1" t="s">
        <v>3033</v>
      </c>
      <c r="D1245" s="1" t="s">
        <v>87</v>
      </c>
      <c r="E1245" s="1">
        <v>85351</v>
      </c>
      <c r="F1245" s="1" t="s">
        <v>3034</v>
      </c>
      <c r="G1245" s="1" t="s">
        <v>3028</v>
      </c>
      <c r="H1245" s="4" t="s">
        <v>3035</v>
      </c>
      <c r="I1245" s="5" t="s">
        <v>30</v>
      </c>
      <c r="J1245" s="5" t="s">
        <v>31</v>
      </c>
      <c r="K1245" s="5" t="s">
        <v>31</v>
      </c>
      <c r="L1245" s="5" t="s">
        <v>1429</v>
      </c>
      <c r="M1245" s="5" t="s">
        <v>31</v>
      </c>
      <c r="N1245" s="5" t="s">
        <v>31</v>
      </c>
      <c r="O1245" s="5" t="s">
        <v>32</v>
      </c>
      <c r="P1245" s="5" t="s">
        <v>33</v>
      </c>
      <c r="Q1245" s="2">
        <v>45954</v>
      </c>
      <c r="V1245" s="45">
        <f>IF(OR(ISNUMBER(SEARCH("unable to locate acct",G1245)),ISNUMBER(SEARCH("unknown",G1245)),ISNUMBER(SEARCH("inactive",G1245)),H1245=""),0,1)</f>
        <v>1</v>
      </c>
    </row>
    <row r="1246" spans="1:22" hidden="1">
      <c r="A1246" s="2">
        <v>45944</v>
      </c>
      <c r="B1246" s="1" t="s">
        <v>3036</v>
      </c>
      <c r="C1246" s="1" t="s">
        <v>3005</v>
      </c>
      <c r="D1246" s="1" t="s">
        <v>87</v>
      </c>
      <c r="E1246" s="1">
        <v>85351</v>
      </c>
      <c r="F1246" s="1" t="s">
        <v>3034</v>
      </c>
      <c r="G1246" s="1" t="s">
        <v>3028</v>
      </c>
      <c r="H1246" s="4" t="s">
        <v>3035</v>
      </c>
      <c r="I1246" s="5" t="s">
        <v>30</v>
      </c>
      <c r="J1246" s="5" t="s">
        <v>31</v>
      </c>
      <c r="K1246" s="5" t="s">
        <v>31</v>
      </c>
      <c r="L1246" s="5" t="s">
        <v>1429</v>
      </c>
      <c r="M1246" s="5" t="s">
        <v>31</v>
      </c>
      <c r="N1246" s="5" t="s">
        <v>31</v>
      </c>
      <c r="O1246" s="5" t="s">
        <v>32</v>
      </c>
      <c r="P1246" s="5" t="s">
        <v>33</v>
      </c>
      <c r="Q1246" s="2">
        <v>45954</v>
      </c>
      <c r="V1246" s="45">
        <f>IF(OR(ISNUMBER(SEARCH("unable to locate acct",G1246)),ISNUMBER(SEARCH("unknown",G1246)),ISNUMBER(SEARCH("inactive",G1246)),H1246=""),0,1)</f>
        <v>1</v>
      </c>
    </row>
    <row r="1247" spans="1:22" hidden="1">
      <c r="A1247" s="2">
        <v>45944</v>
      </c>
      <c r="B1247" s="1" t="s">
        <v>2999</v>
      </c>
      <c r="C1247" s="1" t="s">
        <v>2300</v>
      </c>
      <c r="D1247" s="1" t="s">
        <v>2125</v>
      </c>
      <c r="E1247" s="1">
        <v>86325</v>
      </c>
      <c r="F1247" s="1" t="s">
        <v>3037</v>
      </c>
      <c r="G1247" s="1" t="s">
        <v>3028</v>
      </c>
      <c r="H1247" s="4" t="s">
        <v>3001</v>
      </c>
      <c r="I1247" s="5" t="s">
        <v>67</v>
      </c>
      <c r="J1247" s="5" t="s">
        <v>32</v>
      </c>
      <c r="K1247" s="5" t="s">
        <v>31</v>
      </c>
      <c r="L1247" s="5" t="s">
        <v>1278</v>
      </c>
      <c r="M1247" s="5" t="s">
        <v>31</v>
      </c>
      <c r="N1247" s="5" t="s">
        <v>31</v>
      </c>
      <c r="O1247" s="5" t="s">
        <v>32</v>
      </c>
      <c r="P1247" s="5" t="s">
        <v>33</v>
      </c>
      <c r="Q1247" s="2">
        <v>45954</v>
      </c>
      <c r="R1247" s="1" t="s">
        <v>3002</v>
      </c>
      <c r="V1247" s="45">
        <f>IF(OR(ISNUMBER(SEARCH("unable to locate acct",G1247)),ISNUMBER(SEARCH("unknown",G1247)),ISNUMBER(SEARCH("inactive",G1247)),H1247=""),0,1)</f>
        <v>1</v>
      </c>
    </row>
    <row r="1248" spans="1:22" hidden="1">
      <c r="A1248" s="2">
        <v>45944</v>
      </c>
      <c r="B1248" s="1" t="s">
        <v>2165</v>
      </c>
      <c r="C1248" s="1" t="s">
        <v>2566</v>
      </c>
      <c r="D1248" s="1" t="s">
        <v>57</v>
      </c>
      <c r="E1248" s="1">
        <v>85041</v>
      </c>
      <c r="F1248" s="1" t="s">
        <v>2996</v>
      </c>
      <c r="G1248" s="1" t="s">
        <v>3028</v>
      </c>
      <c r="H1248" s="4" t="s">
        <v>21</v>
      </c>
      <c r="V1248" s="45">
        <f>IF(OR(ISNUMBER(SEARCH("unable to locate acct",G1248)),ISNUMBER(SEARCH("unknown",G1248)),ISNUMBER(SEARCH("inactive",G1248)),H1248=""),0,1)</f>
        <v>1</v>
      </c>
    </row>
    <row r="1249" spans="1:22" hidden="1">
      <c r="A1249" s="2">
        <v>45945</v>
      </c>
      <c r="B1249" s="1" t="s">
        <v>3038</v>
      </c>
      <c r="C1249" s="1" t="s">
        <v>178</v>
      </c>
      <c r="D1249" s="1" t="s">
        <v>1923</v>
      </c>
      <c r="E1249" s="1">
        <v>85603</v>
      </c>
      <c r="F1249" s="1" t="s">
        <v>3039</v>
      </c>
      <c r="G1249" s="1" t="s">
        <v>3040</v>
      </c>
      <c r="H1249" s="4" t="s">
        <v>3041</v>
      </c>
      <c r="I1249" s="5" t="s">
        <v>190</v>
      </c>
      <c r="J1249" s="5" t="s">
        <v>31</v>
      </c>
      <c r="K1249" s="5" t="s">
        <v>31</v>
      </c>
      <c r="L1249" s="7" t="s">
        <v>3042</v>
      </c>
      <c r="M1249" s="5" t="s">
        <v>31</v>
      </c>
      <c r="N1249" s="5" t="s">
        <v>31</v>
      </c>
      <c r="O1249" s="5" t="s">
        <v>32</v>
      </c>
      <c r="P1249" s="2">
        <v>45947</v>
      </c>
      <c r="Q1249" s="2">
        <v>45954</v>
      </c>
      <c r="R1249" s="1" t="s">
        <v>3043</v>
      </c>
      <c r="V1249" s="45">
        <f>IF(OR(ISNUMBER(SEARCH("unable to locate acct",G1249)),ISNUMBER(SEARCH("unknown",G1249)),ISNUMBER(SEARCH("inactive",G1249)),H1249=""),0,1)</f>
        <v>1</v>
      </c>
    </row>
    <row r="1250" spans="1:22" hidden="1">
      <c r="A1250" s="2">
        <v>45944</v>
      </c>
      <c r="B1250" s="1" t="s">
        <v>3044</v>
      </c>
      <c r="C1250" s="1" t="s">
        <v>738</v>
      </c>
      <c r="D1250" s="1" t="s">
        <v>57</v>
      </c>
      <c r="E1250" s="1">
        <v>85032</v>
      </c>
      <c r="F1250" s="1" t="s">
        <v>2996</v>
      </c>
      <c r="G1250" s="1" t="s">
        <v>3045</v>
      </c>
      <c r="H1250" s="4" t="s">
        <v>3046</v>
      </c>
      <c r="I1250" s="5" t="s">
        <v>190</v>
      </c>
      <c r="J1250" s="5" t="s">
        <v>31</v>
      </c>
      <c r="L1250" s="5" t="s">
        <v>3047</v>
      </c>
      <c r="O1250" s="5" t="s">
        <v>32</v>
      </c>
      <c r="P1250" s="5" t="s">
        <v>33</v>
      </c>
      <c r="R1250" s="1" t="s">
        <v>3048</v>
      </c>
      <c r="V1250" s="45">
        <f>IF(OR(ISNUMBER(SEARCH("unable to locate acct",G1250)),ISNUMBER(SEARCH("unknown",G1250)),ISNUMBER(SEARCH("inactive",G1250)),H1250=""),0,1)</f>
        <v>1</v>
      </c>
    </row>
    <row r="1251" spans="1:22" hidden="1">
      <c r="A1251" s="2">
        <v>45944</v>
      </c>
      <c r="B1251" s="1" t="s">
        <v>3049</v>
      </c>
      <c r="C1251" s="1" t="s">
        <v>676</v>
      </c>
      <c r="D1251" s="1" t="s">
        <v>57</v>
      </c>
      <c r="E1251" s="1">
        <v>85015</v>
      </c>
      <c r="F1251" s="1" t="s">
        <v>2996</v>
      </c>
      <c r="G1251" s="1" t="s">
        <v>3045</v>
      </c>
      <c r="H1251" s="4" t="s">
        <v>3050</v>
      </c>
      <c r="I1251" s="5" t="s">
        <v>51</v>
      </c>
      <c r="J1251" s="5" t="s">
        <v>31</v>
      </c>
      <c r="K1251" s="5" t="s">
        <v>31</v>
      </c>
      <c r="L1251" s="7" t="s">
        <v>3051</v>
      </c>
      <c r="M1251" s="5" t="s">
        <v>31</v>
      </c>
      <c r="N1251" s="5" t="s">
        <v>31</v>
      </c>
      <c r="O1251" s="5" t="s">
        <v>32</v>
      </c>
      <c r="P1251" s="2">
        <v>45947</v>
      </c>
      <c r="Q1251" s="2">
        <v>45954</v>
      </c>
      <c r="R1251" s="1" t="s">
        <v>3052</v>
      </c>
      <c r="V1251" s="45">
        <f>IF(OR(ISNUMBER(SEARCH("unable to locate acct",G1251)),ISNUMBER(SEARCH("unknown",G1251)),ISNUMBER(SEARCH("inactive",G1251)),H1251=""),0,1)</f>
        <v>1</v>
      </c>
    </row>
    <row r="1252" spans="1:22" hidden="1">
      <c r="A1252" s="2">
        <v>45944</v>
      </c>
      <c r="B1252" s="1" t="s">
        <v>3053</v>
      </c>
      <c r="C1252" s="1" t="s">
        <v>539</v>
      </c>
      <c r="D1252" s="1" t="s">
        <v>3054</v>
      </c>
      <c r="E1252" s="1">
        <v>85602</v>
      </c>
      <c r="F1252" s="1" t="s">
        <v>2996</v>
      </c>
      <c r="G1252" s="1" t="s">
        <v>3045</v>
      </c>
      <c r="H1252" s="4" t="s">
        <v>21</v>
      </c>
      <c r="R1252" s="1" t="s">
        <v>3048</v>
      </c>
      <c r="V1252" s="45">
        <f>IF(OR(ISNUMBER(SEARCH("unable to locate acct",G1252)),ISNUMBER(SEARCH("unknown",G1252)),ISNUMBER(SEARCH("inactive",G1252)),H1252=""),0,1)</f>
        <v>1</v>
      </c>
    </row>
    <row r="1253" spans="1:22" hidden="1">
      <c r="A1253" s="2">
        <v>45944</v>
      </c>
      <c r="B1253" s="1" t="s">
        <v>3055</v>
      </c>
      <c r="C1253" s="1" t="s">
        <v>3056</v>
      </c>
      <c r="D1253" s="1" t="s">
        <v>3003</v>
      </c>
      <c r="E1253" s="1">
        <v>85747</v>
      </c>
      <c r="F1253" s="1" t="s">
        <v>2996</v>
      </c>
      <c r="G1253" s="1" t="s">
        <v>3045</v>
      </c>
      <c r="H1253" s="4" t="s">
        <v>21</v>
      </c>
      <c r="R1253" s="1" t="s">
        <v>3048</v>
      </c>
      <c r="V1253" s="45">
        <f>IF(OR(ISNUMBER(SEARCH("unable to locate acct",G1253)),ISNUMBER(SEARCH("unknown",G1253)),ISNUMBER(SEARCH("inactive",G1253)),H1253=""),0,1)</f>
        <v>1</v>
      </c>
    </row>
    <row r="1254" spans="1:22" hidden="1">
      <c r="A1254" s="2">
        <v>45944</v>
      </c>
      <c r="B1254" s="1" t="s">
        <v>3057</v>
      </c>
      <c r="C1254" s="1" t="s">
        <v>250</v>
      </c>
      <c r="D1254" s="1" t="s">
        <v>57</v>
      </c>
      <c r="E1254" s="1">
        <v>85032</v>
      </c>
      <c r="F1254" s="1" t="s">
        <v>2996</v>
      </c>
      <c r="G1254" s="1" t="s">
        <v>3045</v>
      </c>
      <c r="H1254" s="4" t="s">
        <v>21</v>
      </c>
      <c r="R1254" s="1" t="s">
        <v>3048</v>
      </c>
      <c r="V1254" s="45">
        <f>IF(OR(ISNUMBER(SEARCH("unable to locate acct",G1254)),ISNUMBER(SEARCH("unknown",G1254)),ISNUMBER(SEARCH("inactive",G1254)),H1254=""),0,1)</f>
        <v>1</v>
      </c>
    </row>
    <row r="1255" spans="1:22" hidden="1">
      <c r="A1255" s="2">
        <v>45944</v>
      </c>
      <c r="B1255" s="1" t="s">
        <v>3058</v>
      </c>
      <c r="C1255" s="1" t="s">
        <v>219</v>
      </c>
      <c r="D1255" s="1" t="s">
        <v>57</v>
      </c>
      <c r="E1255" s="1">
        <v>85032</v>
      </c>
      <c r="F1255" s="1" t="s">
        <v>2996</v>
      </c>
      <c r="G1255" s="1" t="s">
        <v>3045</v>
      </c>
      <c r="H1255" s="4" t="s">
        <v>3059</v>
      </c>
      <c r="I1255" s="5" t="s">
        <v>40</v>
      </c>
      <c r="J1255" s="5" t="s">
        <v>31</v>
      </c>
      <c r="K1255" s="5" t="s">
        <v>31</v>
      </c>
      <c r="L1255" s="5" t="s">
        <v>1429</v>
      </c>
      <c r="M1255" s="5" t="s">
        <v>31</v>
      </c>
      <c r="N1255" s="5" t="s">
        <v>31</v>
      </c>
      <c r="O1255" s="5" t="s">
        <v>32</v>
      </c>
      <c r="P1255" s="5" t="s">
        <v>33</v>
      </c>
      <c r="Q1255" s="2">
        <v>45954</v>
      </c>
      <c r="R1255" s="1" t="s">
        <v>3060</v>
      </c>
      <c r="V1255" s="45">
        <f>IF(OR(ISNUMBER(SEARCH("unable to locate acct",G1255)),ISNUMBER(SEARCH("unknown",G1255)),ISNUMBER(SEARCH("inactive",G1255)),H1255=""),0,1)</f>
        <v>1</v>
      </c>
    </row>
    <row r="1256" spans="1:22" hidden="1">
      <c r="A1256" s="2">
        <v>45944</v>
      </c>
      <c r="B1256" s="1" t="s">
        <v>161</v>
      </c>
      <c r="C1256" s="1" t="s">
        <v>3061</v>
      </c>
      <c r="D1256" s="1" t="s">
        <v>57</v>
      </c>
      <c r="E1256" s="1">
        <v>85007</v>
      </c>
      <c r="F1256" s="1" t="s">
        <v>2996</v>
      </c>
      <c r="G1256" s="1" t="s">
        <v>3045</v>
      </c>
      <c r="H1256" s="4" t="s">
        <v>3062</v>
      </c>
      <c r="I1256" s="5" t="s">
        <v>30</v>
      </c>
      <c r="J1256" s="5" t="s">
        <v>31</v>
      </c>
      <c r="K1256" s="5" t="s">
        <v>31</v>
      </c>
      <c r="L1256" s="5" t="s">
        <v>1429</v>
      </c>
      <c r="M1256" s="5" t="s">
        <v>31</v>
      </c>
      <c r="N1256" s="5" t="s">
        <v>31</v>
      </c>
      <c r="O1256" s="5" t="s">
        <v>32</v>
      </c>
      <c r="P1256" s="5" t="s">
        <v>33</v>
      </c>
      <c r="Q1256" s="2">
        <v>45954</v>
      </c>
      <c r="R1256" s="1" t="s">
        <v>3048</v>
      </c>
      <c r="V1256" s="45">
        <f>IF(OR(ISNUMBER(SEARCH("unable to locate acct",G1256)),ISNUMBER(SEARCH("unknown",G1256)),ISNUMBER(SEARCH("inactive",G1256)),H1256=""),0,1)</f>
        <v>1</v>
      </c>
    </row>
    <row r="1257" spans="1:22" hidden="1">
      <c r="A1257" s="2">
        <v>45944</v>
      </c>
      <c r="B1257" s="1" t="s">
        <v>1858</v>
      </c>
      <c r="C1257" s="1" t="s">
        <v>1602</v>
      </c>
      <c r="D1257" s="1" t="s">
        <v>3003</v>
      </c>
      <c r="E1257" s="1" t="s">
        <v>24</v>
      </c>
      <c r="F1257" s="1" t="s">
        <v>2996</v>
      </c>
      <c r="G1257" s="1" t="s">
        <v>3063</v>
      </c>
      <c r="H1257" s="4" t="s">
        <v>21</v>
      </c>
      <c r="V1257" s="45">
        <f>IF(OR(ISNUMBER(SEARCH("unable to locate acct",G1257)),ISNUMBER(SEARCH("unknown",G1257)),ISNUMBER(SEARCH("inactive",G1257)),H1257=""),0,1)</f>
        <v>1</v>
      </c>
    </row>
    <row r="1258" spans="1:22" hidden="1">
      <c r="A1258" s="2">
        <v>45944</v>
      </c>
      <c r="B1258" s="1" t="s">
        <v>3064</v>
      </c>
      <c r="C1258" s="1" t="s">
        <v>222</v>
      </c>
      <c r="D1258" s="1" t="s">
        <v>3003</v>
      </c>
      <c r="E1258" s="1" t="s">
        <v>24</v>
      </c>
      <c r="F1258" s="1" t="s">
        <v>2996</v>
      </c>
      <c r="G1258" s="1" t="s">
        <v>3063</v>
      </c>
      <c r="H1258" s="4" t="s">
        <v>21</v>
      </c>
      <c r="V1258" s="45">
        <f>IF(OR(ISNUMBER(SEARCH("unable to locate acct",G1258)),ISNUMBER(SEARCH("unknown",G1258)),ISNUMBER(SEARCH("inactive",G1258)),H1258=""),0,1)</f>
        <v>1</v>
      </c>
    </row>
    <row r="1259" spans="1:22" hidden="1">
      <c r="A1259" s="2">
        <v>45944</v>
      </c>
      <c r="B1259" s="1" t="s">
        <v>1020</v>
      </c>
      <c r="C1259" s="1" t="s">
        <v>3065</v>
      </c>
      <c r="D1259" s="1" t="s">
        <v>3003</v>
      </c>
      <c r="E1259" s="1" t="s">
        <v>24</v>
      </c>
      <c r="F1259" s="1" t="s">
        <v>2996</v>
      </c>
      <c r="G1259" s="1" t="s">
        <v>3063</v>
      </c>
      <c r="H1259" s="4" t="s">
        <v>21</v>
      </c>
      <c r="V1259" s="45">
        <f>IF(OR(ISNUMBER(SEARCH("unable to locate acct",G1259)),ISNUMBER(SEARCH("unknown",G1259)),ISNUMBER(SEARCH("inactive",G1259)),H1259=""),0,1)</f>
        <v>1</v>
      </c>
    </row>
    <row r="1260" spans="1:22" hidden="1">
      <c r="A1260" s="2">
        <v>45945</v>
      </c>
      <c r="B1260" s="1" t="s">
        <v>3066</v>
      </c>
      <c r="C1260" s="1" t="s">
        <v>432</v>
      </c>
      <c r="D1260" s="1" t="s">
        <v>3067</v>
      </c>
      <c r="E1260" s="1">
        <v>86337</v>
      </c>
      <c r="F1260" s="1" t="s">
        <v>3068</v>
      </c>
      <c r="G1260" s="1" t="s">
        <v>3069</v>
      </c>
      <c r="H1260" s="4" t="s">
        <v>3070</v>
      </c>
      <c r="I1260" s="5" t="s">
        <v>410</v>
      </c>
      <c r="J1260" s="5" t="s">
        <v>31</v>
      </c>
      <c r="K1260" s="5" t="s">
        <v>31</v>
      </c>
      <c r="L1260" s="5" t="s">
        <v>381</v>
      </c>
      <c r="M1260" s="5" t="s">
        <v>31</v>
      </c>
      <c r="N1260" s="5" t="s">
        <v>31</v>
      </c>
      <c r="O1260" s="5" t="s">
        <v>32</v>
      </c>
      <c r="P1260" s="5" t="s">
        <v>33</v>
      </c>
      <c r="Q1260" s="2">
        <v>45954</v>
      </c>
      <c r="V1260" s="45">
        <f>IF(OR(ISNUMBER(SEARCH("unable to locate acct",G1260)),ISNUMBER(SEARCH("unknown",G1260)),ISNUMBER(SEARCH("inactive",G1260)),H1260=""),0,1)</f>
        <v>1</v>
      </c>
    </row>
    <row r="1261" spans="1:22" hidden="1">
      <c r="A1261" s="2">
        <v>45945</v>
      </c>
      <c r="B1261" s="1" t="s">
        <v>3071</v>
      </c>
      <c r="C1261" s="1" t="s">
        <v>2776</v>
      </c>
      <c r="D1261" s="1" t="s">
        <v>3072</v>
      </c>
      <c r="E1261" s="1">
        <v>85650</v>
      </c>
      <c r="F1261" s="1" t="s">
        <v>3073</v>
      </c>
      <c r="G1261" s="1" t="s">
        <v>3069</v>
      </c>
      <c r="H1261" s="4" t="s">
        <v>3074</v>
      </c>
      <c r="I1261" s="5" t="s">
        <v>30</v>
      </c>
      <c r="J1261" s="5" t="s">
        <v>31</v>
      </c>
      <c r="K1261" s="5" t="s">
        <v>31</v>
      </c>
      <c r="L1261" s="5" t="s">
        <v>1429</v>
      </c>
      <c r="M1261" s="5" t="s">
        <v>31</v>
      </c>
      <c r="N1261" s="5" t="s">
        <v>31</v>
      </c>
      <c r="O1261" s="5" t="s">
        <v>32</v>
      </c>
      <c r="P1261" s="5" t="s">
        <v>33</v>
      </c>
      <c r="Q1261" s="2">
        <v>45954</v>
      </c>
      <c r="V1261" s="45">
        <f>IF(OR(ISNUMBER(SEARCH("unable to locate acct",G1261)),ISNUMBER(SEARCH("unknown",G1261)),ISNUMBER(SEARCH("inactive",G1261)),H1261=""),0,1)</f>
        <v>1</v>
      </c>
    </row>
    <row r="1262" spans="1:22" hidden="1">
      <c r="A1262" s="2">
        <v>45945</v>
      </c>
      <c r="B1262" s="1" t="s">
        <v>2165</v>
      </c>
      <c r="C1262" s="1" t="s">
        <v>2566</v>
      </c>
      <c r="D1262" s="1" t="s">
        <v>57</v>
      </c>
      <c r="E1262" s="1">
        <v>85041</v>
      </c>
      <c r="F1262" s="1" t="s">
        <v>2996</v>
      </c>
      <c r="G1262" s="1" t="s">
        <v>3069</v>
      </c>
      <c r="H1262" s="4" t="s">
        <v>21</v>
      </c>
      <c r="V1262" s="45">
        <f>IF(OR(ISNUMBER(SEARCH("unable to locate acct",G1262)),ISNUMBER(SEARCH("unknown",G1262)),ISNUMBER(SEARCH("inactive",G1262)),H1262=""),0,1)</f>
        <v>1</v>
      </c>
    </row>
    <row r="1263" spans="1:22" hidden="1">
      <c r="A1263" s="2">
        <v>45945</v>
      </c>
      <c r="B1263" s="1" t="s">
        <v>275</v>
      </c>
      <c r="C1263" s="1" t="s">
        <v>147</v>
      </c>
      <c r="D1263" s="1" t="s">
        <v>18</v>
      </c>
      <c r="E1263" s="1" t="s">
        <v>24</v>
      </c>
      <c r="F1263" s="1" t="s">
        <v>3075</v>
      </c>
      <c r="G1263" s="1" t="s">
        <v>3076</v>
      </c>
      <c r="H1263" s="4" t="s">
        <v>21</v>
      </c>
      <c r="V1263" s="45">
        <f>IF(OR(ISNUMBER(SEARCH("unable to locate acct",G1263)),ISNUMBER(SEARCH("unknown",G1263)),ISNUMBER(SEARCH("inactive",G1263)),H1263=""),0,1)</f>
        <v>1</v>
      </c>
    </row>
    <row r="1264" spans="1:22" hidden="1">
      <c r="A1264" s="2">
        <v>45946</v>
      </c>
      <c r="B1264" s="1" t="s">
        <v>3077</v>
      </c>
      <c r="C1264" s="1" t="s">
        <v>738</v>
      </c>
      <c r="D1264" s="1" t="s">
        <v>3078</v>
      </c>
      <c r="E1264" s="1">
        <v>85553</v>
      </c>
      <c r="F1264" s="1" t="s">
        <v>3079</v>
      </c>
      <c r="G1264" s="1" t="s">
        <v>3080</v>
      </c>
      <c r="H1264" s="4" t="s">
        <v>3081</v>
      </c>
      <c r="I1264" s="5" t="s">
        <v>532</v>
      </c>
      <c r="J1264" s="5" t="s">
        <v>31</v>
      </c>
      <c r="K1264" s="5" t="s">
        <v>31</v>
      </c>
      <c r="L1264" s="5" t="s">
        <v>381</v>
      </c>
      <c r="M1264" s="5" t="s">
        <v>31</v>
      </c>
      <c r="N1264" s="5" t="s">
        <v>31</v>
      </c>
      <c r="O1264" s="5" t="s">
        <v>32</v>
      </c>
      <c r="P1264" s="5" t="s">
        <v>33</v>
      </c>
      <c r="Q1264" s="2">
        <v>45954</v>
      </c>
      <c r="V1264" s="45">
        <f>IF(OR(ISNUMBER(SEARCH("unable to locate acct",G1264)),ISNUMBER(SEARCH("unknown",G1264)),ISNUMBER(SEARCH("inactive",G1264)),H1264=""),0,1)</f>
        <v>1</v>
      </c>
    </row>
    <row r="1265" spans="1:22" hidden="1">
      <c r="A1265" s="2">
        <v>45946</v>
      </c>
      <c r="B1265" s="1" t="s">
        <v>926</v>
      </c>
      <c r="C1265" s="1" t="s">
        <v>3082</v>
      </c>
      <c r="D1265" s="1" t="s">
        <v>57</v>
      </c>
      <c r="E1265" s="1">
        <v>85024</v>
      </c>
      <c r="F1265" s="1" t="s">
        <v>3083</v>
      </c>
      <c r="G1265" s="1" t="s">
        <v>3084</v>
      </c>
      <c r="H1265" s="4" t="s">
        <v>3085</v>
      </c>
      <c r="I1265" s="5" t="s">
        <v>30</v>
      </c>
      <c r="J1265" s="5" t="s">
        <v>31</v>
      </c>
      <c r="K1265" s="5" t="s">
        <v>31</v>
      </c>
      <c r="L1265" s="5" t="s">
        <v>1429</v>
      </c>
      <c r="M1265" s="5" t="s">
        <v>31</v>
      </c>
      <c r="N1265" s="5" t="s">
        <v>31</v>
      </c>
      <c r="O1265" s="5" t="s">
        <v>32</v>
      </c>
      <c r="P1265" s="5" t="s">
        <v>33</v>
      </c>
      <c r="Q1265" s="2">
        <v>45954</v>
      </c>
      <c r="V1265" s="45">
        <f>IF(OR(ISNUMBER(SEARCH("unable to locate acct",G1265)),ISNUMBER(SEARCH("unknown",G1265)),ISNUMBER(SEARCH("inactive",G1265)),H1265=""),0,1)</f>
        <v>1</v>
      </c>
    </row>
    <row r="1266" spans="1:22" hidden="1">
      <c r="A1266" s="2">
        <v>45946</v>
      </c>
      <c r="B1266" s="1" t="s">
        <v>2910</v>
      </c>
      <c r="C1266" s="1" t="s">
        <v>3086</v>
      </c>
      <c r="D1266" s="1" t="s">
        <v>801</v>
      </c>
      <c r="E1266" s="1">
        <v>86301</v>
      </c>
      <c r="F1266" s="1" t="s">
        <v>3087</v>
      </c>
      <c r="G1266" s="1" t="s">
        <v>3088</v>
      </c>
      <c r="H1266" s="4" t="s">
        <v>3089</v>
      </c>
      <c r="I1266" s="5" t="s">
        <v>30</v>
      </c>
      <c r="J1266" s="5" t="s">
        <v>31</v>
      </c>
      <c r="K1266" s="5" t="s">
        <v>31</v>
      </c>
      <c r="L1266" s="5" t="s">
        <v>1429</v>
      </c>
      <c r="M1266" s="5" t="s">
        <v>31</v>
      </c>
      <c r="N1266" s="5" t="s">
        <v>31</v>
      </c>
      <c r="O1266" s="5" t="s">
        <v>32</v>
      </c>
      <c r="P1266" s="5" t="s">
        <v>33</v>
      </c>
      <c r="Q1266" s="2">
        <v>45954</v>
      </c>
      <c r="V1266" s="45">
        <f>IF(OR(ISNUMBER(SEARCH("unable to locate acct",G1266)),ISNUMBER(SEARCH("unknown",G1266)),ISNUMBER(SEARCH("inactive",G1266)),H1266=""),0,1)</f>
        <v>1</v>
      </c>
    </row>
    <row r="1267" spans="1:22" hidden="1">
      <c r="A1267" s="2">
        <v>45946</v>
      </c>
      <c r="B1267" s="1" t="s">
        <v>3090</v>
      </c>
      <c r="C1267" s="1" t="s">
        <v>375</v>
      </c>
      <c r="D1267" s="1" t="s">
        <v>610</v>
      </c>
      <c r="E1267" s="1">
        <v>85364</v>
      </c>
      <c r="F1267" s="1" t="s">
        <v>3091</v>
      </c>
      <c r="G1267" s="1" t="s">
        <v>3088</v>
      </c>
      <c r="H1267" s="4" t="s">
        <v>3092</v>
      </c>
      <c r="I1267" s="5" t="s">
        <v>40</v>
      </c>
      <c r="J1267" s="5" t="s">
        <v>31</v>
      </c>
      <c r="K1267" s="5" t="s">
        <v>31</v>
      </c>
      <c r="L1267" s="5" t="s">
        <v>3093</v>
      </c>
      <c r="M1267" s="5" t="s">
        <v>31</v>
      </c>
      <c r="N1267" s="5" t="s">
        <v>31</v>
      </c>
      <c r="O1267" s="5" t="s">
        <v>32</v>
      </c>
      <c r="P1267" s="5" t="s">
        <v>33</v>
      </c>
      <c r="Q1267" s="2">
        <v>45954</v>
      </c>
      <c r="R1267" s="1" t="s">
        <v>3094</v>
      </c>
      <c r="V1267" s="45">
        <f>IF(OR(ISNUMBER(SEARCH("unable to locate acct",G1267)),ISNUMBER(SEARCH("unknown",G1267)),ISNUMBER(SEARCH("inactive",G1267)),H1267=""),0,1)</f>
        <v>1</v>
      </c>
    </row>
    <row r="1268" spans="1:22" hidden="1">
      <c r="A1268" s="2">
        <v>45946</v>
      </c>
      <c r="B1268" s="1" t="s">
        <v>3095</v>
      </c>
      <c r="C1268" s="1" t="s">
        <v>3096</v>
      </c>
      <c r="D1268" s="1" t="s">
        <v>626</v>
      </c>
      <c r="E1268" s="1">
        <v>85281</v>
      </c>
      <c r="F1268" s="1" t="s">
        <v>304</v>
      </c>
      <c r="G1268" s="1" t="s">
        <v>3088</v>
      </c>
      <c r="H1268" s="4" t="s">
        <v>84</v>
      </c>
      <c r="V1268" s="45">
        <f>IF(OR(ISNUMBER(SEARCH("unable to locate acct",G1268)),ISNUMBER(SEARCH("unknown",G1268)),ISNUMBER(SEARCH("inactive",G1268)),H1268=""),0,1)</f>
        <v>1</v>
      </c>
    </row>
    <row r="1269" spans="1:22" hidden="1">
      <c r="A1269" s="2">
        <v>45946</v>
      </c>
      <c r="B1269" s="1" t="s">
        <v>1033</v>
      </c>
      <c r="C1269" s="1" t="s">
        <v>927</v>
      </c>
      <c r="D1269" s="1" t="s">
        <v>57</v>
      </c>
      <c r="E1269" s="1">
        <v>85006</v>
      </c>
      <c r="F1269" s="1" t="s">
        <v>3097</v>
      </c>
      <c r="G1269" s="1" t="s">
        <v>3088</v>
      </c>
      <c r="H1269" s="4" t="s">
        <v>3098</v>
      </c>
      <c r="I1269" s="5" t="s">
        <v>532</v>
      </c>
      <c r="J1269" s="5" t="s">
        <v>31</v>
      </c>
      <c r="K1269" s="5" t="s">
        <v>31</v>
      </c>
      <c r="L1269" s="5" t="s">
        <v>381</v>
      </c>
      <c r="M1269" s="5" t="s">
        <v>31</v>
      </c>
      <c r="N1269" s="5" t="s">
        <v>31</v>
      </c>
      <c r="O1269" s="5" t="s">
        <v>32</v>
      </c>
      <c r="P1269" s="5" t="s">
        <v>33</v>
      </c>
      <c r="Q1269" s="2">
        <v>45954</v>
      </c>
      <c r="V1269" s="45">
        <f>IF(OR(ISNUMBER(SEARCH("unable to locate acct",G1269)),ISNUMBER(SEARCH("unknown",G1269)),ISNUMBER(SEARCH("inactive",G1269)),H1269=""),0,1)</f>
        <v>1</v>
      </c>
    </row>
    <row r="1270" spans="1:22" hidden="1">
      <c r="A1270" s="2">
        <v>45946</v>
      </c>
      <c r="B1270" s="1" t="s">
        <v>3099</v>
      </c>
      <c r="C1270" s="1" t="s">
        <v>3100</v>
      </c>
      <c r="D1270" s="1" t="s">
        <v>495</v>
      </c>
      <c r="E1270" s="1">
        <v>86005</v>
      </c>
      <c r="F1270" s="1" t="s">
        <v>3101</v>
      </c>
      <c r="G1270" s="1" t="s">
        <v>3088</v>
      </c>
      <c r="H1270" s="4" t="s">
        <v>3102</v>
      </c>
      <c r="I1270" s="5" t="s">
        <v>120</v>
      </c>
      <c r="J1270" s="5" t="s">
        <v>31</v>
      </c>
      <c r="K1270" s="5" t="s">
        <v>31</v>
      </c>
      <c r="L1270" s="5" t="s">
        <v>3103</v>
      </c>
      <c r="M1270" s="5" t="s">
        <v>31</v>
      </c>
      <c r="N1270" s="5" t="s">
        <v>31</v>
      </c>
      <c r="O1270" s="5" t="s">
        <v>32</v>
      </c>
      <c r="P1270" s="5" t="s">
        <v>33</v>
      </c>
      <c r="Q1270" s="2">
        <v>45954</v>
      </c>
      <c r="V1270" s="45">
        <f>IF(OR(ISNUMBER(SEARCH("unable to locate acct",G1270)),ISNUMBER(SEARCH("unknown",G1270)),ISNUMBER(SEARCH("inactive",G1270)),H1270=""),0,1)</f>
        <v>1</v>
      </c>
    </row>
    <row r="1271" spans="1:22" hidden="1">
      <c r="A1271" s="2">
        <v>45946</v>
      </c>
      <c r="B1271" s="1" t="s">
        <v>411</v>
      </c>
      <c r="C1271" s="1" t="s">
        <v>3104</v>
      </c>
      <c r="D1271" s="1" t="s">
        <v>57</v>
      </c>
      <c r="E1271" s="1">
        <v>85029</v>
      </c>
      <c r="F1271" s="1" t="s">
        <v>3105</v>
      </c>
      <c r="G1271" s="1" t="s">
        <v>3088</v>
      </c>
      <c r="H1271" s="4" t="s">
        <v>3106</v>
      </c>
      <c r="I1271" s="5" t="s">
        <v>120</v>
      </c>
      <c r="J1271" s="5" t="s">
        <v>31</v>
      </c>
      <c r="K1271" s="5" t="s">
        <v>31</v>
      </c>
      <c r="L1271" s="5" t="s">
        <v>1429</v>
      </c>
      <c r="M1271" s="5" t="s">
        <v>31</v>
      </c>
      <c r="N1271" s="5" t="s">
        <v>31</v>
      </c>
      <c r="O1271" s="5" t="s">
        <v>32</v>
      </c>
      <c r="P1271" s="5" t="s">
        <v>33</v>
      </c>
      <c r="Q1271" s="2">
        <v>45954</v>
      </c>
      <c r="V1271" s="45">
        <f>IF(OR(ISNUMBER(SEARCH("unable to locate acct",G1271)),ISNUMBER(SEARCH("unknown",G1271)),ISNUMBER(SEARCH("inactive",G1271)),H1271=""),0,1)</f>
        <v>1</v>
      </c>
    </row>
    <row r="1272" spans="1:22" hidden="1">
      <c r="A1272" s="2">
        <v>45947</v>
      </c>
      <c r="B1272" s="1" t="s">
        <v>72</v>
      </c>
      <c r="C1272" s="1" t="s">
        <v>73</v>
      </c>
      <c r="D1272" s="1" t="s">
        <v>119</v>
      </c>
      <c r="E1272" s="1">
        <v>85254</v>
      </c>
      <c r="F1272" s="1" t="s">
        <v>3107</v>
      </c>
      <c r="G1272" s="1" t="s">
        <v>3108</v>
      </c>
      <c r="H1272" s="4" t="s">
        <v>74</v>
      </c>
      <c r="I1272" s="5" t="s">
        <v>75</v>
      </c>
      <c r="J1272" s="5" t="s">
        <v>31</v>
      </c>
      <c r="K1272" s="5" t="s">
        <v>31</v>
      </c>
      <c r="L1272" s="5" t="s">
        <v>381</v>
      </c>
      <c r="M1272" s="5" t="s">
        <v>31</v>
      </c>
      <c r="N1272" s="5" t="s">
        <v>31</v>
      </c>
      <c r="O1272" s="5" t="s">
        <v>32</v>
      </c>
      <c r="P1272" s="5" t="s">
        <v>33</v>
      </c>
      <c r="Q1272" s="2">
        <v>45954</v>
      </c>
      <c r="R1272" s="1" t="s">
        <v>2400</v>
      </c>
      <c r="V1272" s="45">
        <f>IF(OR(ISNUMBER(SEARCH("unable to locate acct",G1272)),ISNUMBER(SEARCH("unknown",G1272)),ISNUMBER(SEARCH("inactive",G1272)),H1272=""),0,1)</f>
        <v>1</v>
      </c>
    </row>
    <row r="1273" spans="1:22" hidden="1">
      <c r="A1273" s="2">
        <v>45947</v>
      </c>
      <c r="B1273" s="1" t="s">
        <v>3109</v>
      </c>
      <c r="C1273" s="1" t="s">
        <v>698</v>
      </c>
      <c r="D1273" s="1" t="s">
        <v>24</v>
      </c>
      <c r="E1273" s="1" t="s">
        <v>24</v>
      </c>
      <c r="F1273" s="1" t="s">
        <v>3110</v>
      </c>
      <c r="G1273" s="1" t="s">
        <v>3108</v>
      </c>
      <c r="H1273" s="4" t="s">
        <v>84</v>
      </c>
      <c r="V1273" s="45">
        <f>IF(OR(ISNUMBER(SEARCH("unable to locate acct",G1273)),ISNUMBER(SEARCH("unknown",G1273)),ISNUMBER(SEARCH("inactive",G1273)),H1273=""),0,1)</f>
        <v>1</v>
      </c>
    </row>
    <row r="1274" spans="1:22" hidden="1">
      <c r="A1274" s="2">
        <v>45947</v>
      </c>
      <c r="B1274" s="1" t="s">
        <v>3111</v>
      </c>
      <c r="C1274" s="1" t="s">
        <v>1526</v>
      </c>
      <c r="D1274" s="1" t="s">
        <v>119</v>
      </c>
      <c r="E1274" s="1">
        <v>85254</v>
      </c>
      <c r="F1274" s="1" t="s">
        <v>3112</v>
      </c>
      <c r="G1274" s="1" t="s">
        <v>3108</v>
      </c>
      <c r="H1274" s="4" t="s">
        <v>3113</v>
      </c>
      <c r="I1274" s="5" t="s">
        <v>67</v>
      </c>
      <c r="J1274" s="5" t="s">
        <v>31</v>
      </c>
      <c r="K1274" s="5" t="s">
        <v>31</v>
      </c>
      <c r="L1274" s="5" t="s">
        <v>1429</v>
      </c>
      <c r="M1274" s="5" t="s">
        <v>31</v>
      </c>
      <c r="N1274" s="5" t="s">
        <v>31</v>
      </c>
      <c r="O1274" s="5" t="s">
        <v>32</v>
      </c>
      <c r="P1274" s="5" t="s">
        <v>33</v>
      </c>
      <c r="Q1274" s="2">
        <v>45954</v>
      </c>
      <c r="V1274" s="45">
        <f>IF(OR(ISNUMBER(SEARCH("unable to locate acct",G1274)),ISNUMBER(SEARCH("unknown",G1274)),ISNUMBER(SEARCH("inactive",G1274)),H1274=""),0,1)</f>
        <v>1</v>
      </c>
    </row>
    <row r="1275" spans="1:22" hidden="1">
      <c r="A1275" s="2">
        <v>45947</v>
      </c>
      <c r="B1275" s="1" t="s">
        <v>3114</v>
      </c>
      <c r="C1275" s="1" t="s">
        <v>566</v>
      </c>
      <c r="D1275" s="1" t="s">
        <v>3115</v>
      </c>
      <c r="F1275" s="1" t="s">
        <v>3116</v>
      </c>
      <c r="G1275" s="1" t="s">
        <v>3117</v>
      </c>
      <c r="H1275" s="4" t="s">
        <v>21</v>
      </c>
      <c r="V1275" s="45">
        <f>IF(OR(ISNUMBER(SEARCH("unable to locate acct",G1275)),ISNUMBER(SEARCH("unknown",G1275)),ISNUMBER(SEARCH("inactive",G1275)),H1275=""),0,1)</f>
        <v>1</v>
      </c>
    </row>
    <row r="1276" spans="1:22" hidden="1">
      <c r="A1276" s="2">
        <v>45947</v>
      </c>
      <c r="B1276" s="1" t="s">
        <v>3118</v>
      </c>
      <c r="C1276" s="1" t="s">
        <v>1333</v>
      </c>
      <c r="D1276" s="1" t="s">
        <v>24</v>
      </c>
      <c r="E1276" s="1" t="s">
        <v>24</v>
      </c>
      <c r="F1276" s="1" t="s">
        <v>3116</v>
      </c>
      <c r="G1276" s="1" t="s">
        <v>3117</v>
      </c>
      <c r="H1276" s="4" t="s">
        <v>21</v>
      </c>
      <c r="V1276" s="45">
        <f>IF(OR(ISNUMBER(SEARCH("unable to locate acct",G1276)),ISNUMBER(SEARCH("unknown",G1276)),ISNUMBER(SEARCH("inactive",G1276)),H1276=""),0,1)</f>
        <v>1</v>
      </c>
    </row>
    <row r="1277" spans="1:22" hidden="1">
      <c r="A1277" s="2">
        <v>45951</v>
      </c>
      <c r="B1277" s="1" t="s">
        <v>3119</v>
      </c>
      <c r="C1277" s="1" t="s">
        <v>82</v>
      </c>
      <c r="D1277" s="1" t="s">
        <v>2454</v>
      </c>
      <c r="E1277" s="1">
        <v>85344</v>
      </c>
      <c r="F1277" s="1" t="s">
        <v>3120</v>
      </c>
      <c r="G1277" s="1" t="s">
        <v>3121</v>
      </c>
      <c r="H1277" s="4" t="s">
        <v>3122</v>
      </c>
      <c r="I1277" s="5" t="s">
        <v>120</v>
      </c>
      <c r="J1277" s="5" t="s">
        <v>31</v>
      </c>
      <c r="K1277" s="5" t="s">
        <v>31</v>
      </c>
      <c r="M1277" s="5" t="s">
        <v>31</v>
      </c>
      <c r="N1277" s="5" t="s">
        <v>31</v>
      </c>
      <c r="O1277" s="5" t="s">
        <v>32</v>
      </c>
      <c r="P1277" s="5" t="s">
        <v>33</v>
      </c>
      <c r="Q1277" s="2">
        <v>45954</v>
      </c>
      <c r="R1277" s="1" t="s">
        <v>3123</v>
      </c>
      <c r="V1277" s="45">
        <f>IF(OR(ISNUMBER(SEARCH("unable to locate acct",G1277)),ISNUMBER(SEARCH("unknown",G1277)),ISNUMBER(SEARCH("inactive",G1277)),H1277=""),0,1)</f>
        <v>1</v>
      </c>
    </row>
    <row r="1278" spans="1:22" hidden="1">
      <c r="A1278" s="2">
        <v>45951</v>
      </c>
      <c r="B1278" s="1" t="s">
        <v>3124</v>
      </c>
      <c r="C1278" s="1" t="s">
        <v>520</v>
      </c>
      <c r="D1278" s="1" t="s">
        <v>196</v>
      </c>
      <c r="E1278" s="1">
        <v>85383</v>
      </c>
      <c r="F1278" s="1" t="s">
        <v>3125</v>
      </c>
      <c r="G1278" s="1" t="s">
        <v>3126</v>
      </c>
      <c r="H1278" s="4" t="s">
        <v>3127</v>
      </c>
      <c r="I1278" s="5" t="s">
        <v>30</v>
      </c>
      <c r="J1278" s="5" t="s">
        <v>31</v>
      </c>
      <c r="K1278" s="5" t="s">
        <v>31</v>
      </c>
      <c r="L1278" s="5" t="s">
        <v>1429</v>
      </c>
      <c r="M1278" s="5" t="s">
        <v>31</v>
      </c>
      <c r="N1278" s="5" t="s">
        <v>31</v>
      </c>
      <c r="O1278" s="5" t="s">
        <v>32</v>
      </c>
      <c r="P1278" s="5" t="s">
        <v>33</v>
      </c>
      <c r="Q1278" s="2">
        <v>45954</v>
      </c>
      <c r="V1278" s="45">
        <f>IF(OR(ISNUMBER(SEARCH("unable to locate acct",G1278)),ISNUMBER(SEARCH("unknown",G1278)),ISNUMBER(SEARCH("inactive",G1278)),H1278=""),0,1)</f>
        <v>1</v>
      </c>
    </row>
    <row r="1279" spans="1:22" hidden="1">
      <c r="A1279" s="2">
        <v>45951</v>
      </c>
      <c r="B1279" s="1" t="s">
        <v>3128</v>
      </c>
      <c r="C1279" s="1" t="s">
        <v>588</v>
      </c>
      <c r="D1279" s="1" t="s">
        <v>163</v>
      </c>
      <c r="E1279" s="1">
        <v>85338</v>
      </c>
      <c r="F1279" s="1" t="s">
        <v>3129</v>
      </c>
      <c r="G1279" s="1" t="s">
        <v>3126</v>
      </c>
      <c r="H1279" s="4" t="s">
        <v>3130</v>
      </c>
      <c r="I1279" s="5" t="s">
        <v>410</v>
      </c>
      <c r="J1279" s="5" t="s">
        <v>31</v>
      </c>
      <c r="K1279" s="5" t="s">
        <v>31</v>
      </c>
      <c r="L1279" s="5" t="s">
        <v>381</v>
      </c>
      <c r="M1279" s="5" t="s">
        <v>31</v>
      </c>
      <c r="N1279" s="5" t="s">
        <v>31</v>
      </c>
      <c r="O1279" s="5" t="s">
        <v>32</v>
      </c>
      <c r="P1279" s="5" t="s">
        <v>33</v>
      </c>
      <c r="Q1279" s="2">
        <v>45954</v>
      </c>
      <c r="V1279" s="45">
        <f>IF(OR(ISNUMBER(SEARCH("unable to locate acct",G1279)),ISNUMBER(SEARCH("unknown",G1279)),ISNUMBER(SEARCH("inactive",G1279)),H1279=""),0,1)</f>
        <v>1</v>
      </c>
    </row>
    <row r="1280" spans="1:22" hidden="1">
      <c r="A1280" s="2">
        <v>45951</v>
      </c>
      <c r="B1280" s="1" t="s">
        <v>3131</v>
      </c>
      <c r="C1280" s="1" t="s">
        <v>671</v>
      </c>
      <c r="D1280" s="1" t="s">
        <v>57</v>
      </c>
      <c r="E1280" s="1">
        <v>85014</v>
      </c>
      <c r="F1280" s="1" t="s">
        <v>3132</v>
      </c>
      <c r="G1280" s="1" t="s">
        <v>3133</v>
      </c>
      <c r="H1280" s="4" t="s">
        <v>84</v>
      </c>
      <c r="V1280" s="45">
        <f>IF(OR(ISNUMBER(SEARCH("unable to locate acct",G1280)),ISNUMBER(SEARCH("unknown",G1280)),ISNUMBER(SEARCH("inactive",G1280)),H1280=""),0,1)</f>
        <v>1</v>
      </c>
    </row>
    <row r="1281" spans="1:22" hidden="1">
      <c r="A1281" s="2">
        <v>45952</v>
      </c>
      <c r="B1281" s="1" t="s">
        <v>2143</v>
      </c>
      <c r="C1281" s="1" t="s">
        <v>1666</v>
      </c>
      <c r="D1281" s="1" t="s">
        <v>626</v>
      </c>
      <c r="E1281" s="1">
        <v>85282</v>
      </c>
      <c r="F1281" s="1" t="s">
        <v>3134</v>
      </c>
      <c r="G1281" s="1" t="s">
        <v>3133</v>
      </c>
      <c r="H1281" s="4" t="s">
        <v>21</v>
      </c>
      <c r="V1281" s="45">
        <f>IF(OR(ISNUMBER(SEARCH("unable to locate acct",G1281)),ISNUMBER(SEARCH("unknown",G1281)),ISNUMBER(SEARCH("inactive",G1281)),H1281=""),0,1)</f>
        <v>1</v>
      </c>
    </row>
    <row r="1282" spans="1:22" hidden="1">
      <c r="A1282" s="2">
        <v>45952</v>
      </c>
      <c r="B1282" s="1" t="s">
        <v>3135</v>
      </c>
      <c r="C1282" s="1" t="s">
        <v>3136</v>
      </c>
      <c r="D1282" s="1" t="s">
        <v>57</v>
      </c>
      <c r="E1282" s="1">
        <v>85012</v>
      </c>
      <c r="F1282" s="1" t="s">
        <v>3137</v>
      </c>
      <c r="G1282" s="1" t="s">
        <v>3133</v>
      </c>
      <c r="H1282" s="4" t="s">
        <v>3138</v>
      </c>
      <c r="I1282" s="5" t="s">
        <v>67</v>
      </c>
      <c r="J1282" s="5" t="s">
        <v>31</v>
      </c>
      <c r="K1282" s="5" t="s">
        <v>31</v>
      </c>
      <c r="L1282" s="5" t="s">
        <v>3139</v>
      </c>
      <c r="M1282" s="5" t="s">
        <v>31</v>
      </c>
      <c r="N1282" s="5" t="s">
        <v>31</v>
      </c>
      <c r="O1282" s="5" t="s">
        <v>32</v>
      </c>
      <c r="P1282" s="5" t="s">
        <v>33</v>
      </c>
      <c r="Q1282" s="2">
        <v>45954</v>
      </c>
      <c r="V1282" s="45">
        <f>IF(OR(ISNUMBER(SEARCH("unable to locate acct",G1282)),ISNUMBER(SEARCH("unknown",G1282)),ISNUMBER(SEARCH("inactive",G1282)),H1282=""),0,1)</f>
        <v>1</v>
      </c>
    </row>
    <row r="1283" spans="1:22" hidden="1">
      <c r="A1283" s="2">
        <v>45952</v>
      </c>
      <c r="B1283" s="1" t="s">
        <v>3140</v>
      </c>
      <c r="C1283" s="1" t="s">
        <v>222</v>
      </c>
      <c r="D1283" s="1" t="s">
        <v>168</v>
      </c>
      <c r="E1283" s="1">
        <v>85326</v>
      </c>
      <c r="F1283" s="1" t="s">
        <v>3141</v>
      </c>
      <c r="G1283" s="1" t="s">
        <v>3142</v>
      </c>
      <c r="H1283" s="4" t="s">
        <v>21</v>
      </c>
      <c r="Q1283" s="2"/>
      <c r="V1283" s="45">
        <f>IF(OR(ISNUMBER(SEARCH("unable to locate acct",G1283)),ISNUMBER(SEARCH("unknown",G1283)),ISNUMBER(SEARCH("inactive",G1283)),H1283=""),0,1)</f>
        <v>1</v>
      </c>
    </row>
    <row r="1284" spans="1:22" hidden="1">
      <c r="A1284" s="2">
        <v>45953</v>
      </c>
      <c r="B1284" s="1" t="s">
        <v>2171</v>
      </c>
      <c r="C1284" s="1" t="s">
        <v>1608</v>
      </c>
      <c r="D1284" s="1" t="s">
        <v>57</v>
      </c>
      <c r="E1284" s="1">
        <v>85019</v>
      </c>
      <c r="F1284" s="1" t="s">
        <v>2996</v>
      </c>
      <c r="G1284" s="1" t="s">
        <v>3142</v>
      </c>
      <c r="H1284" s="4" t="s">
        <v>84</v>
      </c>
      <c r="V1284" s="45">
        <f>IF(OR(ISNUMBER(SEARCH("unable to locate acct",G1284)),ISNUMBER(SEARCH("unknown",G1284)),ISNUMBER(SEARCH("inactive",G1284)),H1284=""),0,1)</f>
        <v>1</v>
      </c>
    </row>
    <row r="1285" spans="1:22" hidden="1">
      <c r="A1285" s="2">
        <v>45952</v>
      </c>
      <c r="B1285" s="1" t="s">
        <v>3143</v>
      </c>
      <c r="C1285" s="1" t="s">
        <v>3144</v>
      </c>
      <c r="D1285" s="1" t="s">
        <v>57</v>
      </c>
      <c r="E1285" s="1">
        <v>85023</v>
      </c>
      <c r="F1285" s="1" t="s">
        <v>3145</v>
      </c>
      <c r="G1285" s="1" t="s">
        <v>3146</v>
      </c>
      <c r="H1285" s="4" t="s">
        <v>3147</v>
      </c>
      <c r="I1285" s="5" t="s">
        <v>30</v>
      </c>
      <c r="J1285" s="5" t="s">
        <v>31</v>
      </c>
      <c r="K1285" s="5" t="s">
        <v>32</v>
      </c>
      <c r="L1285" s="5" t="s">
        <v>1429</v>
      </c>
      <c r="M1285" s="5" t="s">
        <v>31</v>
      </c>
      <c r="N1285" s="5" t="s">
        <v>31</v>
      </c>
      <c r="O1285" s="5" t="s">
        <v>32</v>
      </c>
      <c r="P1285" s="5" t="s">
        <v>33</v>
      </c>
      <c r="Q1285" s="2">
        <v>45954</v>
      </c>
      <c r="V1285" s="45">
        <f>IF(OR(ISNUMBER(SEARCH("unable to locate acct",G1285)),ISNUMBER(SEARCH("unknown",G1285)),ISNUMBER(SEARCH("inactive",G1285)),H1285=""),0,1)</f>
        <v>1</v>
      </c>
    </row>
    <row r="1286" spans="1:22" hidden="1">
      <c r="A1286" s="2">
        <v>45952</v>
      </c>
      <c r="B1286" s="1" t="s">
        <v>3148</v>
      </c>
      <c r="C1286" s="1" t="s">
        <v>2063</v>
      </c>
      <c r="D1286" s="1" t="s">
        <v>168</v>
      </c>
      <c r="E1286" s="1">
        <v>85396</v>
      </c>
      <c r="F1286" s="1" t="s">
        <v>3149</v>
      </c>
      <c r="G1286" s="1" t="s">
        <v>3150</v>
      </c>
      <c r="H1286" s="4" t="s">
        <v>5679</v>
      </c>
      <c r="I1286" s="5" t="s">
        <v>75</v>
      </c>
      <c r="J1286" s="5" t="s">
        <v>31</v>
      </c>
      <c r="K1286" s="5" t="s">
        <v>31</v>
      </c>
      <c r="L1286" s="5" t="s">
        <v>381</v>
      </c>
      <c r="M1286" s="5" t="s">
        <v>31</v>
      </c>
      <c r="N1286" s="5" t="s">
        <v>31</v>
      </c>
      <c r="O1286" s="5" t="s">
        <v>32</v>
      </c>
      <c r="P1286" s="5" t="s">
        <v>33</v>
      </c>
      <c r="Q1286" s="2">
        <v>45954</v>
      </c>
      <c r="V1286" s="45">
        <f>IF(OR(ISNUMBER(SEARCH("unable to locate acct",G1286)),ISNUMBER(SEARCH("unknown",G1286)),ISNUMBER(SEARCH("inactive",G1286)),H1286=""),0,1)</f>
        <v>1</v>
      </c>
    </row>
    <row r="1287" spans="1:22" hidden="1">
      <c r="A1287" s="2">
        <v>45952</v>
      </c>
      <c r="B1287" s="1" t="s">
        <v>608</v>
      </c>
      <c r="C1287" s="1" t="s">
        <v>3151</v>
      </c>
      <c r="D1287" s="1" t="s">
        <v>168</v>
      </c>
      <c r="E1287" s="1">
        <v>85326</v>
      </c>
      <c r="F1287" s="1" t="s">
        <v>3152</v>
      </c>
      <c r="G1287" s="1" t="s">
        <v>3150</v>
      </c>
      <c r="H1287" s="4" t="s">
        <v>203</v>
      </c>
      <c r="V1287" s="45">
        <f>IF(OR(ISNUMBER(SEARCH("unable to locate acct",G1287)),ISNUMBER(SEARCH("unknown",G1287)),ISNUMBER(SEARCH("inactive",G1287)),H1287=""),0,1)</f>
        <v>1</v>
      </c>
    </row>
    <row r="1288" spans="1:22" hidden="1">
      <c r="A1288" s="2">
        <v>45953</v>
      </c>
      <c r="B1288" s="1" t="s">
        <v>3153</v>
      </c>
      <c r="C1288" s="1" t="s">
        <v>846</v>
      </c>
      <c r="D1288" s="1" t="s">
        <v>24</v>
      </c>
      <c r="E1288" s="1" t="s">
        <v>24</v>
      </c>
      <c r="F1288" s="1" t="s">
        <v>3154</v>
      </c>
      <c r="H1288" s="4" t="s">
        <v>21</v>
      </c>
      <c r="V1288" s="45">
        <f>IF(OR(ISNUMBER(SEARCH("unable to locate acct",G1288)),ISNUMBER(SEARCH("unknown",G1288)),ISNUMBER(SEARCH("inactive",G1288)),H1288=""),0,1)</f>
        <v>1</v>
      </c>
    </row>
    <row r="1289" spans="1:22" hidden="1">
      <c r="A1289" s="2">
        <v>45953</v>
      </c>
      <c r="B1289" s="1" t="s">
        <v>3155</v>
      </c>
      <c r="C1289" s="1" t="s">
        <v>314</v>
      </c>
      <c r="D1289" s="1" t="s">
        <v>24</v>
      </c>
      <c r="E1289" s="1" t="s">
        <v>24</v>
      </c>
      <c r="F1289" s="1" t="s">
        <v>3156</v>
      </c>
      <c r="G1289" s="1" t="s">
        <v>3157</v>
      </c>
      <c r="H1289" s="4" t="s">
        <v>21</v>
      </c>
      <c r="V1289" s="45">
        <f>IF(OR(ISNUMBER(SEARCH("unable to locate acct",G1289)),ISNUMBER(SEARCH("unknown",G1289)),ISNUMBER(SEARCH("inactive",G1289)),H1289=""),0,1)</f>
        <v>1</v>
      </c>
    </row>
    <row r="1290" spans="1:22" hidden="1">
      <c r="A1290" s="2">
        <v>45954</v>
      </c>
      <c r="B1290" s="1" t="s">
        <v>3158</v>
      </c>
      <c r="C1290" s="1" t="s">
        <v>3159</v>
      </c>
      <c r="D1290" s="1" t="s">
        <v>168</v>
      </c>
      <c r="E1290" s="1">
        <v>85326</v>
      </c>
      <c r="F1290" s="1" t="s">
        <v>3160</v>
      </c>
      <c r="G1290" s="1" t="s">
        <v>3161</v>
      </c>
      <c r="H1290" s="4" t="s">
        <v>3162</v>
      </c>
      <c r="I1290" s="5" t="s">
        <v>40</v>
      </c>
      <c r="J1290" s="5" t="s">
        <v>31</v>
      </c>
      <c r="K1290" s="5" t="s">
        <v>31</v>
      </c>
      <c r="L1290" s="5" t="s">
        <v>1429</v>
      </c>
      <c r="M1290" s="5" t="s">
        <v>32</v>
      </c>
      <c r="N1290" s="13">
        <v>384.67</v>
      </c>
      <c r="O1290" s="5" t="s">
        <v>32</v>
      </c>
      <c r="P1290" s="5" t="s">
        <v>33</v>
      </c>
      <c r="Q1290" s="2">
        <v>45960</v>
      </c>
      <c r="V1290" s="45">
        <f>IF(OR(ISNUMBER(SEARCH("unable to locate acct",G1290)),ISNUMBER(SEARCH("unknown",G1290)),ISNUMBER(SEARCH("inactive",G1290)),H1290=""),0,1)</f>
        <v>1</v>
      </c>
    </row>
    <row r="1291" spans="1:22" hidden="1">
      <c r="A1291" s="2">
        <v>45954</v>
      </c>
      <c r="B1291" s="1" t="s">
        <v>3163</v>
      </c>
      <c r="C1291" s="1" t="s">
        <v>541</v>
      </c>
      <c r="D1291" s="1" t="s">
        <v>196</v>
      </c>
      <c r="E1291" s="1">
        <v>85383</v>
      </c>
      <c r="F1291" s="1" t="s">
        <v>3164</v>
      </c>
      <c r="G1291" s="1" t="s">
        <v>3161</v>
      </c>
      <c r="H1291" s="4" t="s">
        <v>3165</v>
      </c>
      <c r="I1291" s="5" t="s">
        <v>30</v>
      </c>
      <c r="J1291" s="5" t="s">
        <v>31</v>
      </c>
      <c r="K1291" s="5" t="s">
        <v>31</v>
      </c>
      <c r="L1291" s="5" t="s">
        <v>1429</v>
      </c>
      <c r="M1291" s="5" t="s">
        <v>31</v>
      </c>
      <c r="N1291" s="5" t="s">
        <v>31</v>
      </c>
      <c r="O1291" s="5" t="s">
        <v>32</v>
      </c>
      <c r="P1291" s="5" t="s">
        <v>33</v>
      </c>
      <c r="Q1291" s="2">
        <v>45960</v>
      </c>
      <c r="V1291" s="45">
        <f>IF(OR(ISNUMBER(SEARCH("unable to locate acct",G1291)),ISNUMBER(SEARCH("unknown",G1291)),ISNUMBER(SEARCH("inactive",G1291)),H1291=""),0,1)</f>
        <v>1</v>
      </c>
    </row>
    <row r="1292" spans="1:22" hidden="1">
      <c r="A1292" s="2">
        <v>45954</v>
      </c>
      <c r="B1292" s="1" t="s">
        <v>3166</v>
      </c>
      <c r="C1292" s="1" t="s">
        <v>472</v>
      </c>
      <c r="D1292" s="1" t="s">
        <v>163</v>
      </c>
      <c r="E1292" s="1">
        <v>85395</v>
      </c>
      <c r="F1292" s="1" t="s">
        <v>3167</v>
      </c>
      <c r="G1292" s="1" t="s">
        <v>3161</v>
      </c>
      <c r="H1292" s="4" t="s">
        <v>3168</v>
      </c>
      <c r="I1292" s="5" t="s">
        <v>410</v>
      </c>
      <c r="J1292" s="5" t="s">
        <v>31</v>
      </c>
      <c r="K1292" s="5" t="s">
        <v>31</v>
      </c>
      <c r="L1292" s="5" t="s">
        <v>381</v>
      </c>
      <c r="M1292" s="5" t="s">
        <v>31</v>
      </c>
      <c r="N1292" s="5" t="s">
        <v>31</v>
      </c>
      <c r="O1292" s="5" t="s">
        <v>32</v>
      </c>
      <c r="P1292" s="5" t="s">
        <v>33</v>
      </c>
      <c r="Q1292" s="2">
        <v>45960</v>
      </c>
      <c r="V1292" s="45">
        <f>IF(OR(ISNUMBER(SEARCH("unable to locate acct",G1292)),ISNUMBER(SEARCH("unknown",G1292)),ISNUMBER(SEARCH("inactive",G1292)),H1292=""),0,1)</f>
        <v>1</v>
      </c>
    </row>
    <row r="1293" spans="1:22" hidden="1">
      <c r="A1293" s="2">
        <v>45954</v>
      </c>
      <c r="B1293" s="1" t="s">
        <v>3169</v>
      </c>
      <c r="C1293" s="1" t="s">
        <v>2171</v>
      </c>
      <c r="D1293" s="1" t="s">
        <v>57</v>
      </c>
      <c r="E1293" s="1">
        <v>85003</v>
      </c>
      <c r="F1293" s="1" t="s">
        <v>2850</v>
      </c>
      <c r="G1293" s="1" t="s">
        <v>3170</v>
      </c>
      <c r="H1293" s="4" t="s">
        <v>3171</v>
      </c>
      <c r="I1293" s="5" t="s">
        <v>120</v>
      </c>
      <c r="J1293" s="5" t="s">
        <v>31</v>
      </c>
      <c r="K1293" s="5" t="s">
        <v>31</v>
      </c>
      <c r="L1293" s="5" t="s">
        <v>3172</v>
      </c>
      <c r="M1293" s="5" t="s">
        <v>32</v>
      </c>
      <c r="N1293" s="13">
        <v>398.69</v>
      </c>
      <c r="O1293" s="5" t="s">
        <v>32</v>
      </c>
      <c r="P1293" s="5" t="s">
        <v>33</v>
      </c>
      <c r="Q1293" s="2">
        <v>45960</v>
      </c>
      <c r="V1293" s="45">
        <f>IF(OR(ISNUMBER(SEARCH("unable to locate acct",G1293)),ISNUMBER(SEARCH("unknown",G1293)),ISNUMBER(SEARCH("inactive",G1293)),H1293=""),0,1)</f>
        <v>1</v>
      </c>
    </row>
    <row r="1294" spans="1:22" hidden="1">
      <c r="A1294" s="2">
        <v>45956</v>
      </c>
      <c r="B1294" s="1" t="s">
        <v>3173</v>
      </c>
      <c r="C1294" s="1" t="s">
        <v>681</v>
      </c>
      <c r="D1294" s="1" t="s">
        <v>57</v>
      </c>
      <c r="E1294" s="1">
        <v>85050</v>
      </c>
      <c r="F1294" s="1" t="s">
        <v>3174</v>
      </c>
      <c r="G1294" s="1" t="s">
        <v>3170</v>
      </c>
      <c r="H1294" s="4" t="s">
        <v>21</v>
      </c>
      <c r="V1294" s="45">
        <f>IF(OR(ISNUMBER(SEARCH("unable to locate acct",G1294)),ISNUMBER(SEARCH("unknown",G1294)),ISNUMBER(SEARCH("inactive",G1294)),H1294=""),0,1)</f>
        <v>1</v>
      </c>
    </row>
    <row r="1295" spans="1:22" hidden="1">
      <c r="A1295" s="2">
        <v>45959</v>
      </c>
      <c r="B1295" s="1" t="s">
        <v>3175</v>
      </c>
      <c r="C1295" s="1" t="s">
        <v>246</v>
      </c>
      <c r="D1295" s="1" t="s">
        <v>57</v>
      </c>
      <c r="E1295" s="1">
        <v>85086</v>
      </c>
      <c r="F1295" s="1" t="s">
        <v>2996</v>
      </c>
      <c r="G1295" s="1" t="s">
        <v>3176</v>
      </c>
      <c r="H1295" s="4" t="s">
        <v>3177</v>
      </c>
      <c r="I1295" s="5" t="s">
        <v>30</v>
      </c>
      <c r="J1295" s="5" t="s">
        <v>32</v>
      </c>
      <c r="K1295" s="5" t="s">
        <v>31</v>
      </c>
      <c r="L1295" s="5" t="s">
        <v>3178</v>
      </c>
      <c r="M1295" s="5" t="s">
        <v>32</v>
      </c>
      <c r="N1295" s="13">
        <v>318.62</v>
      </c>
      <c r="O1295" s="5" t="s">
        <v>32</v>
      </c>
      <c r="P1295" s="5" t="s">
        <v>33</v>
      </c>
      <c r="Q1295" s="2">
        <v>45960</v>
      </c>
      <c r="R1295" s="1" t="s">
        <v>2964</v>
      </c>
      <c r="V1295" s="45">
        <f>IF(OR(ISNUMBER(SEARCH("unable to locate acct",G1295)),ISNUMBER(SEARCH("unknown",G1295)),ISNUMBER(SEARCH("inactive",G1295)),H1295=""),0,1)</f>
        <v>1</v>
      </c>
    </row>
    <row r="1296" spans="1:22" hidden="1">
      <c r="A1296" s="2">
        <v>45959</v>
      </c>
      <c r="B1296" s="1" t="s">
        <v>1647</v>
      </c>
      <c r="C1296" s="1" t="s">
        <v>3179</v>
      </c>
      <c r="D1296" s="1" t="s">
        <v>168</v>
      </c>
      <c r="E1296" s="1">
        <v>85396</v>
      </c>
      <c r="F1296" s="1" t="s">
        <v>2996</v>
      </c>
      <c r="G1296" s="1" t="s">
        <v>3176</v>
      </c>
      <c r="H1296" s="4" t="s">
        <v>3180</v>
      </c>
      <c r="I1296" s="5" t="s">
        <v>30</v>
      </c>
      <c r="J1296" s="5" t="s">
        <v>31</v>
      </c>
      <c r="K1296" s="5" t="s">
        <v>31</v>
      </c>
      <c r="L1296" s="5" t="s">
        <v>1429</v>
      </c>
      <c r="M1296" s="5" t="s">
        <v>31</v>
      </c>
      <c r="N1296" s="5" t="s">
        <v>31</v>
      </c>
      <c r="O1296" s="5" t="s">
        <v>32</v>
      </c>
      <c r="P1296" s="5" t="s">
        <v>33</v>
      </c>
      <c r="Q1296" s="2">
        <v>45960</v>
      </c>
      <c r="R1296" s="1" t="s">
        <v>2964</v>
      </c>
      <c r="V1296" s="45">
        <f>IF(OR(ISNUMBER(SEARCH("unable to locate acct",G1296)),ISNUMBER(SEARCH("unknown",G1296)),ISNUMBER(SEARCH("inactive",G1296)),H1296=""),0,1)</f>
        <v>1</v>
      </c>
    </row>
    <row r="1297" spans="1:22" hidden="1">
      <c r="A1297" s="2">
        <v>45959</v>
      </c>
      <c r="B1297" s="1" t="s">
        <v>3181</v>
      </c>
      <c r="C1297" s="1" t="s">
        <v>3182</v>
      </c>
      <c r="D1297" s="1" t="s">
        <v>1092</v>
      </c>
      <c r="E1297" s="1">
        <v>85355</v>
      </c>
      <c r="F1297" s="1" t="s">
        <v>2996</v>
      </c>
      <c r="G1297" s="1" t="s">
        <v>3176</v>
      </c>
      <c r="H1297" s="4" t="s">
        <v>21</v>
      </c>
      <c r="Q1297" s="2"/>
      <c r="R1297" s="1" t="s">
        <v>2964</v>
      </c>
      <c r="V1297" s="45">
        <f>IF(OR(ISNUMBER(SEARCH("unable to locate acct",G1297)),ISNUMBER(SEARCH("unknown",G1297)),ISNUMBER(SEARCH("inactive",G1297)),H1297=""),0,1)</f>
        <v>1</v>
      </c>
    </row>
    <row r="1298" spans="1:22" hidden="1">
      <c r="A1298" s="2">
        <v>45959</v>
      </c>
      <c r="B1298" s="1" t="s">
        <v>3183</v>
      </c>
      <c r="C1298" s="1" t="s">
        <v>1526</v>
      </c>
      <c r="D1298" s="1" t="s">
        <v>163</v>
      </c>
      <c r="E1298" s="1">
        <v>85395</v>
      </c>
      <c r="F1298" s="1" t="s">
        <v>2996</v>
      </c>
      <c r="G1298" s="1" t="s">
        <v>3176</v>
      </c>
      <c r="H1298" s="4" t="s">
        <v>21</v>
      </c>
      <c r="Q1298" s="2"/>
      <c r="R1298" s="1" t="s">
        <v>2964</v>
      </c>
      <c r="V1298" s="45">
        <f>IF(OR(ISNUMBER(SEARCH("unable to locate acct",G1298)),ISNUMBER(SEARCH("unknown",G1298)),ISNUMBER(SEARCH("inactive",G1298)),H1298=""),0,1)</f>
        <v>1</v>
      </c>
    </row>
    <row r="1299" spans="1:22" hidden="1">
      <c r="A1299" s="2">
        <v>45959</v>
      </c>
      <c r="B1299" s="1" t="s">
        <v>3184</v>
      </c>
      <c r="C1299" s="1" t="s">
        <v>3185</v>
      </c>
      <c r="D1299" s="1" t="s">
        <v>106</v>
      </c>
      <c r="E1299" s="1">
        <v>85387</v>
      </c>
      <c r="F1299" s="1" t="s">
        <v>2996</v>
      </c>
      <c r="G1299" s="1" t="s">
        <v>3176</v>
      </c>
      <c r="H1299" s="4" t="s">
        <v>3186</v>
      </c>
      <c r="I1299" s="5" t="s">
        <v>30</v>
      </c>
      <c r="J1299" s="5" t="s">
        <v>31</v>
      </c>
      <c r="K1299" s="5" t="s">
        <v>31</v>
      </c>
      <c r="L1299" s="5" t="s">
        <v>1429</v>
      </c>
      <c r="M1299" s="5" t="s">
        <v>31</v>
      </c>
      <c r="N1299" s="5" t="s">
        <v>31</v>
      </c>
      <c r="O1299" s="5" t="s">
        <v>32</v>
      </c>
      <c r="P1299" s="5" t="s">
        <v>33</v>
      </c>
      <c r="Q1299" s="2">
        <v>45960</v>
      </c>
      <c r="R1299" s="1" t="s">
        <v>2964</v>
      </c>
      <c r="V1299" s="45">
        <f>IF(OR(ISNUMBER(SEARCH("unable to locate acct",G1299)),ISNUMBER(SEARCH("unknown",G1299)),ISNUMBER(SEARCH("inactive",G1299)),H1299=""),0,1)</f>
        <v>1</v>
      </c>
    </row>
    <row r="1300" spans="1:22" hidden="1">
      <c r="A1300" s="2">
        <v>45959</v>
      </c>
      <c r="B1300" s="1" t="s">
        <v>3187</v>
      </c>
      <c r="C1300" s="1" t="s">
        <v>3188</v>
      </c>
      <c r="D1300" s="1" t="s">
        <v>106</v>
      </c>
      <c r="E1300" s="1">
        <v>85379</v>
      </c>
      <c r="F1300" s="1" t="s">
        <v>2996</v>
      </c>
      <c r="G1300" s="1" t="s">
        <v>3176</v>
      </c>
      <c r="H1300" s="4" t="s">
        <v>3189</v>
      </c>
      <c r="I1300" s="5" t="s">
        <v>190</v>
      </c>
      <c r="J1300" s="5" t="s">
        <v>31</v>
      </c>
      <c r="K1300" s="5" t="s">
        <v>31</v>
      </c>
      <c r="L1300" s="5" t="s">
        <v>3190</v>
      </c>
      <c r="M1300" s="5" t="s">
        <v>31</v>
      </c>
      <c r="N1300" s="5" t="s">
        <v>31</v>
      </c>
      <c r="O1300" s="5" t="s">
        <v>32</v>
      </c>
      <c r="P1300" s="5" t="s">
        <v>33</v>
      </c>
      <c r="Q1300" s="2">
        <v>45960</v>
      </c>
      <c r="R1300" s="1" t="s">
        <v>2964</v>
      </c>
      <c r="V1300" s="45">
        <f>IF(OR(ISNUMBER(SEARCH("unable to locate acct",G1300)),ISNUMBER(SEARCH("unknown",G1300)),ISNUMBER(SEARCH("inactive",G1300)),H1300=""),0,1)</f>
        <v>1</v>
      </c>
    </row>
    <row r="1301" spans="1:22" hidden="1">
      <c r="A1301" s="2">
        <v>45959</v>
      </c>
      <c r="B1301" s="1" t="s">
        <v>3191</v>
      </c>
      <c r="C1301" s="1" t="s">
        <v>3192</v>
      </c>
      <c r="D1301" s="1" t="s">
        <v>168</v>
      </c>
      <c r="E1301" s="1">
        <v>85326</v>
      </c>
      <c r="F1301" s="1" t="s">
        <v>2996</v>
      </c>
      <c r="G1301" s="1" t="s">
        <v>3176</v>
      </c>
      <c r="H1301" s="4" t="s">
        <v>21</v>
      </c>
      <c r="Q1301" s="2"/>
      <c r="R1301" s="1" t="s">
        <v>2964</v>
      </c>
      <c r="V1301" s="45">
        <f>IF(OR(ISNUMBER(SEARCH("unable to locate acct",G1301)),ISNUMBER(SEARCH("unknown",G1301)),ISNUMBER(SEARCH("inactive",G1301)),H1301=""),0,1)</f>
        <v>1</v>
      </c>
    </row>
    <row r="1302" spans="1:22" hidden="1">
      <c r="A1302" s="2">
        <v>45959</v>
      </c>
      <c r="B1302" s="1" t="s">
        <v>3193</v>
      </c>
      <c r="C1302" s="1" t="s">
        <v>3194</v>
      </c>
      <c r="D1302" s="1" t="s">
        <v>106</v>
      </c>
      <c r="E1302" s="1">
        <v>85379</v>
      </c>
      <c r="F1302" s="1" t="s">
        <v>2996</v>
      </c>
      <c r="G1302" s="1" t="s">
        <v>3176</v>
      </c>
      <c r="H1302" s="4" t="s">
        <v>3195</v>
      </c>
      <c r="I1302" s="5" t="s">
        <v>532</v>
      </c>
      <c r="J1302" s="5" t="s">
        <v>31</v>
      </c>
      <c r="K1302" s="5" t="s">
        <v>31</v>
      </c>
      <c r="L1302" s="5" t="s">
        <v>381</v>
      </c>
      <c r="M1302" s="5" t="s">
        <v>31</v>
      </c>
      <c r="N1302" s="5" t="s">
        <v>31</v>
      </c>
      <c r="O1302" s="5" t="s">
        <v>32</v>
      </c>
      <c r="P1302" s="5" t="s">
        <v>33</v>
      </c>
      <c r="Q1302" s="2">
        <v>45960</v>
      </c>
      <c r="R1302" s="1" t="s">
        <v>2964</v>
      </c>
      <c r="V1302" s="45">
        <f>IF(OR(ISNUMBER(SEARCH("unable to locate acct",G1302)),ISNUMBER(SEARCH("unknown",G1302)),ISNUMBER(SEARCH("inactive",G1302)),H1302=""),0,1)</f>
        <v>1</v>
      </c>
    </row>
    <row r="1303" spans="1:22" hidden="1">
      <c r="A1303" s="2">
        <v>45959</v>
      </c>
      <c r="B1303" s="1" t="s">
        <v>3196</v>
      </c>
      <c r="C1303" s="1" t="s">
        <v>3197</v>
      </c>
      <c r="D1303" s="1" t="s">
        <v>234</v>
      </c>
      <c r="E1303" s="1">
        <v>85340</v>
      </c>
      <c r="F1303" s="1" t="s">
        <v>2996</v>
      </c>
      <c r="G1303" s="1" t="s">
        <v>3176</v>
      </c>
      <c r="H1303" s="4" t="s">
        <v>21</v>
      </c>
      <c r="Q1303" s="2"/>
      <c r="R1303" s="1" t="s">
        <v>2964</v>
      </c>
      <c r="V1303" s="45">
        <f>IF(OR(ISNUMBER(SEARCH("unable to locate acct",G1303)),ISNUMBER(SEARCH("unknown",G1303)),ISNUMBER(SEARCH("inactive",G1303)),H1303=""),0,1)</f>
        <v>1</v>
      </c>
    </row>
    <row r="1304" spans="1:22" ht="11.1" hidden="1" customHeight="1">
      <c r="A1304" s="2">
        <v>45959</v>
      </c>
      <c r="B1304" s="1" t="s">
        <v>2910</v>
      </c>
      <c r="C1304" s="1" t="s">
        <v>1104</v>
      </c>
      <c r="D1304" s="1" t="s">
        <v>57</v>
      </c>
      <c r="E1304" s="1">
        <v>85020</v>
      </c>
      <c r="F1304" s="1" t="s">
        <v>2996</v>
      </c>
      <c r="G1304" s="1" t="s">
        <v>3198</v>
      </c>
      <c r="H1304" s="4" t="s">
        <v>3199</v>
      </c>
      <c r="I1304" s="5" t="s">
        <v>67</v>
      </c>
      <c r="J1304" s="5" t="s">
        <v>31</v>
      </c>
      <c r="K1304" s="5" t="s">
        <v>31</v>
      </c>
      <c r="L1304" s="5" t="s">
        <v>1429</v>
      </c>
      <c r="M1304" s="5" t="s">
        <v>31</v>
      </c>
      <c r="N1304" s="5" t="s">
        <v>31</v>
      </c>
      <c r="O1304" s="5" t="s">
        <v>32</v>
      </c>
      <c r="P1304" s="5" t="s">
        <v>33</v>
      </c>
      <c r="Q1304" s="2">
        <v>45960</v>
      </c>
      <c r="V1304" s="45">
        <f>IF(OR(ISNUMBER(SEARCH("unable to locate acct",G1304)),ISNUMBER(SEARCH("unknown",G1304)),ISNUMBER(SEARCH("inactive",G1304)),H1304=""),0,1)</f>
        <v>1</v>
      </c>
    </row>
    <row r="1305" spans="1:22" hidden="1">
      <c r="A1305" s="2">
        <v>45959</v>
      </c>
      <c r="B1305" s="1" t="s">
        <v>3200</v>
      </c>
      <c r="C1305" s="1" t="s">
        <v>3201</v>
      </c>
      <c r="D1305" s="1" t="s">
        <v>168</v>
      </c>
      <c r="E1305" s="1">
        <v>85396</v>
      </c>
      <c r="F1305" s="1" t="s">
        <v>3202</v>
      </c>
      <c r="G1305" s="1" t="s">
        <v>3203</v>
      </c>
      <c r="H1305" s="4" t="s">
        <v>3204</v>
      </c>
      <c r="I1305" s="5" t="s">
        <v>30</v>
      </c>
      <c r="J1305" s="5" t="s">
        <v>31</v>
      </c>
      <c r="K1305" s="5" t="s">
        <v>31</v>
      </c>
      <c r="L1305" s="5" t="s">
        <v>1429</v>
      </c>
      <c r="M1305" s="5" t="s">
        <v>31</v>
      </c>
      <c r="N1305" s="5" t="s">
        <v>31</v>
      </c>
      <c r="O1305" s="5" t="s">
        <v>32</v>
      </c>
      <c r="P1305" s="5" t="s">
        <v>33</v>
      </c>
      <c r="Q1305" s="2">
        <v>45960</v>
      </c>
      <c r="V1305" s="45">
        <f>IF(OR(ISNUMBER(SEARCH("unable to locate acct",G1305)),ISNUMBER(SEARCH("unknown",G1305)),ISNUMBER(SEARCH("inactive",G1305)),H1305=""),0,1)</f>
        <v>1</v>
      </c>
    </row>
    <row r="1306" spans="1:22" hidden="1">
      <c r="A1306" s="2">
        <v>45961</v>
      </c>
      <c r="B1306" s="1" t="s">
        <v>3205</v>
      </c>
      <c r="C1306" s="1" t="s">
        <v>178</v>
      </c>
      <c r="D1306" s="1" t="s">
        <v>168</v>
      </c>
      <c r="E1306" s="1">
        <v>85396</v>
      </c>
      <c r="F1306" s="1" t="s">
        <v>2996</v>
      </c>
      <c r="G1306" s="1" t="s">
        <v>3206</v>
      </c>
      <c r="H1306" s="4" t="s">
        <v>21</v>
      </c>
      <c r="Q1306" s="2"/>
      <c r="R1306" s="1" t="s">
        <v>2964</v>
      </c>
      <c r="V1306" s="45">
        <f>IF(OR(ISNUMBER(SEARCH("unable to locate acct",G1306)),ISNUMBER(SEARCH("unknown",G1306)),ISNUMBER(SEARCH("inactive",G1306)),H1306=""),0,1)</f>
        <v>1</v>
      </c>
    </row>
    <row r="1307" spans="1:22" hidden="1">
      <c r="A1307" s="2">
        <v>45961</v>
      </c>
      <c r="B1307" s="1" t="s">
        <v>3207</v>
      </c>
      <c r="C1307" s="1" t="s">
        <v>3208</v>
      </c>
      <c r="D1307" s="1" t="s">
        <v>168</v>
      </c>
      <c r="E1307" s="1">
        <v>85326</v>
      </c>
      <c r="F1307" s="1" t="s">
        <v>2996</v>
      </c>
      <c r="G1307" s="1" t="s">
        <v>3206</v>
      </c>
      <c r="H1307" s="4" t="s">
        <v>21</v>
      </c>
      <c r="Q1307" s="2"/>
      <c r="R1307" s="1" t="s">
        <v>2964</v>
      </c>
      <c r="V1307" s="45">
        <f>IF(OR(ISNUMBER(SEARCH("unable to locate acct",G1307)),ISNUMBER(SEARCH("unknown",G1307)),ISNUMBER(SEARCH("inactive",G1307)),H1307=""),0,1)</f>
        <v>1</v>
      </c>
    </row>
    <row r="1308" spans="1:22" hidden="1">
      <c r="A1308" s="2">
        <v>45961</v>
      </c>
      <c r="B1308" s="1" t="s">
        <v>1503</v>
      </c>
      <c r="C1308" s="1" t="s">
        <v>780</v>
      </c>
      <c r="D1308" s="1" t="s">
        <v>57</v>
      </c>
      <c r="E1308" s="1">
        <v>85083</v>
      </c>
      <c r="F1308" s="1" t="s">
        <v>2996</v>
      </c>
      <c r="G1308" s="1" t="s">
        <v>3206</v>
      </c>
      <c r="H1308" s="4" t="s">
        <v>3209</v>
      </c>
      <c r="I1308" s="5" t="s">
        <v>237</v>
      </c>
      <c r="J1308" s="5" t="s">
        <v>31</v>
      </c>
      <c r="K1308" s="5" t="s">
        <v>31</v>
      </c>
      <c r="L1308" s="5" t="s">
        <v>381</v>
      </c>
      <c r="M1308" s="5" t="s">
        <v>31</v>
      </c>
      <c r="N1308" s="5" t="s">
        <v>31</v>
      </c>
      <c r="O1308" s="5" t="s">
        <v>32</v>
      </c>
      <c r="P1308" s="5" t="s">
        <v>33</v>
      </c>
      <c r="Q1308" s="2">
        <v>45961</v>
      </c>
      <c r="R1308" s="1" t="s">
        <v>2964</v>
      </c>
      <c r="V1308" s="45">
        <f>IF(OR(ISNUMBER(SEARCH("unable to locate acct",G1308)),ISNUMBER(SEARCH("unknown",G1308)),ISNUMBER(SEARCH("inactive",G1308)),H1308=""),0,1)</f>
        <v>1</v>
      </c>
    </row>
    <row r="1309" spans="1:22" hidden="1">
      <c r="A1309" s="2">
        <v>45961</v>
      </c>
      <c r="B1309" s="1" t="s">
        <v>360</v>
      </c>
      <c r="C1309" s="1" t="s">
        <v>3210</v>
      </c>
      <c r="D1309" s="1" t="s">
        <v>1810</v>
      </c>
      <c r="E1309" s="1">
        <v>85128</v>
      </c>
      <c r="F1309" s="1" t="s">
        <v>2996</v>
      </c>
      <c r="G1309" s="1" t="s">
        <v>3206</v>
      </c>
      <c r="H1309" s="4" t="s">
        <v>3211</v>
      </c>
      <c r="I1309" s="5" t="s">
        <v>30</v>
      </c>
      <c r="J1309" s="5" t="s">
        <v>31</v>
      </c>
      <c r="K1309" s="5" t="s">
        <v>31</v>
      </c>
      <c r="L1309" s="5" t="s">
        <v>1429</v>
      </c>
      <c r="M1309" s="5" t="s">
        <v>31</v>
      </c>
      <c r="N1309" s="5" t="s">
        <v>31</v>
      </c>
      <c r="O1309" s="5" t="s">
        <v>32</v>
      </c>
      <c r="P1309" s="5" t="s">
        <v>33</v>
      </c>
      <c r="Q1309" s="2">
        <v>45961</v>
      </c>
      <c r="R1309" s="1" t="s">
        <v>2964</v>
      </c>
      <c r="V1309" s="45">
        <f>IF(OR(ISNUMBER(SEARCH("unable to locate acct",G1309)),ISNUMBER(SEARCH("unknown",G1309)),ISNUMBER(SEARCH("inactive",G1309)),H1309=""),0,1)</f>
        <v>1</v>
      </c>
    </row>
    <row r="1310" spans="1:22" hidden="1">
      <c r="A1310" s="2">
        <v>45961</v>
      </c>
      <c r="B1310" s="1" t="s">
        <v>677</v>
      </c>
      <c r="C1310" s="1" t="s">
        <v>639</v>
      </c>
      <c r="D1310" s="1" t="s">
        <v>196</v>
      </c>
      <c r="E1310" s="1">
        <v>85382</v>
      </c>
      <c r="F1310" s="1" t="s">
        <v>2996</v>
      </c>
      <c r="G1310" s="1" t="s">
        <v>3206</v>
      </c>
      <c r="H1310" s="4" t="s">
        <v>3212</v>
      </c>
      <c r="I1310" s="5" t="s">
        <v>30</v>
      </c>
      <c r="J1310" s="5" t="s">
        <v>31</v>
      </c>
      <c r="K1310" s="5" t="s">
        <v>31</v>
      </c>
      <c r="L1310" s="5" t="s">
        <v>1429</v>
      </c>
      <c r="M1310" s="5" t="s">
        <v>31</v>
      </c>
      <c r="N1310" s="5" t="s">
        <v>31</v>
      </c>
      <c r="O1310" s="5" t="s">
        <v>32</v>
      </c>
      <c r="P1310" s="5" t="s">
        <v>33</v>
      </c>
      <c r="Q1310" s="2">
        <v>45961</v>
      </c>
      <c r="R1310" s="1" t="s">
        <v>2964</v>
      </c>
      <c r="V1310" s="45">
        <f>IF(OR(ISNUMBER(SEARCH("unable to locate acct",G1310)),ISNUMBER(SEARCH("unknown",G1310)),ISNUMBER(SEARCH("inactive",G1310)),H1310=""),0,1)</f>
        <v>1</v>
      </c>
    </row>
    <row r="1311" spans="1:22" hidden="1">
      <c r="A1311" s="2">
        <v>45961</v>
      </c>
      <c r="B1311" s="1" t="s">
        <v>3213</v>
      </c>
      <c r="C1311" s="1" t="s">
        <v>1747</v>
      </c>
      <c r="D1311" s="1" t="s">
        <v>168</v>
      </c>
      <c r="E1311" s="1">
        <v>85396</v>
      </c>
      <c r="F1311" s="1" t="s">
        <v>2996</v>
      </c>
      <c r="G1311" s="1" t="s">
        <v>3206</v>
      </c>
      <c r="H1311" s="4" t="s">
        <v>21</v>
      </c>
      <c r="Q1311" s="2"/>
      <c r="R1311" s="1" t="s">
        <v>2964</v>
      </c>
      <c r="V1311" s="45">
        <f>IF(OR(ISNUMBER(SEARCH("unable to locate acct",G1311)),ISNUMBER(SEARCH("unknown",G1311)),ISNUMBER(SEARCH("inactive",G1311)),H1311=""),0,1)</f>
        <v>1</v>
      </c>
    </row>
    <row r="1312" spans="1:22" hidden="1">
      <c r="A1312" s="2">
        <v>45961</v>
      </c>
      <c r="B1312" s="1" t="s">
        <v>3213</v>
      </c>
      <c r="C1312" s="1" t="s">
        <v>1556</v>
      </c>
      <c r="D1312" s="1" t="s">
        <v>168</v>
      </c>
      <c r="E1312" s="1">
        <v>85396</v>
      </c>
      <c r="F1312" s="1" t="s">
        <v>2996</v>
      </c>
      <c r="G1312" s="1" t="s">
        <v>3206</v>
      </c>
      <c r="H1312" s="4" t="s">
        <v>21</v>
      </c>
      <c r="Q1312" s="2"/>
      <c r="R1312" s="1" t="s">
        <v>2964</v>
      </c>
      <c r="V1312" s="45">
        <f>IF(OR(ISNUMBER(SEARCH("unable to locate acct",G1312)),ISNUMBER(SEARCH("unknown",G1312)),ISNUMBER(SEARCH("inactive",G1312)),H1312=""),0,1)</f>
        <v>1</v>
      </c>
    </row>
    <row r="1313" spans="1:22" hidden="1">
      <c r="A1313" s="2">
        <v>45961</v>
      </c>
      <c r="B1313" s="1" t="s">
        <v>3214</v>
      </c>
      <c r="C1313" s="1" t="s">
        <v>3215</v>
      </c>
      <c r="D1313" s="1" t="s">
        <v>168</v>
      </c>
      <c r="E1313" s="1">
        <v>85326</v>
      </c>
      <c r="F1313" s="1" t="s">
        <v>2996</v>
      </c>
      <c r="G1313" s="1" t="s">
        <v>3206</v>
      </c>
      <c r="H1313" s="4" t="s">
        <v>3216</v>
      </c>
      <c r="I1313" s="5" t="s">
        <v>3217</v>
      </c>
      <c r="J1313" s="5" t="s">
        <v>32</v>
      </c>
      <c r="K1313" s="5" t="s">
        <v>31</v>
      </c>
      <c r="L1313" s="5" t="s">
        <v>381</v>
      </c>
      <c r="M1313" s="5" t="s">
        <v>31</v>
      </c>
      <c r="N1313" s="5" t="s">
        <v>31</v>
      </c>
      <c r="O1313" s="5" t="s">
        <v>32</v>
      </c>
      <c r="P1313" s="5" t="s">
        <v>33</v>
      </c>
      <c r="Q1313" s="2">
        <v>45961</v>
      </c>
      <c r="R1313" s="1" t="s">
        <v>2964</v>
      </c>
      <c r="V1313" s="45">
        <f>IF(OR(ISNUMBER(SEARCH("unable to locate acct",G1313)),ISNUMBER(SEARCH("unknown",G1313)),ISNUMBER(SEARCH("inactive",G1313)),H1313=""),0,1)</f>
        <v>1</v>
      </c>
    </row>
    <row r="1314" spans="1:22" hidden="1">
      <c r="A1314" s="2">
        <v>45959</v>
      </c>
      <c r="B1314" s="1" t="s">
        <v>3218</v>
      </c>
      <c r="C1314" s="1" t="s">
        <v>3219</v>
      </c>
      <c r="D1314" s="1" t="s">
        <v>57</v>
      </c>
      <c r="E1314" s="1">
        <v>85032</v>
      </c>
      <c r="F1314" s="1" t="s">
        <v>3220</v>
      </c>
      <c r="G1314" s="1" t="s">
        <v>3221</v>
      </c>
      <c r="H1314" s="4" t="s">
        <v>3222</v>
      </c>
      <c r="I1314" s="5" t="s">
        <v>120</v>
      </c>
      <c r="J1314" s="5" t="s">
        <v>31</v>
      </c>
      <c r="K1314" s="5" t="s">
        <v>31</v>
      </c>
      <c r="L1314" s="5" t="s">
        <v>393</v>
      </c>
      <c r="M1314" s="5" t="s">
        <v>31</v>
      </c>
      <c r="N1314" s="5" t="s">
        <v>31</v>
      </c>
      <c r="O1314" s="5" t="s">
        <v>32</v>
      </c>
      <c r="P1314" s="5" t="s">
        <v>33</v>
      </c>
      <c r="Q1314" s="2">
        <v>45964</v>
      </c>
      <c r="V1314" s="45">
        <f>IF(OR(ISNUMBER(SEARCH("unable to locate acct",G1314)),ISNUMBER(SEARCH("unknown",G1314)),ISNUMBER(SEARCH("inactive",G1314)),H1314=""),0,1)</f>
        <v>1</v>
      </c>
    </row>
    <row r="1315" spans="1:22" hidden="1">
      <c r="A1315" s="2">
        <v>45961</v>
      </c>
      <c r="B1315" s="1" t="s">
        <v>3223</v>
      </c>
      <c r="C1315" s="1" t="s">
        <v>1918</v>
      </c>
      <c r="D1315" s="1" t="s">
        <v>57</v>
      </c>
      <c r="E1315" s="1">
        <v>85050</v>
      </c>
      <c r="F1315" s="1" t="s">
        <v>2996</v>
      </c>
      <c r="G1315" s="1" t="s">
        <v>3221</v>
      </c>
      <c r="H1315" s="4" t="s">
        <v>3224</v>
      </c>
      <c r="I1315" s="5" t="s">
        <v>120</v>
      </c>
      <c r="J1315" s="5" t="s">
        <v>31</v>
      </c>
      <c r="K1315" s="5" t="s">
        <v>31</v>
      </c>
      <c r="L1315" s="5" t="s">
        <v>32</v>
      </c>
      <c r="M1315" s="5" t="s">
        <v>32</v>
      </c>
      <c r="N1315" s="13">
        <v>302.06</v>
      </c>
      <c r="O1315" s="5" t="s">
        <v>32</v>
      </c>
      <c r="P1315" s="5" t="s">
        <v>33</v>
      </c>
      <c r="Q1315" s="2">
        <v>45964</v>
      </c>
      <c r="V1315" s="45">
        <f>IF(OR(ISNUMBER(SEARCH("unable to locate acct",G1315)),ISNUMBER(SEARCH("unknown",G1315)),ISNUMBER(SEARCH("inactive",G1315)),H1315=""),0,1)</f>
        <v>1</v>
      </c>
    </row>
    <row r="1316" spans="1:22" ht="14.1" hidden="1" customHeight="1">
      <c r="A1316" s="2">
        <v>45959</v>
      </c>
      <c r="B1316" s="1" t="s">
        <v>3225</v>
      </c>
      <c r="C1316" s="1" t="s">
        <v>3226</v>
      </c>
      <c r="D1316" s="1" t="s">
        <v>57</v>
      </c>
      <c r="E1316" s="1">
        <v>85032</v>
      </c>
      <c r="F1316" s="1" t="s">
        <v>3220</v>
      </c>
      <c r="G1316" s="1" t="s">
        <v>3221</v>
      </c>
      <c r="H1316" s="4" t="s">
        <v>3222</v>
      </c>
      <c r="I1316" s="5" t="s">
        <v>120</v>
      </c>
      <c r="J1316" s="5" t="s">
        <v>31</v>
      </c>
      <c r="K1316" s="5" t="s">
        <v>31</v>
      </c>
      <c r="L1316" s="5" t="s">
        <v>393</v>
      </c>
      <c r="M1316" s="5" t="s">
        <v>31</v>
      </c>
      <c r="N1316" s="5" t="s">
        <v>31</v>
      </c>
      <c r="O1316" s="5" t="s">
        <v>32</v>
      </c>
      <c r="P1316" s="5" t="s">
        <v>33</v>
      </c>
      <c r="Q1316" s="2">
        <v>45964</v>
      </c>
      <c r="V1316" s="45">
        <f>IF(OR(ISNUMBER(SEARCH("unable to locate acct",G1316)),ISNUMBER(SEARCH("unknown",G1316)),ISNUMBER(SEARCH("inactive",G1316)),H1316=""),0,1)</f>
        <v>1</v>
      </c>
    </row>
    <row r="1317" spans="1:22" hidden="1">
      <c r="A1317" s="2">
        <v>45961</v>
      </c>
      <c r="B1317" s="1" t="s">
        <v>3227</v>
      </c>
      <c r="C1317" s="1" t="s">
        <v>1691</v>
      </c>
      <c r="D1317" s="1" t="s">
        <v>1675</v>
      </c>
      <c r="E1317" s="1">
        <v>85208</v>
      </c>
      <c r="F1317" s="1" t="s">
        <v>2996</v>
      </c>
      <c r="G1317" s="1" t="s">
        <v>3221</v>
      </c>
      <c r="H1317" s="4" t="s">
        <v>21</v>
      </c>
      <c r="V1317" s="45">
        <f>IF(OR(ISNUMBER(SEARCH("unable to locate acct",G1317)),ISNUMBER(SEARCH("unknown",G1317)),ISNUMBER(SEARCH("inactive",G1317)),H1317=""),0,1)</f>
        <v>1</v>
      </c>
    </row>
    <row r="1318" spans="1:22" hidden="1">
      <c r="A1318" s="2">
        <v>45959</v>
      </c>
      <c r="B1318" s="1" t="s">
        <v>2309</v>
      </c>
      <c r="C1318" s="1" t="s">
        <v>2011</v>
      </c>
      <c r="D1318" s="1" t="s">
        <v>83</v>
      </c>
      <c r="E1318" s="1">
        <v>86351</v>
      </c>
      <c r="F1318" s="1" t="s">
        <v>3228</v>
      </c>
      <c r="G1318" s="1" t="s">
        <v>3221</v>
      </c>
      <c r="H1318" s="4" t="s">
        <v>2311</v>
      </c>
      <c r="I1318" s="5" t="s">
        <v>51</v>
      </c>
      <c r="J1318" s="5" t="s">
        <v>31</v>
      </c>
      <c r="K1318" s="5" t="s">
        <v>31</v>
      </c>
      <c r="L1318" s="7" t="s">
        <v>2312</v>
      </c>
      <c r="M1318" s="5" t="s">
        <v>31</v>
      </c>
      <c r="N1318" s="5" t="s">
        <v>31</v>
      </c>
      <c r="O1318" s="5" t="s">
        <v>32</v>
      </c>
      <c r="P1318" s="2">
        <v>45971</v>
      </c>
      <c r="Q1318" s="2">
        <v>45964</v>
      </c>
      <c r="R1318" s="1" t="s">
        <v>1855</v>
      </c>
      <c r="V1318" s="45">
        <f>IF(OR(ISNUMBER(SEARCH("unable to locate acct",G1318)),ISNUMBER(SEARCH("unknown",G1318)),ISNUMBER(SEARCH("inactive",G1318)),H1318=""),0,1)</f>
        <v>1</v>
      </c>
    </row>
    <row r="1319" spans="1:22" hidden="1">
      <c r="A1319" s="2">
        <v>45959</v>
      </c>
      <c r="B1319" s="1" t="s">
        <v>3229</v>
      </c>
      <c r="C1319" s="1" t="s">
        <v>3230</v>
      </c>
      <c r="D1319" s="1" t="s">
        <v>57</v>
      </c>
      <c r="E1319" s="1">
        <v>85085</v>
      </c>
      <c r="F1319" s="1" t="s">
        <v>3231</v>
      </c>
      <c r="G1319" s="1" t="s">
        <v>3221</v>
      </c>
      <c r="H1319" s="4" t="s">
        <v>3232</v>
      </c>
      <c r="I1319" s="5" t="s">
        <v>30</v>
      </c>
      <c r="J1319" s="5" t="s">
        <v>31</v>
      </c>
      <c r="K1319" s="5" t="s">
        <v>31</v>
      </c>
      <c r="L1319" s="5" t="s">
        <v>32</v>
      </c>
      <c r="M1319" s="5" t="s">
        <v>31</v>
      </c>
      <c r="N1319" s="5" t="s">
        <v>31</v>
      </c>
      <c r="O1319" s="5" t="s">
        <v>32</v>
      </c>
      <c r="P1319" s="5" t="s">
        <v>33</v>
      </c>
      <c r="Q1319" s="2">
        <v>45964</v>
      </c>
      <c r="V1319" s="45">
        <f>IF(OR(ISNUMBER(SEARCH("unable to locate acct",G1319)),ISNUMBER(SEARCH("unknown",G1319)),ISNUMBER(SEARCH("inactive",G1319)),H1319=""),0,1)</f>
        <v>1</v>
      </c>
    </row>
    <row r="1320" spans="1:22" hidden="1">
      <c r="A1320" s="2">
        <v>45961</v>
      </c>
      <c r="B1320" s="1" t="s">
        <v>3233</v>
      </c>
      <c r="C1320" s="1" t="s">
        <v>1494</v>
      </c>
      <c r="D1320" s="1" t="s">
        <v>3003</v>
      </c>
      <c r="E1320" s="1">
        <v>85730</v>
      </c>
      <c r="F1320" s="1" t="s">
        <v>2996</v>
      </c>
      <c r="G1320" s="1" t="s">
        <v>3221</v>
      </c>
      <c r="H1320" s="4" t="s">
        <v>21</v>
      </c>
      <c r="V1320" s="45">
        <f>IF(OR(ISNUMBER(SEARCH("unable to locate acct",G1320)),ISNUMBER(SEARCH("unknown",G1320)),ISNUMBER(SEARCH("inactive",G1320)),H1320=""),0,1)</f>
        <v>1</v>
      </c>
    </row>
    <row r="1321" spans="1:22" hidden="1">
      <c r="A1321" s="2">
        <v>45961</v>
      </c>
      <c r="B1321" s="1" t="s">
        <v>3234</v>
      </c>
      <c r="C1321" s="1" t="s">
        <v>3235</v>
      </c>
      <c r="D1321" s="1" t="s">
        <v>24</v>
      </c>
      <c r="F1321" s="1" t="s">
        <v>3236</v>
      </c>
      <c r="G1321" s="1" t="s">
        <v>3221</v>
      </c>
      <c r="H1321" s="4" t="s">
        <v>21</v>
      </c>
      <c r="V1321" s="45">
        <f>IF(OR(ISNUMBER(SEARCH("unable to locate acct",G1321)),ISNUMBER(SEARCH("unknown",G1321)),ISNUMBER(SEARCH("inactive",G1321)),H1321=""),0,1)</f>
        <v>1</v>
      </c>
    </row>
    <row r="1322" spans="1:22" hidden="1">
      <c r="A1322" s="2">
        <v>45961</v>
      </c>
      <c r="B1322" s="1" t="s">
        <v>161</v>
      </c>
      <c r="C1322" s="1" t="s">
        <v>494</v>
      </c>
      <c r="D1322" s="1" t="s">
        <v>24</v>
      </c>
      <c r="F1322" s="1" t="s">
        <v>3237</v>
      </c>
      <c r="G1322" s="1" t="s">
        <v>3221</v>
      </c>
      <c r="H1322" s="4" t="s">
        <v>203</v>
      </c>
      <c r="V1322" s="45">
        <f>IF(OR(ISNUMBER(SEARCH("unable to locate acct",G1322)),ISNUMBER(SEARCH("unknown",G1322)),ISNUMBER(SEARCH("inactive",G1322)),H1322=""),0,1)</f>
        <v>1</v>
      </c>
    </row>
    <row r="1323" spans="1:22" hidden="1">
      <c r="A1323" s="2">
        <v>45961</v>
      </c>
      <c r="B1323" s="1" t="s">
        <v>3238</v>
      </c>
      <c r="C1323" s="1" t="s">
        <v>73</v>
      </c>
      <c r="D1323" s="1" t="s">
        <v>3003</v>
      </c>
      <c r="E1323" s="1">
        <v>85745</v>
      </c>
      <c r="F1323" s="1" t="s">
        <v>2996</v>
      </c>
      <c r="G1323" s="1" t="s">
        <v>3221</v>
      </c>
      <c r="H1323" s="4" t="s">
        <v>21</v>
      </c>
      <c r="V1323" s="45">
        <f>IF(OR(ISNUMBER(SEARCH("unable to locate acct",G1323)),ISNUMBER(SEARCH("unknown",G1323)),ISNUMBER(SEARCH("inactive",G1323)),H1323=""),0,1)</f>
        <v>1</v>
      </c>
    </row>
    <row r="1324" spans="1:22" hidden="1">
      <c r="A1324" s="2">
        <v>45961</v>
      </c>
      <c r="B1324" s="1" t="s">
        <v>3239</v>
      </c>
      <c r="C1324" s="1" t="s">
        <v>472</v>
      </c>
      <c r="D1324" s="1" t="s">
        <v>689</v>
      </c>
      <c r="E1324" s="1">
        <v>85375</v>
      </c>
      <c r="F1324" s="1" t="s">
        <v>3240</v>
      </c>
      <c r="G1324" s="1" t="s">
        <v>3241</v>
      </c>
      <c r="H1324" s="4" t="s">
        <v>3242</v>
      </c>
      <c r="I1324" s="5" t="s">
        <v>532</v>
      </c>
      <c r="J1324" s="5" t="s">
        <v>31</v>
      </c>
      <c r="K1324" s="5" t="s">
        <v>31</v>
      </c>
      <c r="L1324" s="5" t="s">
        <v>381</v>
      </c>
      <c r="M1324" s="5" t="s">
        <v>31</v>
      </c>
      <c r="N1324" s="5" t="s">
        <v>31</v>
      </c>
      <c r="O1324" s="5" t="s">
        <v>32</v>
      </c>
      <c r="P1324" s="5" t="s">
        <v>33</v>
      </c>
      <c r="Q1324" s="2">
        <v>45964</v>
      </c>
      <c r="R1324" s="1" t="s">
        <v>3243</v>
      </c>
      <c r="V1324" s="45">
        <f>IF(OR(ISNUMBER(SEARCH("unable to locate acct",G1324)),ISNUMBER(SEARCH("unknown",G1324)),ISNUMBER(SEARCH("inactive",G1324)),H1324=""),0,1)</f>
        <v>1</v>
      </c>
    </row>
    <row r="1325" spans="1:22" hidden="1">
      <c r="A1325" s="2">
        <v>45961</v>
      </c>
      <c r="B1325" s="1" t="s">
        <v>990</v>
      </c>
      <c r="C1325" s="1" t="s">
        <v>724</v>
      </c>
      <c r="D1325" s="1" t="s">
        <v>18</v>
      </c>
      <c r="E1325" s="1">
        <v>85308</v>
      </c>
      <c r="F1325" s="1" t="s">
        <v>3244</v>
      </c>
      <c r="G1325" s="1" t="s">
        <v>3245</v>
      </c>
      <c r="H1325" s="4" t="s">
        <v>21</v>
      </c>
      <c r="V1325" s="45">
        <f>IF(OR(ISNUMBER(SEARCH("unable to locate acct",G1325)),ISNUMBER(SEARCH("unknown",G1325)),ISNUMBER(SEARCH("inactive",G1325)),H1325=""),0,1)</f>
        <v>1</v>
      </c>
    </row>
    <row r="1326" spans="1:22" hidden="1">
      <c r="A1326" s="2">
        <v>45961</v>
      </c>
      <c r="B1326" s="1" t="s">
        <v>3246</v>
      </c>
      <c r="C1326" s="1" t="s">
        <v>3247</v>
      </c>
      <c r="D1326" s="1" t="s">
        <v>57</v>
      </c>
      <c r="E1326" s="1">
        <v>85086</v>
      </c>
      <c r="F1326" s="1" t="s">
        <v>2996</v>
      </c>
      <c r="G1326" s="1" t="s">
        <v>3248</v>
      </c>
      <c r="H1326" s="4" t="s">
        <v>21</v>
      </c>
      <c r="V1326" s="45">
        <f>IF(OR(ISNUMBER(SEARCH("unable to locate acct",G1326)),ISNUMBER(SEARCH("unknown",G1326)),ISNUMBER(SEARCH("inactive",G1326)),H1326=""),0,1)</f>
        <v>1</v>
      </c>
    </row>
    <row r="1327" spans="1:22" hidden="1">
      <c r="A1327" s="2">
        <v>45961</v>
      </c>
      <c r="B1327" s="1" t="s">
        <v>1033</v>
      </c>
      <c r="C1327" s="1" t="s">
        <v>205</v>
      </c>
      <c r="D1327" s="1" t="s">
        <v>163</v>
      </c>
      <c r="E1327" s="1">
        <v>85338</v>
      </c>
      <c r="F1327" s="1" t="s">
        <v>3249</v>
      </c>
      <c r="G1327" s="1" t="s">
        <v>3248</v>
      </c>
      <c r="H1327" s="4" t="s">
        <v>203</v>
      </c>
      <c r="V1327" s="45">
        <f>IF(OR(ISNUMBER(SEARCH("unable to locate acct",G1327)),ISNUMBER(SEARCH("unknown",G1327)),ISNUMBER(SEARCH("inactive",G1327)),H1327=""),0,1)</f>
        <v>1</v>
      </c>
    </row>
    <row r="1328" spans="1:22" hidden="1">
      <c r="A1328" s="2">
        <v>45961</v>
      </c>
      <c r="B1328" s="1" t="s">
        <v>3250</v>
      </c>
      <c r="C1328" s="1" t="s">
        <v>224</v>
      </c>
      <c r="D1328" s="1" t="s">
        <v>24</v>
      </c>
      <c r="E1328" s="1" t="s">
        <v>24</v>
      </c>
      <c r="F1328" s="1" t="s">
        <v>3251</v>
      </c>
      <c r="G1328" s="1" t="s">
        <v>3248</v>
      </c>
      <c r="H1328" s="4" t="s">
        <v>3252</v>
      </c>
      <c r="I1328" s="5" t="s">
        <v>120</v>
      </c>
      <c r="J1328" s="5" t="s">
        <v>31</v>
      </c>
      <c r="K1328" s="5" t="s">
        <v>31</v>
      </c>
      <c r="L1328" s="5" t="s">
        <v>32</v>
      </c>
      <c r="M1328" s="5" t="s">
        <v>31</v>
      </c>
      <c r="N1328" s="5" t="s">
        <v>31</v>
      </c>
      <c r="O1328" s="5" t="s">
        <v>32</v>
      </c>
      <c r="P1328" s="5" t="s">
        <v>33</v>
      </c>
      <c r="Q1328" s="2">
        <v>45965</v>
      </c>
      <c r="V1328" s="45">
        <f>IF(OR(ISNUMBER(SEARCH("unable to locate acct",G1328)),ISNUMBER(SEARCH("unknown",G1328)),ISNUMBER(SEARCH("inactive",G1328)),H1328=""),0,1)</f>
        <v>1</v>
      </c>
    </row>
    <row r="1329" spans="1:22" hidden="1">
      <c r="A1329" s="2">
        <v>45961</v>
      </c>
      <c r="B1329" s="1" t="s">
        <v>1567</v>
      </c>
      <c r="C1329" s="1" t="s">
        <v>3253</v>
      </c>
      <c r="D1329" s="1" t="s">
        <v>119</v>
      </c>
      <c r="E1329" s="1">
        <v>85266</v>
      </c>
      <c r="F1329" s="1" t="s">
        <v>3254</v>
      </c>
      <c r="G1329" s="1" t="s">
        <v>3248</v>
      </c>
      <c r="H1329" s="4" t="s">
        <v>21</v>
      </c>
      <c r="V1329" s="45">
        <f>IF(OR(ISNUMBER(SEARCH("unable to locate acct",G1329)),ISNUMBER(SEARCH("unknown",G1329)),ISNUMBER(SEARCH("inactive",G1329)),H1329=""),0,1)</f>
        <v>1</v>
      </c>
    </row>
    <row r="1330" spans="1:22" hidden="1">
      <c r="A1330" s="2">
        <v>45961</v>
      </c>
      <c r="B1330" s="1" t="s">
        <v>2489</v>
      </c>
      <c r="C1330" s="1" t="s">
        <v>3255</v>
      </c>
      <c r="D1330" s="1" t="s">
        <v>18</v>
      </c>
      <c r="E1330" s="1">
        <v>85310</v>
      </c>
      <c r="F1330" s="1" t="s">
        <v>2996</v>
      </c>
      <c r="G1330" s="1" t="s">
        <v>3256</v>
      </c>
      <c r="H1330" s="4" t="s">
        <v>3257</v>
      </c>
      <c r="I1330" s="5" t="s">
        <v>40</v>
      </c>
      <c r="J1330" s="5" t="s">
        <v>31</v>
      </c>
      <c r="K1330" s="5" t="s">
        <v>31</v>
      </c>
      <c r="L1330" s="5" t="s">
        <v>32</v>
      </c>
      <c r="M1330" s="5" t="s">
        <v>31</v>
      </c>
      <c r="N1330" s="5" t="s">
        <v>31</v>
      </c>
      <c r="O1330" s="5" t="s">
        <v>32</v>
      </c>
      <c r="P1330" s="5" t="s">
        <v>33</v>
      </c>
      <c r="Q1330" s="2">
        <v>45965</v>
      </c>
      <c r="V1330" s="45">
        <f>IF(OR(ISNUMBER(SEARCH("unable to locate acct",G1330)),ISNUMBER(SEARCH("unknown",G1330)),ISNUMBER(SEARCH("inactive",G1330)),H1330=""),0,1)</f>
        <v>1</v>
      </c>
    </row>
    <row r="1331" spans="1:22" hidden="1">
      <c r="A1331" s="2">
        <v>45964</v>
      </c>
      <c r="B1331" s="1" t="s">
        <v>204</v>
      </c>
      <c r="C1331" s="1" t="s">
        <v>205</v>
      </c>
      <c r="D1331" s="1" t="s">
        <v>79</v>
      </c>
      <c r="E1331" s="1">
        <v>86323</v>
      </c>
      <c r="F1331" s="1" t="s">
        <v>3258</v>
      </c>
      <c r="G1331" s="1" t="s">
        <v>3256</v>
      </c>
      <c r="H1331" s="4" t="s">
        <v>207</v>
      </c>
      <c r="I1331" s="5" t="s">
        <v>67</v>
      </c>
      <c r="J1331" s="5" t="s">
        <v>31</v>
      </c>
      <c r="K1331" s="5" t="s">
        <v>31</v>
      </c>
      <c r="L1331" s="5" t="s">
        <v>32</v>
      </c>
      <c r="M1331" s="5" t="s">
        <v>31</v>
      </c>
      <c r="N1331" s="5" t="s">
        <v>31</v>
      </c>
      <c r="O1331" s="5" t="s">
        <v>32</v>
      </c>
      <c r="P1331" s="5" t="s">
        <v>33</v>
      </c>
      <c r="Q1331" s="2">
        <v>45965</v>
      </c>
      <c r="V1331" s="45">
        <f>IF(OR(ISNUMBER(SEARCH("unable to locate acct",G1331)),ISNUMBER(SEARCH("unknown",G1331)),ISNUMBER(SEARCH("inactive",G1331)),H1331=""),0,1)</f>
        <v>1</v>
      </c>
    </row>
    <row r="1332" spans="1:22" hidden="1">
      <c r="A1332" s="2">
        <v>45964</v>
      </c>
      <c r="B1332" s="1" t="s">
        <v>3259</v>
      </c>
      <c r="C1332" s="1" t="s">
        <v>3260</v>
      </c>
      <c r="D1332" s="1" t="s">
        <v>24</v>
      </c>
      <c r="E1332" s="1" t="s">
        <v>24</v>
      </c>
      <c r="F1332" s="1" t="s">
        <v>3261</v>
      </c>
      <c r="G1332" s="1" t="s">
        <v>3256</v>
      </c>
      <c r="H1332" s="4" t="s">
        <v>203</v>
      </c>
      <c r="V1332" s="45">
        <f>IF(OR(ISNUMBER(SEARCH("unable to locate acct",G1332)),ISNUMBER(SEARCH("unknown",G1332)),ISNUMBER(SEARCH("inactive",G1332)),H1332=""),0,1)</f>
        <v>1</v>
      </c>
    </row>
    <row r="1333" spans="1:22" hidden="1">
      <c r="A1333" s="2">
        <v>45961</v>
      </c>
      <c r="B1333" s="1" t="s">
        <v>1575</v>
      </c>
      <c r="C1333" s="1" t="s">
        <v>991</v>
      </c>
      <c r="D1333" s="1" t="s">
        <v>37</v>
      </c>
      <c r="E1333" s="1">
        <v>85363</v>
      </c>
      <c r="F1333" s="1" t="s">
        <v>2996</v>
      </c>
      <c r="G1333" s="1" t="s">
        <v>3256</v>
      </c>
      <c r="H1333" s="4" t="s">
        <v>3262</v>
      </c>
      <c r="I1333" s="5" t="s">
        <v>190</v>
      </c>
      <c r="J1333" s="5" t="s">
        <v>31</v>
      </c>
      <c r="K1333" s="5" t="s">
        <v>31</v>
      </c>
      <c r="L1333" s="5" t="s">
        <v>3263</v>
      </c>
      <c r="M1333" s="5" t="s">
        <v>32</v>
      </c>
      <c r="N1333" s="15">
        <v>1482.25</v>
      </c>
      <c r="O1333" s="5" t="s">
        <v>32</v>
      </c>
      <c r="P1333" s="7"/>
      <c r="Q1333" s="2">
        <v>45965</v>
      </c>
      <c r="R1333" s="32" t="s">
        <v>3264</v>
      </c>
      <c r="V1333" s="45">
        <f>IF(OR(ISNUMBER(SEARCH("unable to locate acct",G1333)),ISNUMBER(SEARCH("unknown",G1333)),ISNUMBER(SEARCH("inactive",G1333)),H1333=""),0,1)</f>
        <v>1</v>
      </c>
    </row>
    <row r="1334" spans="1:22" hidden="1">
      <c r="A1334" s="2">
        <v>45962</v>
      </c>
      <c r="B1334" s="1" t="s">
        <v>3265</v>
      </c>
      <c r="C1334" s="1" t="s">
        <v>602</v>
      </c>
      <c r="D1334" s="1" t="s">
        <v>57</v>
      </c>
      <c r="E1334" s="1">
        <v>85029</v>
      </c>
      <c r="F1334" s="1" t="s">
        <v>3266</v>
      </c>
      <c r="G1334" s="1" t="s">
        <v>3256</v>
      </c>
      <c r="H1334" s="4" t="s">
        <v>3267</v>
      </c>
      <c r="I1334" s="5" t="s">
        <v>30</v>
      </c>
      <c r="J1334" s="5" t="s">
        <v>31</v>
      </c>
      <c r="K1334" s="5" t="s">
        <v>31</v>
      </c>
      <c r="L1334" s="5" t="s">
        <v>32</v>
      </c>
      <c r="M1334" s="5" t="s">
        <v>31</v>
      </c>
      <c r="N1334" s="5" t="s">
        <v>31</v>
      </c>
      <c r="O1334" s="5" t="s">
        <v>32</v>
      </c>
      <c r="P1334" s="5" t="s">
        <v>33</v>
      </c>
      <c r="Q1334" s="2">
        <v>45965</v>
      </c>
      <c r="V1334" s="45">
        <f>IF(OR(ISNUMBER(SEARCH("unable to locate acct",G1334)),ISNUMBER(SEARCH("unknown",G1334)),ISNUMBER(SEARCH("inactive",G1334)),H1334=""),0,1)</f>
        <v>1</v>
      </c>
    </row>
    <row r="1335" spans="1:22" hidden="1">
      <c r="A1335" s="2">
        <v>45963</v>
      </c>
      <c r="B1335" s="1" t="s">
        <v>3268</v>
      </c>
      <c r="C1335" s="1" t="s">
        <v>129</v>
      </c>
      <c r="D1335" s="1" t="s">
        <v>728</v>
      </c>
      <c r="E1335" s="1">
        <v>86326</v>
      </c>
      <c r="F1335" s="1" t="s">
        <v>3269</v>
      </c>
      <c r="G1335" s="1" t="s">
        <v>3256</v>
      </c>
      <c r="H1335" s="4" t="s">
        <v>3270</v>
      </c>
      <c r="I1335" s="5" t="s">
        <v>532</v>
      </c>
      <c r="J1335" s="5" t="s">
        <v>31</v>
      </c>
      <c r="K1335" s="5" t="s">
        <v>31</v>
      </c>
      <c r="L1335" s="5" t="s">
        <v>381</v>
      </c>
      <c r="M1335" s="5" t="s">
        <v>31</v>
      </c>
      <c r="N1335" s="5" t="s">
        <v>31</v>
      </c>
      <c r="O1335" s="5" t="s">
        <v>32</v>
      </c>
      <c r="P1335" s="5" t="s">
        <v>33</v>
      </c>
      <c r="Q1335" s="2">
        <v>45965</v>
      </c>
      <c r="V1335" s="45">
        <f>IF(OR(ISNUMBER(SEARCH("unable to locate acct",G1335)),ISNUMBER(SEARCH("unknown",G1335)),ISNUMBER(SEARCH("inactive",G1335)),H1335=""),0,1)</f>
        <v>1</v>
      </c>
    </row>
    <row r="1336" spans="1:22" hidden="1">
      <c r="A1336" s="2">
        <v>45965</v>
      </c>
      <c r="B1336" s="1" t="s">
        <v>3271</v>
      </c>
      <c r="C1336" s="1" t="s">
        <v>3272</v>
      </c>
      <c r="D1336" s="1" t="s">
        <v>62</v>
      </c>
      <c r="E1336" s="1">
        <v>85331</v>
      </c>
      <c r="F1336" s="1" t="s">
        <v>3273</v>
      </c>
      <c r="G1336" s="1" t="s">
        <v>3274</v>
      </c>
      <c r="H1336" s="4" t="s">
        <v>3275</v>
      </c>
      <c r="I1336" s="5" t="s">
        <v>30</v>
      </c>
      <c r="J1336" s="5" t="s">
        <v>31</v>
      </c>
      <c r="K1336" s="5" t="s">
        <v>31</v>
      </c>
      <c r="L1336" s="5" t="s">
        <v>32</v>
      </c>
      <c r="M1336" s="5" t="s">
        <v>31</v>
      </c>
      <c r="N1336" s="5" t="s">
        <v>31</v>
      </c>
      <c r="O1336" s="5" t="s">
        <v>32</v>
      </c>
      <c r="P1336" s="5" t="s">
        <v>33</v>
      </c>
      <c r="Q1336" s="2">
        <v>45966</v>
      </c>
      <c r="V1336" s="45">
        <f>IF(OR(ISNUMBER(SEARCH("unable to locate acct",G1336)),ISNUMBER(SEARCH("unknown",G1336)),ISNUMBER(SEARCH("inactive",G1336)),H1336=""),0,1)</f>
        <v>1</v>
      </c>
    </row>
    <row r="1337" spans="1:22" hidden="1">
      <c r="A1337" s="2">
        <v>45906</v>
      </c>
      <c r="B1337" s="1" t="s">
        <v>2083</v>
      </c>
      <c r="C1337" s="1" t="s">
        <v>314</v>
      </c>
      <c r="D1337" s="1" t="s">
        <v>495</v>
      </c>
      <c r="E1337" s="1">
        <v>86005</v>
      </c>
      <c r="F1337" s="1" t="s">
        <v>3220</v>
      </c>
      <c r="G1337" s="1" t="s">
        <v>3274</v>
      </c>
      <c r="H1337" s="4" t="s">
        <v>3276</v>
      </c>
      <c r="I1337" s="5" t="s">
        <v>1501</v>
      </c>
      <c r="J1337" s="5" t="s">
        <v>31</v>
      </c>
      <c r="K1337" s="5" t="s">
        <v>31</v>
      </c>
      <c r="L1337" s="7" t="s">
        <v>3277</v>
      </c>
      <c r="M1337" s="5" t="s">
        <v>31</v>
      </c>
      <c r="N1337" s="5" t="s">
        <v>31</v>
      </c>
      <c r="O1337" s="5" t="s">
        <v>32</v>
      </c>
      <c r="P1337" s="2">
        <v>45971</v>
      </c>
      <c r="Q1337" s="2">
        <v>45966</v>
      </c>
      <c r="R1337" s="1" t="s">
        <v>3278</v>
      </c>
      <c r="V1337" s="45">
        <f>IF(OR(ISNUMBER(SEARCH("unable to locate acct",G1337)),ISNUMBER(SEARCH("unknown",G1337)),ISNUMBER(SEARCH("inactive",G1337)),H1337=""),0,1)</f>
        <v>1</v>
      </c>
    </row>
    <row r="1338" spans="1:22" hidden="1">
      <c r="A1338" s="2">
        <v>45964</v>
      </c>
      <c r="B1338" s="1" t="s">
        <v>3279</v>
      </c>
      <c r="C1338" s="1" t="s">
        <v>127</v>
      </c>
      <c r="D1338" s="1" t="s">
        <v>119</v>
      </c>
      <c r="E1338" s="1">
        <v>85255</v>
      </c>
      <c r="F1338" s="1" t="s">
        <v>3280</v>
      </c>
      <c r="G1338" s="1" t="s">
        <v>3281</v>
      </c>
      <c r="H1338" s="4" t="s">
        <v>3282</v>
      </c>
      <c r="I1338" s="5" t="s">
        <v>190</v>
      </c>
      <c r="J1338" s="5" t="s">
        <v>31</v>
      </c>
      <c r="K1338" s="5" t="s">
        <v>31</v>
      </c>
      <c r="L1338" s="7" t="s">
        <v>3283</v>
      </c>
      <c r="M1338" s="5" t="s">
        <v>31</v>
      </c>
      <c r="N1338" s="5" t="s">
        <v>31</v>
      </c>
      <c r="O1338" s="5" t="s">
        <v>32</v>
      </c>
      <c r="P1338" s="2">
        <v>45971</v>
      </c>
      <c r="Q1338" s="2">
        <v>45966</v>
      </c>
      <c r="R1338" s="1" t="s">
        <v>3284</v>
      </c>
      <c r="V1338" s="45">
        <f>IF(OR(ISNUMBER(SEARCH("unable to locate acct",G1338)),ISNUMBER(SEARCH("unknown",G1338)),ISNUMBER(SEARCH("inactive",G1338)),H1338=""),0,1)</f>
        <v>1</v>
      </c>
    </row>
    <row r="1339" spans="1:22" hidden="1">
      <c r="A1339" s="2">
        <v>45966</v>
      </c>
      <c r="B1339" s="1" t="s">
        <v>3285</v>
      </c>
      <c r="C1339" s="1" t="s">
        <v>774</v>
      </c>
      <c r="D1339" s="1" t="s">
        <v>57</v>
      </c>
      <c r="E1339" s="1">
        <v>85022</v>
      </c>
      <c r="F1339" s="1" t="s">
        <v>3286</v>
      </c>
      <c r="G1339" s="1" t="s">
        <v>3287</v>
      </c>
      <c r="H1339" s="4" t="s">
        <v>3288</v>
      </c>
      <c r="I1339" s="5" t="s">
        <v>190</v>
      </c>
      <c r="J1339" s="5" t="s">
        <v>31</v>
      </c>
      <c r="K1339" s="5" t="s">
        <v>31</v>
      </c>
      <c r="L1339" s="5" t="s">
        <v>3289</v>
      </c>
      <c r="M1339" s="5" t="s">
        <v>32</v>
      </c>
      <c r="N1339" s="13">
        <v>99.98</v>
      </c>
      <c r="O1339" s="5" t="s">
        <v>32</v>
      </c>
      <c r="P1339" s="5" t="s">
        <v>33</v>
      </c>
      <c r="Q1339" s="2">
        <v>45967</v>
      </c>
      <c r="R1339" s="1" t="s">
        <v>3290</v>
      </c>
      <c r="V1339" s="45">
        <f>IF(OR(ISNUMBER(SEARCH("unable to locate acct",G1339)),ISNUMBER(SEARCH("unknown",G1339)),ISNUMBER(SEARCH("inactive",G1339)),H1339=""),0,1)</f>
        <v>1</v>
      </c>
    </row>
    <row r="1340" spans="1:22" hidden="1">
      <c r="A1340" s="2">
        <v>45966</v>
      </c>
      <c r="B1340" s="1" t="s">
        <v>3291</v>
      </c>
      <c r="C1340" s="1" t="s">
        <v>129</v>
      </c>
      <c r="D1340" s="1" t="s">
        <v>57</v>
      </c>
      <c r="E1340" s="1">
        <v>85255</v>
      </c>
      <c r="F1340" s="1" t="s">
        <v>3292</v>
      </c>
      <c r="G1340" s="1" t="s">
        <v>3287</v>
      </c>
      <c r="H1340" s="4" t="s">
        <v>21</v>
      </c>
      <c r="V1340" s="45">
        <f>IF(OR(ISNUMBER(SEARCH("unable to locate acct",G1340)),ISNUMBER(SEARCH("unknown",G1340)),ISNUMBER(SEARCH("inactive",G1340)),H1340=""),0,1)</f>
        <v>1</v>
      </c>
    </row>
    <row r="1341" spans="1:22" hidden="1">
      <c r="A1341" s="2">
        <v>45966</v>
      </c>
      <c r="B1341" s="1" t="s">
        <v>3293</v>
      </c>
      <c r="C1341" s="1" t="s">
        <v>3294</v>
      </c>
      <c r="D1341" s="1" t="s">
        <v>168</v>
      </c>
      <c r="E1341" s="1">
        <v>85326</v>
      </c>
      <c r="F1341" s="1" t="s">
        <v>3295</v>
      </c>
      <c r="G1341" s="1" t="s">
        <v>3287</v>
      </c>
      <c r="H1341" s="4" t="s">
        <v>3296</v>
      </c>
      <c r="I1341" s="5" t="s">
        <v>30</v>
      </c>
      <c r="J1341" s="5" t="s">
        <v>31</v>
      </c>
      <c r="K1341" s="5" t="s">
        <v>31</v>
      </c>
      <c r="L1341" s="5" t="s">
        <v>32</v>
      </c>
      <c r="M1341" s="5" t="s">
        <v>32</v>
      </c>
      <c r="N1341" s="15">
        <v>1209</v>
      </c>
      <c r="O1341" s="5" t="s">
        <v>32</v>
      </c>
      <c r="P1341" s="7"/>
      <c r="Q1341" s="2">
        <v>45967</v>
      </c>
      <c r="R1341" s="1" t="s">
        <v>486</v>
      </c>
      <c r="V1341" s="45">
        <f>IF(OR(ISNUMBER(SEARCH("unable to locate acct",G1341)),ISNUMBER(SEARCH("unknown",G1341)),ISNUMBER(SEARCH("inactive",G1341)),H1341=""),0,1)</f>
        <v>1</v>
      </c>
    </row>
    <row r="1342" spans="1:22" hidden="1">
      <c r="A1342" s="2">
        <v>45951</v>
      </c>
      <c r="B1342" s="1" t="s">
        <v>3297</v>
      </c>
      <c r="C1342" s="1" t="s">
        <v>173</v>
      </c>
      <c r="D1342" s="1" t="s">
        <v>689</v>
      </c>
      <c r="E1342" s="1">
        <v>85375</v>
      </c>
      <c r="F1342" s="1" t="s">
        <v>3298</v>
      </c>
      <c r="G1342" s="1" t="s">
        <v>3299</v>
      </c>
      <c r="H1342" s="4" t="s">
        <v>84</v>
      </c>
      <c r="V1342" s="45">
        <f>IF(OR(ISNUMBER(SEARCH("unable to locate acct",G1342)),ISNUMBER(SEARCH("unknown",G1342)),ISNUMBER(SEARCH("inactive",G1342)),H1342=""),0,1)</f>
        <v>1</v>
      </c>
    </row>
    <row r="1343" spans="1:22" hidden="1">
      <c r="A1343" s="2">
        <v>45967</v>
      </c>
      <c r="B1343" s="1" t="s">
        <v>3300</v>
      </c>
      <c r="C1343" s="1" t="s">
        <v>3301</v>
      </c>
      <c r="D1343" s="1" t="s">
        <v>3302</v>
      </c>
      <c r="E1343" s="1">
        <v>85354</v>
      </c>
      <c r="F1343" s="1" t="s">
        <v>3303</v>
      </c>
      <c r="G1343" s="1" t="s">
        <v>3304</v>
      </c>
      <c r="H1343" s="4" t="s">
        <v>3305</v>
      </c>
      <c r="I1343" s="5" t="s">
        <v>30</v>
      </c>
      <c r="J1343" s="5" t="s">
        <v>31</v>
      </c>
      <c r="K1343" s="5" t="s">
        <v>31</v>
      </c>
      <c r="L1343" s="5" t="s">
        <v>32</v>
      </c>
      <c r="M1343" s="5" t="s">
        <v>32</v>
      </c>
      <c r="N1343" s="13">
        <v>347.99</v>
      </c>
      <c r="O1343" s="5" t="s">
        <v>32</v>
      </c>
      <c r="P1343" s="5" t="s">
        <v>33</v>
      </c>
      <c r="Q1343" s="2">
        <v>45968</v>
      </c>
      <c r="V1343" s="45">
        <f>IF(OR(ISNUMBER(SEARCH("unable to locate acct",G1343)),ISNUMBER(SEARCH("unknown",G1343)),ISNUMBER(SEARCH("inactive",G1343)),H1343=""),0,1)</f>
        <v>1</v>
      </c>
    </row>
    <row r="1344" spans="1:22" hidden="1">
      <c r="A1344" s="2">
        <v>45967</v>
      </c>
      <c r="B1344" s="1" t="s">
        <v>3306</v>
      </c>
      <c r="C1344" s="1" t="s">
        <v>3307</v>
      </c>
      <c r="D1344" s="1" t="s">
        <v>3003</v>
      </c>
      <c r="E1344" s="1">
        <v>85743</v>
      </c>
      <c r="F1344" s="1" t="s">
        <v>3308</v>
      </c>
      <c r="G1344" s="1" t="s">
        <v>3304</v>
      </c>
      <c r="H1344" s="4" t="s">
        <v>4886</v>
      </c>
      <c r="V1344" s="45">
        <f>IF(OR(ISNUMBER(SEARCH("unable to locate acct",G1344)),ISNUMBER(SEARCH("unknown",G1344)),ISNUMBER(SEARCH("inactive",G1344)),H1344=""),0,1)</f>
        <v>0</v>
      </c>
    </row>
    <row r="1345" spans="1:22" hidden="1">
      <c r="A1345" s="2">
        <v>45967</v>
      </c>
      <c r="B1345" s="1" t="s">
        <v>3309</v>
      </c>
      <c r="C1345" s="1" t="s">
        <v>3310</v>
      </c>
      <c r="D1345" s="1" t="s">
        <v>18</v>
      </c>
      <c r="E1345" s="1">
        <v>85308</v>
      </c>
      <c r="F1345" s="1" t="s">
        <v>3311</v>
      </c>
      <c r="G1345" s="1" t="s">
        <v>3304</v>
      </c>
      <c r="H1345" s="4" t="s">
        <v>3312</v>
      </c>
      <c r="I1345" s="5" t="s">
        <v>30</v>
      </c>
      <c r="J1345" s="5" t="s">
        <v>31</v>
      </c>
      <c r="K1345" s="5" t="s">
        <v>31</v>
      </c>
      <c r="L1345" s="5" t="s">
        <v>32</v>
      </c>
      <c r="M1345" s="5" t="s">
        <v>31</v>
      </c>
      <c r="N1345" s="5" t="s">
        <v>31</v>
      </c>
      <c r="O1345" s="5" t="s">
        <v>32</v>
      </c>
      <c r="P1345" s="5" t="s">
        <v>33</v>
      </c>
      <c r="Q1345" s="2">
        <v>45968</v>
      </c>
      <c r="V1345" s="45">
        <f>IF(OR(ISNUMBER(SEARCH("unable to locate acct",G1345)),ISNUMBER(SEARCH("unknown",G1345)),ISNUMBER(SEARCH("inactive",G1345)),H1345=""),0,1)</f>
        <v>1</v>
      </c>
    </row>
    <row r="1346" spans="1:22" hidden="1">
      <c r="A1346" s="2">
        <v>45967</v>
      </c>
      <c r="B1346" s="1" t="s">
        <v>3313</v>
      </c>
      <c r="C1346" s="1" t="s">
        <v>3314</v>
      </c>
      <c r="D1346" s="1" t="s">
        <v>24</v>
      </c>
      <c r="E1346" s="1" t="s">
        <v>24</v>
      </c>
      <c r="F1346" s="1" t="s">
        <v>2996</v>
      </c>
      <c r="G1346" s="1" t="s">
        <v>3315</v>
      </c>
      <c r="H1346" s="4" t="s">
        <v>21</v>
      </c>
      <c r="R1346" s="1" t="s">
        <v>2964</v>
      </c>
      <c r="V1346" s="45">
        <f>IF(OR(ISNUMBER(SEARCH("unable to locate acct",G1346)),ISNUMBER(SEARCH("unknown",G1346)),ISNUMBER(SEARCH("inactive",G1346)),H1346=""),0,1)</f>
        <v>1</v>
      </c>
    </row>
    <row r="1347" spans="1:22" hidden="1">
      <c r="A1347" s="2">
        <v>45967</v>
      </c>
      <c r="B1347" s="1" t="s">
        <v>3316</v>
      </c>
      <c r="C1347" s="1" t="s">
        <v>366</v>
      </c>
      <c r="D1347" s="1" t="s">
        <v>24</v>
      </c>
      <c r="E1347" s="1" t="s">
        <v>24</v>
      </c>
      <c r="F1347" s="1" t="s">
        <v>3317</v>
      </c>
      <c r="G1347" s="1" t="s">
        <v>3315</v>
      </c>
      <c r="H1347" s="4" t="s">
        <v>21</v>
      </c>
      <c r="R1347" s="1" t="s">
        <v>2964</v>
      </c>
      <c r="V1347" s="45">
        <f>IF(OR(ISNUMBER(SEARCH("unable to locate acct",G1347)),ISNUMBER(SEARCH("unknown",G1347)),ISNUMBER(SEARCH("inactive",G1347)),H1347=""),0,1)</f>
        <v>1</v>
      </c>
    </row>
    <row r="1348" spans="1:22" hidden="1">
      <c r="A1348" s="2">
        <v>45967</v>
      </c>
      <c r="B1348" s="1" t="s">
        <v>3318</v>
      </c>
      <c r="C1348" s="1" t="s">
        <v>2614</v>
      </c>
      <c r="D1348" s="1" t="s">
        <v>57</v>
      </c>
      <c r="E1348" s="1">
        <v>850027</v>
      </c>
      <c r="F1348" s="1" t="s">
        <v>3319</v>
      </c>
      <c r="G1348" s="1" t="s">
        <v>3315</v>
      </c>
      <c r="H1348" s="4" t="s">
        <v>3320</v>
      </c>
      <c r="I1348" s="5" t="s">
        <v>190</v>
      </c>
      <c r="J1348" s="5" t="s">
        <v>31</v>
      </c>
      <c r="K1348" s="5" t="s">
        <v>31</v>
      </c>
      <c r="L1348" s="5" t="s">
        <v>32</v>
      </c>
      <c r="M1348" s="5" t="s">
        <v>32</v>
      </c>
      <c r="N1348" s="15">
        <v>933.92</v>
      </c>
      <c r="O1348" s="5" t="s">
        <v>32</v>
      </c>
      <c r="P1348" s="7"/>
      <c r="Q1348" s="2">
        <v>45968</v>
      </c>
      <c r="R1348" s="1" t="s">
        <v>3321</v>
      </c>
      <c r="V1348" s="45">
        <f>IF(OR(ISNUMBER(SEARCH("unable to locate acct",G1348)),ISNUMBER(SEARCH("unknown",G1348)),ISNUMBER(SEARCH("inactive",G1348)),H1348=""),0,1)</f>
        <v>1</v>
      </c>
    </row>
    <row r="1349" spans="1:22" hidden="1">
      <c r="A1349" s="2">
        <v>45967</v>
      </c>
      <c r="B1349" s="1" t="s">
        <v>3322</v>
      </c>
      <c r="C1349" s="1" t="s">
        <v>3323</v>
      </c>
      <c r="D1349" s="1" t="s">
        <v>24</v>
      </c>
      <c r="E1349" s="1" t="s">
        <v>24</v>
      </c>
      <c r="F1349" s="1" t="s">
        <v>3324</v>
      </c>
      <c r="G1349" s="1" t="s">
        <v>3315</v>
      </c>
      <c r="H1349" s="4" t="s">
        <v>21</v>
      </c>
      <c r="R1349" s="1" t="s">
        <v>2964</v>
      </c>
      <c r="V1349" s="45">
        <f>IF(OR(ISNUMBER(SEARCH("unable to locate acct",G1349)),ISNUMBER(SEARCH("unknown",G1349)),ISNUMBER(SEARCH("inactive",G1349)),H1349=""),0,1)</f>
        <v>1</v>
      </c>
    </row>
    <row r="1350" spans="1:22" hidden="1">
      <c r="A1350" s="2">
        <v>45967</v>
      </c>
      <c r="B1350" s="1" t="s">
        <v>3325</v>
      </c>
      <c r="C1350" s="1" t="s">
        <v>1047</v>
      </c>
      <c r="D1350" s="1" t="s">
        <v>24</v>
      </c>
      <c r="E1350" s="1" t="s">
        <v>24</v>
      </c>
      <c r="F1350" s="1" t="s">
        <v>3326</v>
      </c>
      <c r="G1350" s="1" t="s">
        <v>3315</v>
      </c>
      <c r="H1350" s="4" t="s">
        <v>84</v>
      </c>
      <c r="R1350" s="1" t="s">
        <v>2964</v>
      </c>
      <c r="V1350" s="45">
        <f>IF(OR(ISNUMBER(SEARCH("unable to locate acct",G1350)),ISNUMBER(SEARCH("unknown",G1350)),ISNUMBER(SEARCH("inactive",G1350)),H1350=""),0,1)</f>
        <v>1</v>
      </c>
    </row>
    <row r="1351" spans="1:22" hidden="1">
      <c r="A1351" s="2">
        <v>45967</v>
      </c>
      <c r="B1351" s="1" t="s">
        <v>3327</v>
      </c>
      <c r="C1351" s="1" t="s">
        <v>3151</v>
      </c>
      <c r="D1351" s="1" t="s">
        <v>24</v>
      </c>
      <c r="E1351" s="1" t="s">
        <v>24</v>
      </c>
      <c r="F1351" s="1" t="s">
        <v>3326</v>
      </c>
      <c r="G1351" s="1" t="s">
        <v>3315</v>
      </c>
      <c r="H1351" s="4" t="s">
        <v>84</v>
      </c>
      <c r="R1351" s="1" t="s">
        <v>2964</v>
      </c>
      <c r="V1351" s="45">
        <f>IF(OR(ISNUMBER(SEARCH("unable to locate acct",G1351)),ISNUMBER(SEARCH("unknown",G1351)),ISNUMBER(SEARCH("inactive",G1351)),H1351=""),0,1)</f>
        <v>1</v>
      </c>
    </row>
    <row r="1352" spans="1:22" hidden="1">
      <c r="A1352" s="2">
        <v>45967</v>
      </c>
      <c r="B1352" s="1" t="s">
        <v>695</v>
      </c>
      <c r="C1352" s="1" t="s">
        <v>3328</v>
      </c>
      <c r="D1352" s="1" t="s">
        <v>57</v>
      </c>
      <c r="E1352" s="1">
        <v>85012</v>
      </c>
      <c r="F1352" s="1" t="s">
        <v>3329</v>
      </c>
      <c r="G1352" s="1" t="s">
        <v>3315</v>
      </c>
      <c r="H1352" s="4" t="s">
        <v>3330</v>
      </c>
      <c r="I1352" s="5" t="s">
        <v>120</v>
      </c>
      <c r="J1352" s="5" t="s">
        <v>31</v>
      </c>
      <c r="K1352" s="5" t="s">
        <v>31</v>
      </c>
      <c r="L1352" s="5" t="s">
        <v>32</v>
      </c>
      <c r="M1352" s="5" t="s">
        <v>31</v>
      </c>
      <c r="N1352" s="5" t="s">
        <v>31</v>
      </c>
      <c r="O1352" s="5" t="s">
        <v>32</v>
      </c>
      <c r="P1352" s="5" t="s">
        <v>33</v>
      </c>
      <c r="Q1352" s="2">
        <v>45968</v>
      </c>
      <c r="R1352" s="1" t="s">
        <v>2964</v>
      </c>
      <c r="V1352" s="45">
        <f>IF(OR(ISNUMBER(SEARCH("unable to locate acct",G1352)),ISNUMBER(SEARCH("unknown",G1352)),ISNUMBER(SEARCH("inactive",G1352)),H1352=""),0,1)</f>
        <v>1</v>
      </c>
    </row>
    <row r="1353" spans="1:22" hidden="1">
      <c r="A1353" s="33">
        <v>45974</v>
      </c>
      <c r="B1353" s="34" t="s">
        <v>3331</v>
      </c>
      <c r="C1353" s="34" t="s">
        <v>3332</v>
      </c>
      <c r="D1353" s="34" t="s">
        <v>106</v>
      </c>
      <c r="E1353" s="34">
        <v>85374</v>
      </c>
      <c r="F1353" s="34" t="s">
        <v>3333</v>
      </c>
      <c r="G1353" s="35" t="s">
        <v>3334</v>
      </c>
      <c r="H1353" s="21" t="s">
        <v>5347</v>
      </c>
      <c r="I1353" s="18" t="s">
        <v>120</v>
      </c>
      <c r="J1353" s="18" t="s">
        <v>31</v>
      </c>
      <c r="K1353" s="18" t="s">
        <v>31</v>
      </c>
      <c r="L1353" s="18" t="s">
        <v>32</v>
      </c>
      <c r="M1353" s="18" t="s">
        <v>31</v>
      </c>
      <c r="N1353" s="18" t="s">
        <v>31</v>
      </c>
      <c r="O1353" s="18" t="s">
        <v>32</v>
      </c>
      <c r="P1353" s="18" t="s">
        <v>33</v>
      </c>
      <c r="Q1353" s="33">
        <v>45978</v>
      </c>
      <c r="R1353" s="34"/>
      <c r="S1353" s="34"/>
      <c r="T1353" s="34"/>
      <c r="U1353" s="34"/>
      <c r="V1353" s="45">
        <f>IF(OR(ISNUMBER(SEARCH("unable to locate acct",G1353)),ISNUMBER(SEARCH("unknown",G1353)),ISNUMBER(SEARCH("inactive",G1353)),H1353=""),0,1)</f>
        <v>1</v>
      </c>
    </row>
    <row r="1354" spans="1:22" hidden="1">
      <c r="A1354" s="33">
        <v>45980</v>
      </c>
      <c r="B1354" s="34" t="s">
        <v>3335</v>
      </c>
      <c r="C1354" s="34" t="s">
        <v>391</v>
      </c>
      <c r="D1354" s="34" t="s">
        <v>119</v>
      </c>
      <c r="E1354" s="34">
        <v>85262</v>
      </c>
      <c r="F1354" s="34" t="s">
        <v>3336</v>
      </c>
      <c r="G1354" s="35" t="s">
        <v>3337</v>
      </c>
      <c r="H1354" s="21" t="s">
        <v>5348</v>
      </c>
      <c r="I1354" s="18" t="s">
        <v>30</v>
      </c>
      <c r="J1354" s="18" t="s">
        <v>31</v>
      </c>
      <c r="K1354" s="18" t="s">
        <v>31</v>
      </c>
      <c r="L1354" s="18" t="s">
        <v>32</v>
      </c>
      <c r="M1354" s="18" t="s">
        <v>31</v>
      </c>
      <c r="N1354" s="18" t="s">
        <v>31</v>
      </c>
      <c r="O1354" s="18" t="s">
        <v>32</v>
      </c>
      <c r="P1354" s="18" t="s">
        <v>33</v>
      </c>
      <c r="Q1354" s="33">
        <v>45981</v>
      </c>
      <c r="R1354" s="34"/>
      <c r="S1354" s="34"/>
      <c r="T1354" s="34"/>
      <c r="U1354" s="34"/>
      <c r="V1354" s="45">
        <f>IF(OR(ISNUMBER(SEARCH("unable to locate acct",G1354)),ISNUMBER(SEARCH("unknown",G1354)),ISNUMBER(SEARCH("inactive",G1354)),H1354=""),0,1)</f>
        <v>1</v>
      </c>
    </row>
    <row r="1355" spans="1:22" hidden="1">
      <c r="A1355" s="36">
        <v>45980</v>
      </c>
      <c r="B1355" s="37" t="s">
        <v>3338</v>
      </c>
      <c r="C1355" s="37" t="s">
        <v>3339</v>
      </c>
      <c r="D1355" s="37" t="s">
        <v>119</v>
      </c>
      <c r="E1355" s="37">
        <v>85255</v>
      </c>
      <c r="F1355" s="37" t="s">
        <v>3340</v>
      </c>
      <c r="G1355" s="37" t="s">
        <v>3341</v>
      </c>
      <c r="H1355" s="73" t="s">
        <v>5046</v>
      </c>
      <c r="I1355" s="38" t="s">
        <v>30</v>
      </c>
      <c r="J1355" s="38" t="s">
        <v>31</v>
      </c>
      <c r="K1355" s="38" t="s">
        <v>31</v>
      </c>
      <c r="L1355" s="38" t="s">
        <v>3342</v>
      </c>
      <c r="M1355" s="38" t="s">
        <v>31</v>
      </c>
      <c r="N1355" s="38" t="s">
        <v>31</v>
      </c>
      <c r="O1355" s="38" t="s">
        <v>32</v>
      </c>
      <c r="P1355" s="38" t="s">
        <v>33</v>
      </c>
      <c r="Q1355" s="36">
        <v>45985</v>
      </c>
      <c r="R1355" s="34"/>
      <c r="S1355" s="34"/>
      <c r="T1355" s="34"/>
      <c r="U1355" s="34"/>
      <c r="V1355" s="45">
        <f>IF(OR(ISNUMBER(SEARCH("unable to locate acct",G1355)),ISNUMBER(SEARCH("unknown",G1355)),ISNUMBER(SEARCH("inactive",G1355)),H1355=""),0,1)</f>
        <v>1</v>
      </c>
    </row>
    <row r="1356" spans="1:22" hidden="1">
      <c r="A1356" s="36">
        <v>45982</v>
      </c>
      <c r="B1356" s="37" t="s">
        <v>3343</v>
      </c>
      <c r="C1356" s="37" t="s">
        <v>3344</v>
      </c>
      <c r="D1356" s="37" t="s">
        <v>801</v>
      </c>
      <c r="E1356" s="37">
        <v>86301</v>
      </c>
      <c r="F1356" s="37" t="s">
        <v>3345</v>
      </c>
      <c r="G1356" s="37" t="s">
        <v>3346</v>
      </c>
      <c r="H1356" s="73" t="s">
        <v>5349</v>
      </c>
      <c r="I1356" s="38" t="s">
        <v>40</v>
      </c>
      <c r="J1356" s="38" t="s">
        <v>31</v>
      </c>
      <c r="K1356" s="38" t="s">
        <v>31</v>
      </c>
      <c r="L1356" s="38" t="s">
        <v>32</v>
      </c>
      <c r="M1356" s="38" t="s">
        <v>31</v>
      </c>
      <c r="N1356" s="38" t="s">
        <v>31</v>
      </c>
      <c r="O1356" s="38" t="s">
        <v>32</v>
      </c>
      <c r="P1356" s="38" t="s">
        <v>33</v>
      </c>
      <c r="Q1356" s="36">
        <v>45985</v>
      </c>
      <c r="R1356" s="34"/>
      <c r="S1356" s="34"/>
      <c r="T1356" s="34"/>
      <c r="U1356" s="34"/>
      <c r="V1356" s="45">
        <f>IF(OR(ISNUMBER(SEARCH("unable to locate acct",G1356)),ISNUMBER(SEARCH("unknown",G1356)),ISNUMBER(SEARCH("inactive",G1356)),H1356=""),0,1)</f>
        <v>1</v>
      </c>
    </row>
    <row r="1357" spans="1:22" hidden="1">
      <c r="A1357" s="36">
        <v>45982</v>
      </c>
      <c r="B1357" s="37" t="s">
        <v>3347</v>
      </c>
      <c r="C1357" s="37" t="s">
        <v>3348</v>
      </c>
      <c r="D1357" s="37" t="s">
        <v>123</v>
      </c>
      <c r="E1357" s="37">
        <v>85233</v>
      </c>
      <c r="F1357" s="37" t="s">
        <v>3349</v>
      </c>
      <c r="G1357" s="37" t="s">
        <v>3350</v>
      </c>
      <c r="H1357" s="73" t="s">
        <v>5350</v>
      </c>
      <c r="I1357" s="38" t="s">
        <v>3351</v>
      </c>
      <c r="J1357" s="38" t="s">
        <v>31</v>
      </c>
      <c r="K1357" s="38" t="s">
        <v>31</v>
      </c>
      <c r="L1357" s="38" t="s">
        <v>381</v>
      </c>
      <c r="M1357" s="38" t="s">
        <v>31</v>
      </c>
      <c r="N1357" s="38" t="s">
        <v>31</v>
      </c>
      <c r="O1357" s="38" t="s">
        <v>32</v>
      </c>
      <c r="P1357" s="38" t="s">
        <v>33</v>
      </c>
      <c r="Q1357" s="36">
        <v>45985</v>
      </c>
      <c r="R1357" s="34" t="s">
        <v>2400</v>
      </c>
      <c r="S1357" s="34"/>
      <c r="T1357" s="34"/>
      <c r="U1357" s="34"/>
      <c r="V1357" s="45">
        <f>IF(OR(ISNUMBER(SEARCH("unable to locate acct",G1357)),ISNUMBER(SEARCH("unknown",G1357)),ISNUMBER(SEARCH("inactive",G1357)),H1357=""),0,1)</f>
        <v>1</v>
      </c>
    </row>
    <row r="1358" spans="1:22" hidden="1">
      <c r="A1358" s="36">
        <v>45985</v>
      </c>
      <c r="B1358" s="37" t="s">
        <v>202</v>
      </c>
      <c r="C1358" s="37" t="s">
        <v>3352</v>
      </c>
      <c r="D1358" s="37" t="s">
        <v>420</v>
      </c>
      <c r="E1358" s="37">
        <v>85335</v>
      </c>
      <c r="F1358" s="37" t="s">
        <v>3353</v>
      </c>
      <c r="G1358" s="37" t="s">
        <v>3354</v>
      </c>
      <c r="H1358" s="73" t="s">
        <v>5047</v>
      </c>
      <c r="I1358" s="38" t="s">
        <v>120</v>
      </c>
      <c r="J1358" s="38" t="s">
        <v>32</v>
      </c>
      <c r="K1358" s="38" t="s">
        <v>31</v>
      </c>
      <c r="L1358" s="38" t="s">
        <v>3355</v>
      </c>
      <c r="M1358" s="38" t="s">
        <v>31</v>
      </c>
      <c r="N1358" s="38" t="s">
        <v>31</v>
      </c>
      <c r="O1358" s="38" t="s">
        <v>32</v>
      </c>
      <c r="P1358" s="38" t="s">
        <v>33</v>
      </c>
      <c r="Q1358" s="36">
        <v>45993</v>
      </c>
      <c r="R1358" s="34" t="s">
        <v>3356</v>
      </c>
      <c r="S1358" s="34"/>
      <c r="T1358" s="34"/>
      <c r="U1358" s="34"/>
      <c r="V1358" s="45">
        <f>IF(OR(ISNUMBER(SEARCH("unable to locate acct",G1358)),ISNUMBER(SEARCH("unknown",G1358)),ISNUMBER(SEARCH("inactive",G1358)),H1358=""),0,1)</f>
        <v>1</v>
      </c>
    </row>
    <row r="1359" spans="1:22" hidden="1">
      <c r="A1359" s="36">
        <v>45985</v>
      </c>
      <c r="B1359" s="37" t="s">
        <v>3357</v>
      </c>
      <c r="C1359" s="37" t="s">
        <v>3358</v>
      </c>
      <c r="D1359" s="37" t="s">
        <v>168</v>
      </c>
      <c r="E1359" s="37">
        <v>85326</v>
      </c>
      <c r="F1359" s="37" t="s">
        <v>3359</v>
      </c>
      <c r="G1359" s="37" t="s">
        <v>3360</v>
      </c>
      <c r="H1359" s="73" t="s">
        <v>21</v>
      </c>
      <c r="I1359" s="38"/>
      <c r="J1359" s="38"/>
      <c r="K1359" s="38"/>
      <c r="L1359" s="38"/>
      <c r="M1359" s="38"/>
      <c r="N1359" s="38"/>
      <c r="O1359" s="38"/>
      <c r="P1359" s="38"/>
      <c r="Q1359" s="38"/>
      <c r="R1359" s="34"/>
      <c r="S1359" s="34"/>
      <c r="T1359" s="34"/>
      <c r="U1359" s="34"/>
      <c r="V1359" s="45">
        <f>IF(OR(ISNUMBER(SEARCH("unable to locate acct",G1359)),ISNUMBER(SEARCH("unknown",G1359)),ISNUMBER(SEARCH("inactive",G1359)),H1359=""),0,1)</f>
        <v>1</v>
      </c>
    </row>
    <row r="1360" spans="1:22" hidden="1">
      <c r="A1360" s="36">
        <v>45986</v>
      </c>
      <c r="B1360" s="37" t="s">
        <v>3361</v>
      </c>
      <c r="C1360" s="37" t="s">
        <v>3362</v>
      </c>
      <c r="D1360" s="37" t="s">
        <v>1167</v>
      </c>
      <c r="E1360" s="37">
        <v>85390</v>
      </c>
      <c r="F1360" s="37" t="s">
        <v>3363</v>
      </c>
      <c r="G1360" s="37" t="s">
        <v>3364</v>
      </c>
      <c r="H1360" s="73" t="s">
        <v>5048</v>
      </c>
      <c r="I1360" s="38" t="s">
        <v>190</v>
      </c>
      <c r="J1360" s="38" t="s">
        <v>31</v>
      </c>
      <c r="K1360" s="38" t="s">
        <v>31</v>
      </c>
      <c r="L1360" s="38" t="s">
        <v>3365</v>
      </c>
      <c r="M1360" s="38" t="s">
        <v>31</v>
      </c>
      <c r="N1360" s="38" t="s">
        <v>31</v>
      </c>
      <c r="O1360" s="38" t="s">
        <v>32</v>
      </c>
      <c r="P1360" s="38" t="s">
        <v>33</v>
      </c>
      <c r="Q1360" s="36">
        <v>45993</v>
      </c>
      <c r="R1360" s="34"/>
      <c r="S1360" s="34"/>
      <c r="T1360" s="34"/>
      <c r="U1360" s="34"/>
      <c r="V1360" s="45">
        <f>IF(OR(ISNUMBER(SEARCH("unable to locate acct",G1360)),ISNUMBER(SEARCH("unknown",G1360)),ISNUMBER(SEARCH("inactive",G1360)),H1360=""),0,1)</f>
        <v>1</v>
      </c>
    </row>
    <row r="1361" spans="1:22" hidden="1">
      <c r="A1361" s="36">
        <v>45986</v>
      </c>
      <c r="B1361" s="37" t="s">
        <v>3230</v>
      </c>
      <c r="C1361" s="37" t="s">
        <v>2937</v>
      </c>
      <c r="D1361" s="37" t="s">
        <v>163</v>
      </c>
      <c r="E1361" s="37">
        <v>85395</v>
      </c>
      <c r="F1361" s="37" t="s">
        <v>3366</v>
      </c>
      <c r="G1361" s="37" t="s">
        <v>3364</v>
      </c>
      <c r="H1361" s="73" t="s">
        <v>5351</v>
      </c>
      <c r="I1361" s="38" t="s">
        <v>30</v>
      </c>
      <c r="J1361" s="38" t="s">
        <v>31</v>
      </c>
      <c r="K1361" s="38" t="s">
        <v>31</v>
      </c>
      <c r="L1361" s="38" t="s">
        <v>32</v>
      </c>
      <c r="M1361" s="38" t="s">
        <v>31</v>
      </c>
      <c r="N1361" s="38" t="s">
        <v>31</v>
      </c>
      <c r="O1361" s="38" t="s">
        <v>32</v>
      </c>
      <c r="P1361" s="38" t="s">
        <v>33</v>
      </c>
      <c r="Q1361" s="36">
        <v>45993</v>
      </c>
      <c r="R1361" s="34"/>
      <c r="S1361" s="34"/>
      <c r="T1361" s="34"/>
      <c r="U1361" s="34"/>
      <c r="V1361" s="45">
        <f>IF(OR(ISNUMBER(SEARCH("unable to locate acct",G1361)),ISNUMBER(SEARCH("unknown",G1361)),ISNUMBER(SEARCH("inactive",G1361)),H1361=""),0,1)</f>
        <v>1</v>
      </c>
    </row>
    <row r="1362" spans="1:22" hidden="1">
      <c r="A1362" s="36">
        <v>45986</v>
      </c>
      <c r="B1362" s="37" t="s">
        <v>3367</v>
      </c>
      <c r="C1362" s="37" t="s">
        <v>3368</v>
      </c>
      <c r="D1362" s="37" t="s">
        <v>196</v>
      </c>
      <c r="E1362" s="37">
        <v>85382</v>
      </c>
      <c r="F1362" s="37" t="s">
        <v>3369</v>
      </c>
      <c r="G1362" s="37" t="s">
        <v>3364</v>
      </c>
      <c r="H1362" s="73" t="s">
        <v>5352</v>
      </c>
      <c r="I1362" s="38" t="s">
        <v>3370</v>
      </c>
      <c r="J1362" s="38" t="s">
        <v>31</v>
      </c>
      <c r="K1362" s="38" t="s">
        <v>31</v>
      </c>
      <c r="L1362" s="38" t="s">
        <v>32</v>
      </c>
      <c r="M1362" s="38" t="s">
        <v>31</v>
      </c>
      <c r="N1362" s="38" t="s">
        <v>31</v>
      </c>
      <c r="O1362" s="38" t="s">
        <v>32</v>
      </c>
      <c r="P1362" s="38" t="s">
        <v>33</v>
      </c>
      <c r="Q1362" s="36">
        <v>45993</v>
      </c>
      <c r="R1362" s="34"/>
      <c r="S1362" s="34"/>
      <c r="T1362" s="34"/>
      <c r="U1362" s="34"/>
      <c r="V1362" s="45">
        <f>IF(OR(ISNUMBER(SEARCH("unable to locate acct",G1362)),ISNUMBER(SEARCH("unknown",G1362)),ISNUMBER(SEARCH("inactive",G1362)),H1362=""),0,1)</f>
        <v>1</v>
      </c>
    </row>
    <row r="1363" spans="1:22" hidden="1">
      <c r="A1363" s="36">
        <v>45987</v>
      </c>
      <c r="B1363" s="37" t="s">
        <v>3371</v>
      </c>
      <c r="C1363" s="37" t="s">
        <v>3371</v>
      </c>
      <c r="D1363" s="37"/>
      <c r="E1363" s="37">
        <v>85285</v>
      </c>
      <c r="F1363" s="37" t="s">
        <v>3372</v>
      </c>
      <c r="G1363" s="37" t="s">
        <v>3373</v>
      </c>
      <c r="H1363" s="73" t="s">
        <v>21</v>
      </c>
      <c r="I1363" s="38"/>
      <c r="J1363" s="38"/>
      <c r="K1363" s="38"/>
      <c r="L1363" s="38"/>
      <c r="M1363" s="38"/>
      <c r="N1363" s="38"/>
      <c r="O1363" s="38"/>
      <c r="P1363" s="38"/>
      <c r="Q1363" s="38"/>
      <c r="R1363" s="34"/>
      <c r="S1363" s="34"/>
      <c r="T1363" s="34"/>
      <c r="U1363" s="34"/>
      <c r="V1363" s="45">
        <f>IF(OR(ISNUMBER(SEARCH("unable to locate acct",G1363)),ISNUMBER(SEARCH("unknown",G1363)),ISNUMBER(SEARCH("inactive",G1363)),H1363=""),0,1)</f>
        <v>1</v>
      </c>
    </row>
    <row r="1364" spans="1:22" hidden="1">
      <c r="A1364" s="36">
        <v>45987</v>
      </c>
      <c r="B1364" s="37" t="s">
        <v>423</v>
      </c>
      <c r="C1364" s="37" t="s">
        <v>3374</v>
      </c>
      <c r="D1364" s="37" t="s">
        <v>106</v>
      </c>
      <c r="E1364" s="37">
        <v>85388</v>
      </c>
      <c r="F1364" s="37" t="s">
        <v>3375</v>
      </c>
      <c r="G1364" s="37" t="s">
        <v>3373</v>
      </c>
      <c r="H1364" s="73" t="s">
        <v>84</v>
      </c>
      <c r="I1364" s="38"/>
      <c r="J1364" s="38"/>
      <c r="K1364" s="38"/>
      <c r="L1364" s="38"/>
      <c r="M1364" s="38"/>
      <c r="N1364" s="38"/>
      <c r="O1364" s="38"/>
      <c r="P1364" s="38"/>
      <c r="Q1364" s="38"/>
      <c r="R1364" s="34"/>
      <c r="S1364" s="34"/>
      <c r="T1364" s="34"/>
      <c r="U1364" s="34"/>
      <c r="V1364" s="45">
        <f>IF(OR(ISNUMBER(SEARCH("unable to locate acct",G1364)),ISNUMBER(SEARCH("unknown",G1364)),ISNUMBER(SEARCH("inactive",G1364)),H1364=""),0,1)</f>
        <v>1</v>
      </c>
    </row>
    <row r="1365" spans="1:22" hidden="1">
      <c r="A1365" s="36">
        <v>45987</v>
      </c>
      <c r="B1365" s="37" t="s">
        <v>3376</v>
      </c>
      <c r="C1365" s="37" t="s">
        <v>419</v>
      </c>
      <c r="D1365" s="37" t="s">
        <v>87</v>
      </c>
      <c r="E1365" s="37">
        <v>85351</v>
      </c>
      <c r="F1365" s="37" t="s">
        <v>798</v>
      </c>
      <c r="G1365" s="37" t="s">
        <v>3373</v>
      </c>
      <c r="H1365" s="73" t="s">
        <v>5353</v>
      </c>
      <c r="I1365" s="38" t="s">
        <v>30</v>
      </c>
      <c r="J1365" s="38" t="s">
        <v>31</v>
      </c>
      <c r="K1365" s="38" t="s">
        <v>31</v>
      </c>
      <c r="L1365" s="38" t="s">
        <v>32</v>
      </c>
      <c r="M1365" s="38" t="s">
        <v>31</v>
      </c>
      <c r="N1365" s="38" t="s">
        <v>31</v>
      </c>
      <c r="O1365" s="38" t="s">
        <v>32</v>
      </c>
      <c r="P1365" s="38" t="s">
        <v>33</v>
      </c>
      <c r="Q1365" s="36">
        <v>45993</v>
      </c>
      <c r="R1365" s="34"/>
      <c r="S1365" s="34"/>
      <c r="T1365" s="34"/>
      <c r="U1365" s="34"/>
      <c r="V1365" s="45">
        <f>IF(OR(ISNUMBER(SEARCH("unable to locate acct",G1365)),ISNUMBER(SEARCH("unknown",G1365)),ISNUMBER(SEARCH("inactive",G1365)),H1365=""),0,1)</f>
        <v>1</v>
      </c>
    </row>
    <row r="1366" spans="1:22" hidden="1">
      <c r="A1366" s="36">
        <v>45987</v>
      </c>
      <c r="B1366" s="37" t="s">
        <v>3377</v>
      </c>
      <c r="C1366" s="37" t="s">
        <v>224</v>
      </c>
      <c r="D1366" s="37" t="s">
        <v>163</v>
      </c>
      <c r="E1366" s="37">
        <v>85338</v>
      </c>
      <c r="F1366" s="37" t="s">
        <v>3378</v>
      </c>
      <c r="G1366" s="37" t="s">
        <v>3379</v>
      </c>
      <c r="H1366" s="73" t="s">
        <v>5354</v>
      </c>
      <c r="I1366" s="38" t="s">
        <v>30</v>
      </c>
      <c r="J1366" s="38" t="s">
        <v>31</v>
      </c>
      <c r="K1366" s="38" t="s">
        <v>31</v>
      </c>
      <c r="L1366" s="38" t="s">
        <v>32</v>
      </c>
      <c r="M1366" s="38" t="s">
        <v>31</v>
      </c>
      <c r="N1366" s="38" t="s">
        <v>31</v>
      </c>
      <c r="O1366" s="38" t="s">
        <v>32</v>
      </c>
      <c r="P1366" s="38" t="s">
        <v>33</v>
      </c>
      <c r="Q1366" s="36">
        <v>45993</v>
      </c>
      <c r="R1366" s="34"/>
      <c r="S1366" s="34"/>
      <c r="T1366" s="34"/>
      <c r="U1366" s="34"/>
      <c r="V1366" s="45">
        <f>IF(OR(ISNUMBER(SEARCH("unable to locate acct",G1366)),ISNUMBER(SEARCH("unknown",G1366)),ISNUMBER(SEARCH("inactive",G1366)),H1366=""),0,1)</f>
        <v>1</v>
      </c>
    </row>
    <row r="1367" spans="1:22" hidden="1">
      <c r="A1367" s="36">
        <v>45987</v>
      </c>
      <c r="B1367" s="37" t="s">
        <v>3380</v>
      </c>
      <c r="C1367" s="37" t="s">
        <v>3381</v>
      </c>
      <c r="D1367" s="37" t="s">
        <v>196</v>
      </c>
      <c r="E1367" s="37">
        <v>85382</v>
      </c>
      <c r="F1367" s="37" t="s">
        <v>3382</v>
      </c>
      <c r="G1367" s="37" t="s">
        <v>3379</v>
      </c>
      <c r="H1367" s="73" t="s">
        <v>5355</v>
      </c>
      <c r="I1367" s="38" t="s">
        <v>3383</v>
      </c>
      <c r="J1367" s="38" t="s">
        <v>31</v>
      </c>
      <c r="K1367" s="38" t="s">
        <v>31</v>
      </c>
      <c r="L1367" s="38" t="s">
        <v>381</v>
      </c>
      <c r="M1367" s="38" t="s">
        <v>31</v>
      </c>
      <c r="N1367" s="38" t="s">
        <v>31</v>
      </c>
      <c r="O1367" s="38" t="s">
        <v>32</v>
      </c>
      <c r="P1367" s="38" t="s">
        <v>33</v>
      </c>
      <c r="Q1367" s="36">
        <v>45993</v>
      </c>
      <c r="R1367" s="34"/>
      <c r="S1367" s="34"/>
      <c r="T1367" s="34"/>
      <c r="U1367" s="34"/>
      <c r="V1367" s="45">
        <f>IF(OR(ISNUMBER(SEARCH("unable to locate acct",G1367)),ISNUMBER(SEARCH("unknown",G1367)),ISNUMBER(SEARCH("inactive",G1367)),H1367=""),0,1)</f>
        <v>1</v>
      </c>
    </row>
    <row r="1368" spans="1:22" hidden="1">
      <c r="A1368" s="36">
        <v>45989</v>
      </c>
      <c r="B1368" s="37" t="s">
        <v>3384</v>
      </c>
      <c r="C1368" s="37" t="s">
        <v>3385</v>
      </c>
      <c r="D1368" s="37" t="s">
        <v>106</v>
      </c>
      <c r="E1368" s="37">
        <v>85387</v>
      </c>
      <c r="F1368" s="37" t="s">
        <v>3386</v>
      </c>
      <c r="G1368" s="37" t="s">
        <v>3387</v>
      </c>
      <c r="H1368" s="73" t="s">
        <v>5356</v>
      </c>
      <c r="I1368" s="38" t="s">
        <v>30</v>
      </c>
      <c r="J1368" s="38" t="s">
        <v>31</v>
      </c>
      <c r="K1368" s="38" t="s">
        <v>31</v>
      </c>
      <c r="L1368" s="38" t="s">
        <v>32</v>
      </c>
      <c r="M1368" s="38" t="s">
        <v>31</v>
      </c>
      <c r="N1368" s="38" t="s">
        <v>31</v>
      </c>
      <c r="O1368" s="38" t="s">
        <v>32</v>
      </c>
      <c r="P1368" s="38" t="s">
        <v>33</v>
      </c>
      <c r="Q1368" s="36">
        <v>45993</v>
      </c>
      <c r="R1368" s="34"/>
      <c r="S1368" s="34"/>
      <c r="T1368" s="34"/>
      <c r="U1368" s="34"/>
      <c r="V1368" s="45">
        <f>IF(OR(ISNUMBER(SEARCH("unable to locate acct",G1368)),ISNUMBER(SEARCH("unknown",G1368)),ISNUMBER(SEARCH("inactive",G1368)),H1368=""),0,1)</f>
        <v>1</v>
      </c>
    </row>
    <row r="1369" spans="1:22" hidden="1">
      <c r="A1369" s="36">
        <v>45993</v>
      </c>
      <c r="B1369" s="37" t="s">
        <v>3388</v>
      </c>
      <c r="C1369" s="37" t="s">
        <v>1302</v>
      </c>
      <c r="D1369" s="37" t="s">
        <v>106</v>
      </c>
      <c r="E1369" s="37">
        <v>85379</v>
      </c>
      <c r="F1369" s="37" t="s">
        <v>3220</v>
      </c>
      <c r="G1369" s="37" t="s">
        <v>3389</v>
      </c>
      <c r="H1369" s="73" t="s">
        <v>5357</v>
      </c>
      <c r="I1369" s="38" t="s">
        <v>532</v>
      </c>
      <c r="J1369" s="38" t="s">
        <v>31</v>
      </c>
      <c r="K1369" s="38" t="s">
        <v>31</v>
      </c>
      <c r="L1369" s="38" t="s">
        <v>381</v>
      </c>
      <c r="M1369" s="38" t="s">
        <v>31</v>
      </c>
      <c r="N1369" s="38" t="s">
        <v>31</v>
      </c>
      <c r="O1369" s="38" t="s">
        <v>32</v>
      </c>
      <c r="P1369" s="38" t="s">
        <v>33</v>
      </c>
      <c r="Q1369" s="36">
        <v>45994</v>
      </c>
      <c r="R1369" s="34"/>
      <c r="S1369" s="34"/>
      <c r="T1369" s="34"/>
      <c r="U1369" s="34"/>
      <c r="V1369" s="45">
        <f>IF(OR(ISNUMBER(SEARCH("unable to locate acct",G1369)),ISNUMBER(SEARCH("unknown",G1369)),ISNUMBER(SEARCH("inactive",G1369)),H1369=""),0,1)</f>
        <v>1</v>
      </c>
    </row>
    <row r="1370" spans="1:22" hidden="1">
      <c r="A1370" s="36">
        <v>45993</v>
      </c>
      <c r="B1370" s="37" t="s">
        <v>3390</v>
      </c>
      <c r="C1370" s="37" t="s">
        <v>2213</v>
      </c>
      <c r="D1370" s="37" t="s">
        <v>106</v>
      </c>
      <c r="E1370" s="37">
        <v>85387</v>
      </c>
      <c r="F1370" s="37" t="s">
        <v>3391</v>
      </c>
      <c r="G1370" s="37" t="s">
        <v>3392</v>
      </c>
      <c r="H1370" s="73" t="s">
        <v>5358</v>
      </c>
      <c r="I1370" s="38" t="s">
        <v>30</v>
      </c>
      <c r="J1370" s="38" t="s">
        <v>31</v>
      </c>
      <c r="K1370" s="38" t="s">
        <v>31</v>
      </c>
      <c r="L1370" s="38" t="s">
        <v>32</v>
      </c>
      <c r="M1370" s="38" t="s">
        <v>31</v>
      </c>
      <c r="N1370" s="38" t="s">
        <v>31</v>
      </c>
      <c r="O1370" s="38" t="s">
        <v>32</v>
      </c>
      <c r="P1370" s="38" t="s">
        <v>33</v>
      </c>
      <c r="Q1370" s="36">
        <v>45994</v>
      </c>
      <c r="R1370" s="34"/>
      <c r="S1370" s="34"/>
      <c r="T1370" s="34"/>
      <c r="U1370" s="34"/>
      <c r="V1370" s="45">
        <f>IF(OR(ISNUMBER(SEARCH("unable to locate acct",G1370)),ISNUMBER(SEARCH("unknown",G1370)),ISNUMBER(SEARCH("inactive",G1370)),H1370=""),0,1)</f>
        <v>1</v>
      </c>
    </row>
    <row r="1371" spans="1:22" hidden="1">
      <c r="A1371" s="36">
        <v>45993</v>
      </c>
      <c r="B1371" s="37" t="s">
        <v>3393</v>
      </c>
      <c r="C1371" s="37" t="s">
        <v>1039</v>
      </c>
      <c r="D1371" s="37" t="s">
        <v>106</v>
      </c>
      <c r="E1371" s="37">
        <v>85374</v>
      </c>
      <c r="F1371" s="37" t="s">
        <v>3220</v>
      </c>
      <c r="G1371" s="37" t="s">
        <v>3394</v>
      </c>
      <c r="H1371" s="73" t="s">
        <v>5049</v>
      </c>
      <c r="I1371" s="38" t="s">
        <v>51</v>
      </c>
      <c r="J1371" s="38" t="s">
        <v>31</v>
      </c>
      <c r="K1371" s="38" t="s">
        <v>31</v>
      </c>
      <c r="L1371" s="38" t="s">
        <v>3395</v>
      </c>
      <c r="M1371" s="38" t="s">
        <v>31</v>
      </c>
      <c r="N1371" s="38" t="s">
        <v>31</v>
      </c>
      <c r="O1371" s="38" t="s">
        <v>32</v>
      </c>
      <c r="P1371" s="38" t="s">
        <v>33</v>
      </c>
      <c r="Q1371" s="36">
        <v>45995</v>
      </c>
      <c r="R1371" s="34"/>
      <c r="S1371" s="34"/>
      <c r="T1371" s="34"/>
      <c r="U1371" s="34"/>
      <c r="V1371" s="45">
        <f>IF(OR(ISNUMBER(SEARCH("unable to locate acct",G1371)),ISNUMBER(SEARCH("unknown",G1371)),ISNUMBER(SEARCH("inactive",G1371)),H1371=""),0,1)</f>
        <v>1</v>
      </c>
    </row>
    <row r="1372" spans="1:22" hidden="1">
      <c r="A1372" s="36">
        <v>45993</v>
      </c>
      <c r="B1372" s="37" t="s">
        <v>3396</v>
      </c>
      <c r="C1372" s="37" t="s">
        <v>3397</v>
      </c>
      <c r="D1372" s="37" t="s">
        <v>420</v>
      </c>
      <c r="E1372" s="37">
        <v>85335</v>
      </c>
      <c r="F1372" s="37" t="s">
        <v>3220</v>
      </c>
      <c r="G1372" s="37" t="s">
        <v>3394</v>
      </c>
      <c r="H1372" s="73" t="s">
        <v>21</v>
      </c>
      <c r="I1372" s="38"/>
      <c r="J1372" s="38"/>
      <c r="K1372" s="38"/>
      <c r="L1372" s="38"/>
      <c r="M1372" s="38"/>
      <c r="N1372" s="38"/>
      <c r="O1372" s="38"/>
      <c r="P1372" s="38"/>
      <c r="Q1372" s="38"/>
      <c r="R1372" s="34"/>
      <c r="S1372" s="34"/>
      <c r="T1372" s="34"/>
      <c r="U1372" s="34"/>
      <c r="V1372" s="45">
        <f>IF(OR(ISNUMBER(SEARCH("unable to locate acct",G1372)),ISNUMBER(SEARCH("unknown",G1372)),ISNUMBER(SEARCH("inactive",G1372)),H1372=""),0,1)</f>
        <v>1</v>
      </c>
    </row>
    <row r="1373" spans="1:22" hidden="1">
      <c r="A1373" s="36">
        <v>45993</v>
      </c>
      <c r="B1373" s="37" t="s">
        <v>3398</v>
      </c>
      <c r="C1373" s="37" t="s">
        <v>2685</v>
      </c>
      <c r="D1373" s="37" t="s">
        <v>420</v>
      </c>
      <c r="E1373" s="37">
        <v>85335</v>
      </c>
      <c r="F1373" s="37" t="s">
        <v>3399</v>
      </c>
      <c r="G1373" s="37" t="s">
        <v>3394</v>
      </c>
      <c r="H1373" s="73" t="s">
        <v>5105</v>
      </c>
      <c r="I1373" s="38" t="s">
        <v>3400</v>
      </c>
      <c r="J1373" s="38" t="s">
        <v>32</v>
      </c>
      <c r="K1373" s="38" t="s">
        <v>31</v>
      </c>
      <c r="L1373" s="38" t="s">
        <v>381</v>
      </c>
      <c r="M1373" s="38" t="s">
        <v>32</v>
      </c>
      <c r="N1373" s="38">
        <v>425.23</v>
      </c>
      <c r="O1373" s="38" t="s">
        <v>32</v>
      </c>
      <c r="P1373" s="38" t="s">
        <v>33</v>
      </c>
      <c r="Q1373" s="36">
        <v>45995</v>
      </c>
      <c r="R1373" s="34"/>
      <c r="S1373" s="34"/>
      <c r="T1373" s="34"/>
      <c r="U1373" s="34"/>
      <c r="V1373" s="45">
        <f>IF(OR(ISNUMBER(SEARCH("unable to locate acct",G1373)),ISNUMBER(SEARCH("unknown",G1373)),ISNUMBER(SEARCH("inactive",G1373)),H1373=""),0,1)</f>
        <v>1</v>
      </c>
    </row>
    <row r="1374" spans="1:22" hidden="1">
      <c r="A1374" s="36">
        <v>45993</v>
      </c>
      <c r="B1374" s="37" t="s">
        <v>3026</v>
      </c>
      <c r="C1374" s="37" t="s">
        <v>3401</v>
      </c>
      <c r="D1374" s="37" t="s">
        <v>420</v>
      </c>
      <c r="E1374" s="37">
        <v>85335</v>
      </c>
      <c r="F1374" s="37" t="s">
        <v>3402</v>
      </c>
      <c r="G1374" s="37" t="s">
        <v>3394</v>
      </c>
      <c r="H1374" s="73" t="s">
        <v>5050</v>
      </c>
      <c r="I1374" s="38" t="s">
        <v>190</v>
      </c>
      <c r="J1374" s="38" t="s">
        <v>31</v>
      </c>
      <c r="K1374" s="38" t="s">
        <v>31</v>
      </c>
      <c r="L1374" s="38" t="s">
        <v>3403</v>
      </c>
      <c r="M1374" s="38" t="s">
        <v>31</v>
      </c>
      <c r="N1374" s="38" t="s">
        <v>31</v>
      </c>
      <c r="O1374" s="38" t="s">
        <v>32</v>
      </c>
      <c r="P1374" s="38"/>
      <c r="Q1374" s="36">
        <v>45995</v>
      </c>
      <c r="R1374" s="34"/>
      <c r="S1374" s="34"/>
      <c r="T1374" s="34"/>
      <c r="U1374" s="34"/>
      <c r="V1374" s="45">
        <f>IF(OR(ISNUMBER(SEARCH("unable to locate acct",G1374)),ISNUMBER(SEARCH("unknown",G1374)),ISNUMBER(SEARCH("inactive",G1374)),H1374=""),0,1)</f>
        <v>1</v>
      </c>
    </row>
    <row r="1375" spans="1:22" hidden="1">
      <c r="A1375" s="36">
        <v>45993</v>
      </c>
      <c r="B1375" s="37" t="s">
        <v>3404</v>
      </c>
      <c r="C1375" s="37" t="s">
        <v>3405</v>
      </c>
      <c r="D1375" s="37" t="s">
        <v>18</v>
      </c>
      <c r="E1375" s="37">
        <v>85304</v>
      </c>
      <c r="F1375" s="37" t="s">
        <v>3406</v>
      </c>
      <c r="G1375" s="37" t="s">
        <v>3394</v>
      </c>
      <c r="H1375" s="73" t="s">
        <v>5359</v>
      </c>
      <c r="I1375" s="38" t="s">
        <v>244</v>
      </c>
      <c r="J1375" s="38" t="s">
        <v>31</v>
      </c>
      <c r="K1375" s="38" t="s">
        <v>31</v>
      </c>
      <c r="L1375" s="38" t="s">
        <v>32</v>
      </c>
      <c r="M1375" s="38" t="s">
        <v>31</v>
      </c>
      <c r="N1375" s="38" t="s">
        <v>31</v>
      </c>
      <c r="O1375" s="38" t="s">
        <v>32</v>
      </c>
      <c r="P1375" s="38" t="s">
        <v>33</v>
      </c>
      <c r="Q1375" s="36">
        <v>45995</v>
      </c>
      <c r="R1375" s="34"/>
      <c r="S1375" s="34"/>
      <c r="T1375" s="34"/>
      <c r="U1375" s="34"/>
      <c r="V1375" s="45">
        <f>IF(OR(ISNUMBER(SEARCH("unable to locate acct",G1375)),ISNUMBER(SEARCH("unknown",G1375)),ISNUMBER(SEARCH("inactive",G1375)),H1375=""),0,1)</f>
        <v>1</v>
      </c>
    </row>
    <row r="1376" spans="1:22" hidden="1">
      <c r="A1376" s="36">
        <v>45993</v>
      </c>
      <c r="B1376" s="37" t="s">
        <v>3407</v>
      </c>
      <c r="C1376" s="37" t="s">
        <v>2776</v>
      </c>
      <c r="D1376" s="37" t="s">
        <v>106</v>
      </c>
      <c r="E1376" s="37">
        <v>85387</v>
      </c>
      <c r="F1376" s="37" t="s">
        <v>3408</v>
      </c>
      <c r="G1376" s="37" t="s">
        <v>3394</v>
      </c>
      <c r="H1376" s="73" t="s">
        <v>5360</v>
      </c>
      <c r="I1376" s="38" t="s">
        <v>30</v>
      </c>
      <c r="J1376" s="38" t="s">
        <v>31</v>
      </c>
      <c r="K1376" s="38" t="s">
        <v>31</v>
      </c>
      <c r="L1376" s="38" t="s">
        <v>32</v>
      </c>
      <c r="M1376" s="38" t="s">
        <v>31</v>
      </c>
      <c r="N1376" s="38" t="s">
        <v>31</v>
      </c>
      <c r="O1376" s="38" t="s">
        <v>32</v>
      </c>
      <c r="P1376" s="38" t="s">
        <v>33</v>
      </c>
      <c r="Q1376" s="36">
        <v>45995</v>
      </c>
      <c r="R1376" s="34"/>
      <c r="S1376" s="34"/>
      <c r="T1376" s="34"/>
      <c r="U1376" s="34"/>
      <c r="V1376" s="45">
        <f>IF(OR(ISNUMBER(SEARCH("unable to locate acct",G1376)),ISNUMBER(SEARCH("unknown",G1376)),ISNUMBER(SEARCH("inactive",G1376)),H1376=""),0,1)</f>
        <v>1</v>
      </c>
    </row>
    <row r="1377" spans="1:22" hidden="1">
      <c r="A1377" s="36">
        <v>45993</v>
      </c>
      <c r="B1377" s="37" t="s">
        <v>3409</v>
      </c>
      <c r="C1377" s="37" t="s">
        <v>3410</v>
      </c>
      <c r="D1377" s="37" t="s">
        <v>3411</v>
      </c>
      <c r="E1377" s="37">
        <v>85378</v>
      </c>
      <c r="F1377" s="37" t="s">
        <v>3220</v>
      </c>
      <c r="G1377" s="37" t="s">
        <v>3394</v>
      </c>
      <c r="H1377" s="73" t="s">
        <v>5051</v>
      </c>
      <c r="I1377" s="38" t="s">
        <v>30</v>
      </c>
      <c r="J1377" s="38" t="s">
        <v>32</v>
      </c>
      <c r="K1377" s="38" t="s">
        <v>31</v>
      </c>
      <c r="L1377" s="38" t="s">
        <v>393</v>
      </c>
      <c r="M1377" s="38" t="s">
        <v>31</v>
      </c>
      <c r="N1377" s="38" t="s">
        <v>31</v>
      </c>
      <c r="O1377" s="38" t="s">
        <v>32</v>
      </c>
      <c r="P1377" s="38" t="s">
        <v>33</v>
      </c>
      <c r="Q1377" s="36">
        <v>45995</v>
      </c>
      <c r="R1377" s="34"/>
      <c r="S1377" s="34"/>
      <c r="T1377" s="34"/>
      <c r="U1377" s="34"/>
      <c r="V1377" s="45">
        <f>IF(OR(ISNUMBER(SEARCH("unable to locate acct",G1377)),ISNUMBER(SEARCH("unknown",G1377)),ISNUMBER(SEARCH("inactive",G1377)),H1377=""),0,1)</f>
        <v>1</v>
      </c>
    </row>
    <row r="1378" spans="1:22" hidden="1">
      <c r="A1378" s="36">
        <v>45993</v>
      </c>
      <c r="B1378" s="37" t="s">
        <v>994</v>
      </c>
      <c r="C1378" s="37" t="s">
        <v>3412</v>
      </c>
      <c r="D1378" s="37" t="s">
        <v>168</v>
      </c>
      <c r="E1378" s="37">
        <v>85396</v>
      </c>
      <c r="F1378" s="37" t="s">
        <v>3413</v>
      </c>
      <c r="G1378" s="37" t="s">
        <v>3394</v>
      </c>
      <c r="H1378" s="73" t="s">
        <v>5361</v>
      </c>
      <c r="I1378" s="38" t="s">
        <v>40</v>
      </c>
      <c r="J1378" s="38" t="s">
        <v>31</v>
      </c>
      <c r="K1378" s="38" t="s">
        <v>31</v>
      </c>
      <c r="L1378" s="38" t="s">
        <v>32</v>
      </c>
      <c r="M1378" s="38" t="s">
        <v>31</v>
      </c>
      <c r="N1378" s="38" t="s">
        <v>31</v>
      </c>
      <c r="O1378" s="38" t="s">
        <v>32</v>
      </c>
      <c r="P1378" s="38" t="s">
        <v>33</v>
      </c>
      <c r="Q1378" s="36">
        <v>45995</v>
      </c>
      <c r="R1378" s="34"/>
      <c r="S1378" s="34"/>
      <c r="T1378" s="34"/>
      <c r="U1378" s="34"/>
      <c r="V1378" s="45">
        <f>IF(OR(ISNUMBER(SEARCH("unable to locate acct",G1378)),ISNUMBER(SEARCH("unknown",G1378)),ISNUMBER(SEARCH("inactive",G1378)),H1378=""),0,1)</f>
        <v>1</v>
      </c>
    </row>
    <row r="1379" spans="1:22" hidden="1">
      <c r="A1379" s="36">
        <v>45993</v>
      </c>
      <c r="B1379" s="37" t="s">
        <v>3414</v>
      </c>
      <c r="C1379" s="37" t="s">
        <v>3415</v>
      </c>
      <c r="D1379" s="37" t="s">
        <v>106</v>
      </c>
      <c r="E1379" s="37">
        <v>85374</v>
      </c>
      <c r="F1379" s="37" t="s">
        <v>3220</v>
      </c>
      <c r="G1379" s="37" t="s">
        <v>3394</v>
      </c>
      <c r="H1379" s="73" t="s">
        <v>21</v>
      </c>
      <c r="I1379" s="38"/>
      <c r="J1379" s="38"/>
      <c r="K1379" s="38"/>
      <c r="L1379" s="38"/>
      <c r="M1379" s="38"/>
      <c r="N1379" s="38"/>
      <c r="O1379" s="38"/>
      <c r="P1379" s="38"/>
      <c r="Q1379" s="38"/>
      <c r="R1379" s="34"/>
      <c r="S1379" s="34"/>
      <c r="T1379" s="34"/>
      <c r="U1379" s="34"/>
      <c r="V1379" s="45">
        <f>IF(OR(ISNUMBER(SEARCH("unable to locate acct",G1379)),ISNUMBER(SEARCH("unknown",G1379)),ISNUMBER(SEARCH("inactive",G1379)),H1379=""),0,1)</f>
        <v>1</v>
      </c>
    </row>
    <row r="1380" spans="1:22" hidden="1">
      <c r="A1380" s="36">
        <v>45993</v>
      </c>
      <c r="B1380" s="37" t="s">
        <v>121</v>
      </c>
      <c r="C1380" s="37" t="s">
        <v>1837</v>
      </c>
      <c r="D1380" s="37" t="s">
        <v>106</v>
      </c>
      <c r="E1380" s="37">
        <v>85388</v>
      </c>
      <c r="F1380" s="37" t="s">
        <v>3220</v>
      </c>
      <c r="G1380" s="37" t="s">
        <v>3394</v>
      </c>
      <c r="H1380" s="73" t="s">
        <v>21</v>
      </c>
      <c r="I1380" s="38"/>
      <c r="J1380" s="38"/>
      <c r="K1380" s="38"/>
      <c r="L1380" s="38"/>
      <c r="M1380" s="38"/>
      <c r="N1380" s="38"/>
      <c r="O1380" s="38"/>
      <c r="P1380" s="38"/>
      <c r="Q1380" s="38"/>
      <c r="R1380" s="34"/>
      <c r="S1380" s="34"/>
      <c r="T1380" s="34"/>
      <c r="U1380" s="34"/>
      <c r="V1380" s="45">
        <f>IF(OR(ISNUMBER(SEARCH("unable to locate acct",G1380)),ISNUMBER(SEARCH("unknown",G1380)),ISNUMBER(SEARCH("inactive",G1380)),H1380=""),0,1)</f>
        <v>1</v>
      </c>
    </row>
    <row r="1381" spans="1:22" hidden="1">
      <c r="A1381" s="36">
        <v>45993</v>
      </c>
      <c r="B1381" s="37" t="s">
        <v>3416</v>
      </c>
      <c r="C1381" s="37" t="s">
        <v>2995</v>
      </c>
      <c r="D1381" s="37" t="s">
        <v>420</v>
      </c>
      <c r="E1381" s="37">
        <v>85355</v>
      </c>
      <c r="F1381" s="37" t="s">
        <v>3417</v>
      </c>
      <c r="G1381" s="37" t="s">
        <v>3394</v>
      </c>
      <c r="H1381" s="73" t="s">
        <v>5362</v>
      </c>
      <c r="I1381" s="38" t="s">
        <v>40</v>
      </c>
      <c r="J1381" s="38" t="s">
        <v>31</v>
      </c>
      <c r="K1381" s="38" t="s">
        <v>31</v>
      </c>
      <c r="L1381" s="38" t="s">
        <v>32</v>
      </c>
      <c r="M1381" s="38" t="s">
        <v>31</v>
      </c>
      <c r="N1381" s="38" t="s">
        <v>31</v>
      </c>
      <c r="O1381" s="38" t="s">
        <v>32</v>
      </c>
      <c r="P1381" s="38" t="s">
        <v>33</v>
      </c>
      <c r="Q1381" s="36">
        <v>45995</v>
      </c>
      <c r="R1381" s="34"/>
      <c r="S1381" s="34"/>
      <c r="T1381" s="34"/>
      <c r="U1381" s="34"/>
      <c r="V1381" s="45">
        <f>IF(OR(ISNUMBER(SEARCH("unable to locate acct",G1381)),ISNUMBER(SEARCH("unknown",G1381)),ISNUMBER(SEARCH("inactive",G1381)),H1381=""),0,1)</f>
        <v>1</v>
      </c>
    </row>
    <row r="1382" spans="1:22" hidden="1">
      <c r="A1382" s="2">
        <v>45994</v>
      </c>
      <c r="B1382" s="1" t="s">
        <v>3418</v>
      </c>
      <c r="C1382" s="1" t="s">
        <v>1042</v>
      </c>
      <c r="D1382" s="1" t="s">
        <v>24</v>
      </c>
      <c r="E1382" s="1" t="s">
        <v>24</v>
      </c>
      <c r="F1382" s="1" t="s">
        <v>25</v>
      </c>
      <c r="G1382" s="39" t="s">
        <v>3419</v>
      </c>
      <c r="H1382" s="4" t="s">
        <v>21</v>
      </c>
      <c r="V1382" s="45">
        <f>IF(OR(ISNUMBER(SEARCH("unable to locate acct",G1382)),ISNUMBER(SEARCH("unknown",G1382)),ISNUMBER(SEARCH("inactive",G1382)),H1382=""),0,1)</f>
        <v>1</v>
      </c>
    </row>
    <row r="1383" spans="1:22" hidden="1">
      <c r="A1383" s="2">
        <v>45994</v>
      </c>
      <c r="B1383" s="1" t="s">
        <v>3420</v>
      </c>
      <c r="C1383" s="1" t="s">
        <v>3421</v>
      </c>
      <c r="D1383" s="1" t="s">
        <v>196</v>
      </c>
      <c r="E1383" s="1">
        <v>85383</v>
      </c>
      <c r="F1383" s="1" t="s">
        <v>3422</v>
      </c>
      <c r="G1383" s="39" t="s">
        <v>3423</v>
      </c>
      <c r="H1383" s="4" t="s">
        <v>3424</v>
      </c>
      <c r="I1383" s="5" t="s">
        <v>120</v>
      </c>
      <c r="J1383" s="5" t="s">
        <v>31</v>
      </c>
      <c r="K1383" s="5" t="s">
        <v>31</v>
      </c>
      <c r="L1383" s="5" t="s">
        <v>32</v>
      </c>
      <c r="M1383" s="5" t="s">
        <v>31</v>
      </c>
      <c r="N1383" s="5" t="s">
        <v>31</v>
      </c>
      <c r="O1383" s="5" t="s">
        <v>32</v>
      </c>
      <c r="P1383" s="5" t="s">
        <v>33</v>
      </c>
      <c r="Q1383" s="2">
        <v>45995</v>
      </c>
      <c r="V1383" s="45">
        <f>IF(OR(ISNUMBER(SEARCH("unable to locate acct",G1383)),ISNUMBER(SEARCH("unknown",G1383)),ISNUMBER(SEARCH("inactive",G1383)),H1383=""),0,1)</f>
        <v>1</v>
      </c>
    </row>
    <row r="1384" spans="1:22" ht="15" hidden="1">
      <c r="A1384" s="2">
        <v>45994</v>
      </c>
      <c r="B1384" s="1" t="s">
        <v>3425</v>
      </c>
      <c r="C1384" s="1" t="s">
        <v>3426</v>
      </c>
      <c r="D1384" s="1" t="s">
        <v>57</v>
      </c>
      <c r="E1384" s="1">
        <v>85017</v>
      </c>
      <c r="F1384" s="1" t="s">
        <v>3427</v>
      </c>
      <c r="G1384" s="40" t="s">
        <v>3428</v>
      </c>
      <c r="H1384" s="4" t="s">
        <v>84</v>
      </c>
      <c r="R1384" s="1" t="s">
        <v>3429</v>
      </c>
      <c r="V1384" s="45">
        <f>IF(OR(ISNUMBER(SEARCH("unable to locate acct",G1384)),ISNUMBER(SEARCH("unknown",G1384)),ISNUMBER(SEARCH("inactive",G1384)),H1384=""),0,1)</f>
        <v>1</v>
      </c>
    </row>
    <row r="1385" spans="1:22" hidden="1">
      <c r="A1385" s="2">
        <v>45994</v>
      </c>
      <c r="B1385" s="1" t="s">
        <v>3430</v>
      </c>
      <c r="C1385" s="1" t="s">
        <v>3431</v>
      </c>
      <c r="D1385" s="1" t="s">
        <v>57</v>
      </c>
      <c r="E1385" s="1">
        <v>85019</v>
      </c>
      <c r="F1385" s="1" t="s">
        <v>3432</v>
      </c>
      <c r="G1385" s="1" t="s">
        <v>3428</v>
      </c>
      <c r="H1385" s="4" t="s">
        <v>21</v>
      </c>
      <c r="R1385" s="1" t="s">
        <v>3429</v>
      </c>
      <c r="V1385" s="45">
        <f>IF(OR(ISNUMBER(SEARCH("unable to locate acct",G1385)),ISNUMBER(SEARCH("unknown",G1385)),ISNUMBER(SEARCH("inactive",G1385)),H1385=""),0,1)</f>
        <v>1</v>
      </c>
    </row>
    <row r="1386" spans="1:22" hidden="1">
      <c r="A1386" s="2">
        <v>45994</v>
      </c>
      <c r="B1386" s="1" t="s">
        <v>3433</v>
      </c>
      <c r="C1386" s="1" t="s">
        <v>3434</v>
      </c>
      <c r="D1386" s="1" t="s">
        <v>18</v>
      </c>
      <c r="E1386" s="1">
        <v>85301</v>
      </c>
      <c r="F1386" s="1" t="s">
        <v>3435</v>
      </c>
      <c r="G1386" s="1" t="s">
        <v>3428</v>
      </c>
      <c r="H1386" s="4" t="s">
        <v>21</v>
      </c>
      <c r="R1386" s="1" t="s">
        <v>3429</v>
      </c>
      <c r="V1386" s="45">
        <f>IF(OR(ISNUMBER(SEARCH("unable to locate acct",G1386)),ISNUMBER(SEARCH("unknown",G1386)),ISNUMBER(SEARCH("inactive",G1386)),H1386=""),0,1)</f>
        <v>1</v>
      </c>
    </row>
    <row r="1387" spans="1:22" hidden="1">
      <c r="A1387" s="2">
        <v>45994</v>
      </c>
      <c r="B1387" s="1" t="s">
        <v>648</v>
      </c>
      <c r="C1387" s="1" t="s">
        <v>3436</v>
      </c>
      <c r="D1387" s="1" t="s">
        <v>626</v>
      </c>
      <c r="E1387" s="1">
        <v>85281</v>
      </c>
      <c r="F1387" s="1" t="s">
        <v>3437</v>
      </c>
      <c r="G1387" s="1" t="s">
        <v>3428</v>
      </c>
      <c r="H1387" s="4" t="s">
        <v>21</v>
      </c>
      <c r="R1387" s="1" t="s">
        <v>3429</v>
      </c>
      <c r="V1387" s="45">
        <f>IF(OR(ISNUMBER(SEARCH("unable to locate acct",G1387)),ISNUMBER(SEARCH("unknown",G1387)),ISNUMBER(SEARCH("inactive",G1387)),H1387=""),0,1)</f>
        <v>1</v>
      </c>
    </row>
    <row r="1388" spans="1:22" hidden="1">
      <c r="A1388" s="2">
        <v>45994</v>
      </c>
      <c r="B1388" s="1" t="s">
        <v>3371</v>
      </c>
      <c r="C1388" s="1" t="s">
        <v>3371</v>
      </c>
      <c r="D1388" s="1" t="s">
        <v>57</v>
      </c>
      <c r="E1388" s="1">
        <v>85008</v>
      </c>
      <c r="F1388" s="1" t="s">
        <v>3438</v>
      </c>
      <c r="G1388" s="1" t="s">
        <v>3428</v>
      </c>
      <c r="H1388" s="4" t="s">
        <v>21</v>
      </c>
      <c r="R1388" s="1" t="s">
        <v>3429</v>
      </c>
      <c r="V1388" s="45">
        <f>IF(OR(ISNUMBER(SEARCH("unable to locate acct",G1388)),ISNUMBER(SEARCH("unknown",G1388)),ISNUMBER(SEARCH("inactive",G1388)),H1388=""),0,1)</f>
        <v>1</v>
      </c>
    </row>
    <row r="1389" spans="1:22" hidden="1">
      <c r="A1389" s="2">
        <v>45994</v>
      </c>
      <c r="B1389" s="1" t="s">
        <v>3439</v>
      </c>
      <c r="C1389" s="1" t="s">
        <v>3440</v>
      </c>
      <c r="D1389" s="1" t="s">
        <v>57</v>
      </c>
      <c r="E1389" s="1">
        <v>85008</v>
      </c>
      <c r="F1389" s="1" t="s">
        <v>3441</v>
      </c>
      <c r="G1389" s="1" t="s">
        <v>3428</v>
      </c>
      <c r="H1389" s="4" t="s">
        <v>3442</v>
      </c>
      <c r="I1389" s="5" t="s">
        <v>120</v>
      </c>
      <c r="J1389" s="5" t="s">
        <v>32</v>
      </c>
      <c r="K1389" s="5" t="s">
        <v>31</v>
      </c>
      <c r="L1389" s="5" t="s">
        <v>3443</v>
      </c>
      <c r="M1389" s="5" t="s">
        <v>31</v>
      </c>
      <c r="N1389" s="5" t="s">
        <v>31</v>
      </c>
      <c r="O1389" s="5" t="s">
        <v>32</v>
      </c>
      <c r="P1389" s="5" t="s">
        <v>33</v>
      </c>
      <c r="Q1389" s="2">
        <v>46000</v>
      </c>
      <c r="R1389" s="1" t="s">
        <v>3444</v>
      </c>
      <c r="V1389" s="45">
        <f>IF(OR(ISNUMBER(SEARCH("unable to locate acct",G1389)),ISNUMBER(SEARCH("unknown",G1389)),ISNUMBER(SEARCH("inactive",G1389)),H1389=""),0,1)</f>
        <v>1</v>
      </c>
    </row>
    <row r="1390" spans="1:22" hidden="1">
      <c r="A1390" s="2">
        <v>45994</v>
      </c>
      <c r="B1390" s="1" t="s">
        <v>2147</v>
      </c>
      <c r="C1390" s="1" t="s">
        <v>3410</v>
      </c>
      <c r="D1390" s="1" t="s">
        <v>57</v>
      </c>
      <c r="E1390" s="1">
        <v>85017</v>
      </c>
      <c r="F1390" s="1" t="s">
        <v>3445</v>
      </c>
      <c r="G1390" s="1" t="s">
        <v>3428</v>
      </c>
      <c r="H1390" s="4" t="s">
        <v>21</v>
      </c>
      <c r="R1390" s="1" t="s">
        <v>3429</v>
      </c>
      <c r="V1390" s="45">
        <f>IF(OR(ISNUMBER(SEARCH("unable to locate acct",G1390)),ISNUMBER(SEARCH("unknown",G1390)),ISNUMBER(SEARCH("inactive",G1390)),H1390=""),0,1)</f>
        <v>1</v>
      </c>
    </row>
    <row r="1391" spans="1:22" hidden="1">
      <c r="A1391" s="2">
        <v>45994</v>
      </c>
      <c r="B1391" s="1" t="s">
        <v>648</v>
      </c>
      <c r="C1391" s="1" t="s">
        <v>3446</v>
      </c>
      <c r="D1391" s="1" t="s">
        <v>57</v>
      </c>
      <c r="E1391" s="1">
        <v>85035</v>
      </c>
      <c r="F1391" s="1" t="s">
        <v>3447</v>
      </c>
      <c r="G1391" s="1" t="s">
        <v>3428</v>
      </c>
      <c r="H1391" s="4" t="s">
        <v>21</v>
      </c>
      <c r="R1391" s="1" t="s">
        <v>3429</v>
      </c>
      <c r="V1391" s="45">
        <f>IF(OR(ISNUMBER(SEARCH("unable to locate acct",G1391)),ISNUMBER(SEARCH("unknown",G1391)),ISNUMBER(SEARCH("inactive",G1391)),H1391=""),0,1)</f>
        <v>1</v>
      </c>
    </row>
    <row r="1392" spans="1:22" hidden="1">
      <c r="A1392" s="2">
        <v>45994</v>
      </c>
      <c r="B1392" s="1" t="s">
        <v>3448</v>
      </c>
      <c r="C1392" s="1" t="s">
        <v>3449</v>
      </c>
      <c r="D1392" s="1" t="s">
        <v>57</v>
      </c>
      <c r="E1392" s="1">
        <v>85008</v>
      </c>
      <c r="F1392" s="1" t="s">
        <v>3450</v>
      </c>
      <c r="G1392" s="1" t="s">
        <v>3428</v>
      </c>
      <c r="H1392" s="4" t="s">
        <v>21</v>
      </c>
      <c r="R1392" s="1" t="s">
        <v>3429</v>
      </c>
      <c r="V1392" s="45">
        <f>IF(OR(ISNUMBER(SEARCH("unable to locate acct",G1392)),ISNUMBER(SEARCH("unknown",G1392)),ISNUMBER(SEARCH("inactive",G1392)),H1392=""),0,1)</f>
        <v>1</v>
      </c>
    </row>
    <row r="1393" spans="1:22" hidden="1">
      <c r="A1393" s="2">
        <v>45994</v>
      </c>
      <c r="C1393" s="1" t="s">
        <v>3451</v>
      </c>
      <c r="D1393" s="1" t="s">
        <v>57</v>
      </c>
      <c r="E1393" s="1">
        <v>85017</v>
      </c>
      <c r="F1393" s="1" t="s">
        <v>3452</v>
      </c>
      <c r="G1393" s="1" t="s">
        <v>3428</v>
      </c>
      <c r="H1393" s="4" t="s">
        <v>21</v>
      </c>
      <c r="R1393" s="1" t="s">
        <v>3429</v>
      </c>
      <c r="V1393" s="45">
        <f>IF(OR(ISNUMBER(SEARCH("unable to locate acct",G1393)),ISNUMBER(SEARCH("unknown",G1393)),ISNUMBER(SEARCH("inactive",G1393)),H1393=""),0,1)</f>
        <v>1</v>
      </c>
    </row>
    <row r="1394" spans="1:22" hidden="1">
      <c r="A1394" s="2">
        <v>45994</v>
      </c>
      <c r="B1394" s="1" t="s">
        <v>3453</v>
      </c>
      <c r="C1394" s="1" t="s">
        <v>3454</v>
      </c>
      <c r="D1394" s="1" t="s">
        <v>57</v>
      </c>
      <c r="E1394" s="1">
        <v>85037</v>
      </c>
      <c r="F1394" s="1" t="s">
        <v>3455</v>
      </c>
      <c r="G1394" s="1" t="s">
        <v>3428</v>
      </c>
      <c r="H1394" s="4" t="s">
        <v>21</v>
      </c>
      <c r="V1394" s="45">
        <f>IF(OR(ISNUMBER(SEARCH("unable to locate acct",G1394)),ISNUMBER(SEARCH("unknown",G1394)),ISNUMBER(SEARCH("inactive",G1394)),H1394=""),0,1)</f>
        <v>1</v>
      </c>
    </row>
    <row r="1395" spans="1:22" hidden="1">
      <c r="A1395" s="2">
        <v>45994</v>
      </c>
      <c r="B1395" s="1" t="s">
        <v>3456</v>
      </c>
      <c r="C1395" s="1" t="s">
        <v>3457</v>
      </c>
      <c r="D1395" s="1" t="s">
        <v>57</v>
      </c>
      <c r="E1395" s="1">
        <v>85031</v>
      </c>
      <c r="F1395" s="1" t="s">
        <v>3458</v>
      </c>
      <c r="G1395" s="1" t="s">
        <v>3428</v>
      </c>
      <c r="H1395" s="4" t="s">
        <v>21</v>
      </c>
      <c r="V1395" s="45">
        <f>IF(OR(ISNUMBER(SEARCH("unable to locate acct",G1395)),ISNUMBER(SEARCH("unknown",G1395)),ISNUMBER(SEARCH("inactive",G1395)),H1395=""),0,1)</f>
        <v>1</v>
      </c>
    </row>
    <row r="1396" spans="1:22" hidden="1">
      <c r="A1396" s="2">
        <v>45994</v>
      </c>
      <c r="B1396" s="1" t="s">
        <v>3459</v>
      </c>
      <c r="C1396" s="1" t="s">
        <v>3460</v>
      </c>
      <c r="D1396" s="1" t="s">
        <v>106</v>
      </c>
      <c r="E1396" s="1">
        <v>85387</v>
      </c>
      <c r="F1396" s="1" t="s">
        <v>3461</v>
      </c>
      <c r="G1396" s="1" t="s">
        <v>3428</v>
      </c>
      <c r="H1396" s="4" t="s">
        <v>3462</v>
      </c>
      <c r="I1396" s="5" t="s">
        <v>30</v>
      </c>
      <c r="J1396" s="5" t="s">
        <v>31</v>
      </c>
      <c r="K1396" s="5" t="s">
        <v>31</v>
      </c>
      <c r="L1396" s="5" t="s">
        <v>32</v>
      </c>
      <c r="M1396" s="5" t="s">
        <v>31</v>
      </c>
      <c r="N1396" s="5" t="s">
        <v>31</v>
      </c>
      <c r="O1396" s="5" t="s">
        <v>32</v>
      </c>
      <c r="P1396" s="5" t="s">
        <v>33</v>
      </c>
      <c r="Q1396" s="2">
        <v>46000</v>
      </c>
      <c r="V1396" s="45">
        <f>IF(OR(ISNUMBER(SEARCH("unable to locate acct",G1396)),ISNUMBER(SEARCH("unknown",G1396)),ISNUMBER(SEARCH("inactive",G1396)),H1396=""),0,1)</f>
        <v>1</v>
      </c>
    </row>
    <row r="1397" spans="1:22" hidden="1">
      <c r="A1397" s="2">
        <v>45994</v>
      </c>
      <c r="B1397" s="1" t="s">
        <v>411</v>
      </c>
      <c r="C1397" s="1" t="s">
        <v>3104</v>
      </c>
      <c r="D1397" s="1" t="s">
        <v>57</v>
      </c>
      <c r="E1397" s="1">
        <v>85029</v>
      </c>
      <c r="F1397" s="1" t="s">
        <v>3463</v>
      </c>
      <c r="G1397" s="1" t="s">
        <v>3428</v>
      </c>
      <c r="H1397" s="4" t="s">
        <v>3106</v>
      </c>
      <c r="I1397" s="5" t="s">
        <v>120</v>
      </c>
      <c r="J1397" s="5" t="s">
        <v>31</v>
      </c>
      <c r="K1397" s="5" t="s">
        <v>31</v>
      </c>
      <c r="L1397" s="5" t="s">
        <v>32</v>
      </c>
      <c r="M1397" s="5" t="s">
        <v>31</v>
      </c>
      <c r="N1397" s="5" t="s">
        <v>31</v>
      </c>
      <c r="O1397" s="5" t="s">
        <v>32</v>
      </c>
      <c r="P1397" s="5" t="s">
        <v>33</v>
      </c>
      <c r="Q1397" s="2">
        <v>46000</v>
      </c>
      <c r="V1397" s="45">
        <f>IF(OR(ISNUMBER(SEARCH("unable to locate acct",G1397)),ISNUMBER(SEARCH("unknown",G1397)),ISNUMBER(SEARCH("inactive",G1397)),H1397=""),0,1)</f>
        <v>1</v>
      </c>
    </row>
    <row r="1398" spans="1:22" hidden="1">
      <c r="A1398" s="41">
        <v>45994</v>
      </c>
      <c r="B1398" s="32" t="s">
        <v>823</v>
      </c>
      <c r="C1398" s="32" t="s">
        <v>3464</v>
      </c>
      <c r="D1398" s="32" t="s">
        <v>57</v>
      </c>
      <c r="E1398" s="32">
        <v>85013</v>
      </c>
      <c r="F1398" s="32" t="s">
        <v>3465</v>
      </c>
      <c r="G1398" s="32" t="s">
        <v>3428</v>
      </c>
      <c r="H1398" s="44" t="s">
        <v>5052</v>
      </c>
      <c r="I1398" s="42" t="s">
        <v>3466</v>
      </c>
      <c r="J1398" s="42" t="s">
        <v>31</v>
      </c>
      <c r="K1398" s="42" t="s">
        <v>31</v>
      </c>
      <c r="L1398" s="42" t="s">
        <v>3467</v>
      </c>
      <c r="M1398" s="42" t="s">
        <v>31</v>
      </c>
      <c r="N1398" s="42" t="s">
        <v>31</v>
      </c>
      <c r="O1398" s="42" t="s">
        <v>32</v>
      </c>
      <c r="P1398" s="42"/>
      <c r="Q1398" s="41">
        <v>46000</v>
      </c>
      <c r="R1398" s="32" t="s">
        <v>3468</v>
      </c>
      <c r="S1398" s="32"/>
      <c r="T1398" s="32"/>
      <c r="U1398" s="32"/>
      <c r="V1398" s="45">
        <f>IF(OR(ISNUMBER(SEARCH("unable to locate acct",G1398)),ISNUMBER(SEARCH("unknown",G1398)),ISNUMBER(SEARCH("inactive",G1398)),H1398=""),0,1)</f>
        <v>1</v>
      </c>
    </row>
    <row r="1399" spans="1:22" hidden="1">
      <c r="A1399" s="2">
        <v>45994</v>
      </c>
      <c r="B1399" s="1" t="s">
        <v>1577</v>
      </c>
      <c r="C1399" s="1" t="s">
        <v>3469</v>
      </c>
      <c r="D1399" s="1" t="s">
        <v>57</v>
      </c>
      <c r="E1399" s="1">
        <v>85086</v>
      </c>
      <c r="F1399" s="1" t="s">
        <v>3470</v>
      </c>
      <c r="G1399" s="1" t="s">
        <v>3428</v>
      </c>
      <c r="H1399" s="4" t="s">
        <v>84</v>
      </c>
      <c r="V1399" s="45">
        <f>IF(OR(ISNUMBER(SEARCH("unable to locate acct",G1399)),ISNUMBER(SEARCH("unknown",G1399)),ISNUMBER(SEARCH("inactive",G1399)),H1399=""),0,1)</f>
        <v>1</v>
      </c>
    </row>
    <row r="1400" spans="1:22" hidden="1">
      <c r="A1400" s="2">
        <v>45994</v>
      </c>
      <c r="B1400" s="1" t="s">
        <v>3471</v>
      </c>
      <c r="C1400" s="1" t="s">
        <v>3472</v>
      </c>
      <c r="D1400" s="1" t="s">
        <v>57</v>
      </c>
      <c r="E1400" s="1">
        <v>85033</v>
      </c>
      <c r="F1400" s="1" t="s">
        <v>3473</v>
      </c>
      <c r="G1400" s="1" t="s">
        <v>3428</v>
      </c>
      <c r="H1400" s="4" t="s">
        <v>21</v>
      </c>
      <c r="V1400" s="45">
        <f>IF(OR(ISNUMBER(SEARCH("unable to locate acct",G1400)),ISNUMBER(SEARCH("unknown",G1400)),ISNUMBER(SEARCH("inactive",G1400)),H1400=""),0,1)</f>
        <v>1</v>
      </c>
    </row>
    <row r="1401" spans="1:22" hidden="1">
      <c r="A1401" s="2">
        <v>45994</v>
      </c>
      <c r="B1401" s="1" t="s">
        <v>3474</v>
      </c>
      <c r="C1401" s="1" t="s">
        <v>1476</v>
      </c>
      <c r="D1401" s="1" t="s">
        <v>728</v>
      </c>
      <c r="E1401" s="1">
        <v>86326</v>
      </c>
      <c r="F1401" s="1" t="s">
        <v>3475</v>
      </c>
      <c r="G1401" s="1" t="s">
        <v>3428</v>
      </c>
      <c r="H1401" s="4" t="s">
        <v>84</v>
      </c>
      <c r="V1401" s="45">
        <f>IF(OR(ISNUMBER(SEARCH("unable to locate acct",G1401)),ISNUMBER(SEARCH("unknown",G1401)),ISNUMBER(SEARCH("inactive",G1401)),H1401=""),0,1)</f>
        <v>1</v>
      </c>
    </row>
    <row r="1402" spans="1:22" hidden="1">
      <c r="A1402" s="2">
        <v>45994</v>
      </c>
      <c r="B1402" s="1" t="s">
        <v>3476</v>
      </c>
      <c r="C1402" s="1" t="s">
        <v>3477</v>
      </c>
      <c r="D1402" s="1" t="s">
        <v>18</v>
      </c>
      <c r="E1402" s="1">
        <v>85308</v>
      </c>
      <c r="F1402" s="1" t="s">
        <v>3478</v>
      </c>
      <c r="G1402" s="1" t="s">
        <v>3428</v>
      </c>
      <c r="H1402" s="4" t="s">
        <v>21</v>
      </c>
      <c r="V1402" s="45">
        <f>IF(OR(ISNUMBER(SEARCH("unable to locate acct",G1402)),ISNUMBER(SEARCH("unknown",G1402)),ISNUMBER(SEARCH("inactive",G1402)),H1402=""),0,1)</f>
        <v>1</v>
      </c>
    </row>
    <row r="1403" spans="1:22" hidden="1">
      <c r="A1403" s="2">
        <v>45994</v>
      </c>
      <c r="B1403" s="1" t="s">
        <v>3479</v>
      </c>
      <c r="C1403" s="1" t="s">
        <v>334</v>
      </c>
      <c r="D1403" s="1" t="s">
        <v>57</v>
      </c>
      <c r="E1403" s="1">
        <v>85022</v>
      </c>
      <c r="F1403" s="1" t="s">
        <v>3480</v>
      </c>
      <c r="G1403" s="1" t="s">
        <v>3428</v>
      </c>
      <c r="H1403" s="4" t="s">
        <v>3481</v>
      </c>
      <c r="I1403" s="5" t="s">
        <v>67</v>
      </c>
      <c r="J1403" s="5" t="s">
        <v>31</v>
      </c>
      <c r="K1403" s="5" t="s">
        <v>31</v>
      </c>
      <c r="L1403" s="5" t="s">
        <v>3482</v>
      </c>
      <c r="M1403" s="5" t="s">
        <v>31</v>
      </c>
      <c r="N1403" s="5" t="s">
        <v>31</v>
      </c>
      <c r="O1403" s="5" t="s">
        <v>32</v>
      </c>
      <c r="P1403" s="5" t="s">
        <v>33</v>
      </c>
      <c r="Q1403" s="2">
        <v>46000</v>
      </c>
      <c r="V1403" s="45">
        <f>IF(OR(ISNUMBER(SEARCH("unable to locate acct",G1403)),ISNUMBER(SEARCH("unknown",G1403)),ISNUMBER(SEARCH("inactive",G1403)),H1403=""),0,1)</f>
        <v>1</v>
      </c>
    </row>
    <row r="1404" spans="1:22" hidden="1">
      <c r="A1404" s="2">
        <v>45994</v>
      </c>
      <c r="B1404" s="1" t="s">
        <v>3483</v>
      </c>
      <c r="C1404" s="1" t="s">
        <v>3484</v>
      </c>
      <c r="D1404" s="1" t="s">
        <v>57</v>
      </c>
      <c r="E1404" s="1">
        <v>85003</v>
      </c>
      <c r="F1404" s="1" t="s">
        <v>3485</v>
      </c>
      <c r="G1404" s="1" t="s">
        <v>3428</v>
      </c>
      <c r="H1404" s="4" t="s">
        <v>21</v>
      </c>
      <c r="R1404" s="1" t="s">
        <v>3429</v>
      </c>
      <c r="V1404" s="45">
        <f>IF(OR(ISNUMBER(SEARCH("unable to locate acct",G1404)),ISNUMBER(SEARCH("unknown",G1404)),ISNUMBER(SEARCH("inactive",G1404)),H1404=""),0,1)</f>
        <v>1</v>
      </c>
    </row>
    <row r="1405" spans="1:22" hidden="1">
      <c r="A1405" s="2">
        <v>45994</v>
      </c>
      <c r="B1405" s="1" t="s">
        <v>3486</v>
      </c>
      <c r="C1405" s="1" t="s">
        <v>3487</v>
      </c>
      <c r="D1405" s="1" t="s">
        <v>514</v>
      </c>
      <c r="E1405" s="1">
        <v>85323</v>
      </c>
      <c r="F1405" s="1" t="s">
        <v>3488</v>
      </c>
      <c r="G1405" s="1" t="s">
        <v>3428</v>
      </c>
      <c r="H1405" s="4" t="s">
        <v>21</v>
      </c>
      <c r="R1405" s="1" t="s">
        <v>3429</v>
      </c>
      <c r="V1405" s="45">
        <f>IF(OR(ISNUMBER(SEARCH("unable to locate acct",G1405)),ISNUMBER(SEARCH("unknown",G1405)),ISNUMBER(SEARCH("inactive",G1405)),H1405=""),0,1)</f>
        <v>1</v>
      </c>
    </row>
    <row r="1406" spans="1:22" hidden="1">
      <c r="A1406" s="2">
        <v>45994</v>
      </c>
      <c r="B1406" s="1" t="s">
        <v>3489</v>
      </c>
      <c r="C1406" s="1" t="s">
        <v>3490</v>
      </c>
      <c r="D1406" s="1" t="s">
        <v>2125</v>
      </c>
      <c r="E1406" s="1">
        <v>86325</v>
      </c>
      <c r="F1406" s="1" t="s">
        <v>3491</v>
      </c>
      <c r="G1406" s="1" t="s">
        <v>3428</v>
      </c>
      <c r="H1406" s="4" t="s">
        <v>21</v>
      </c>
      <c r="V1406" s="45">
        <f>IF(OR(ISNUMBER(SEARCH("unable to locate acct",G1406)),ISNUMBER(SEARCH("unknown",G1406)),ISNUMBER(SEARCH("inactive",G1406)),H1406=""),0,1)</f>
        <v>1</v>
      </c>
    </row>
    <row r="1407" spans="1:22" hidden="1">
      <c r="A1407" s="2">
        <v>45994</v>
      </c>
      <c r="B1407" s="1" t="s">
        <v>3492</v>
      </c>
      <c r="C1407" s="1" t="s">
        <v>3493</v>
      </c>
      <c r="D1407" s="1" t="s">
        <v>106</v>
      </c>
      <c r="E1407" s="1">
        <v>85379</v>
      </c>
      <c r="F1407" s="1" t="s">
        <v>3494</v>
      </c>
      <c r="G1407" s="1" t="s">
        <v>3428</v>
      </c>
      <c r="H1407" s="4" t="s">
        <v>21</v>
      </c>
      <c r="V1407" s="45">
        <f>IF(OR(ISNUMBER(SEARCH("unable to locate acct",G1407)),ISNUMBER(SEARCH("unknown",G1407)),ISNUMBER(SEARCH("inactive",G1407)),H1407=""),0,1)</f>
        <v>1</v>
      </c>
    </row>
    <row r="1408" spans="1:22" hidden="1">
      <c r="A1408" s="2">
        <v>45994</v>
      </c>
      <c r="B1408" s="1" t="s">
        <v>24</v>
      </c>
      <c r="C1408" s="1" t="s">
        <v>3495</v>
      </c>
      <c r="D1408" s="1" t="s">
        <v>24</v>
      </c>
      <c r="E1408" s="1" t="s">
        <v>24</v>
      </c>
      <c r="F1408" s="1" t="s">
        <v>3496</v>
      </c>
      <c r="G1408" s="1" t="s">
        <v>3428</v>
      </c>
      <c r="H1408" s="4" t="s">
        <v>21</v>
      </c>
      <c r="V1408" s="45">
        <f>IF(OR(ISNUMBER(SEARCH("unable to locate acct",G1408)),ISNUMBER(SEARCH("unknown",G1408)),ISNUMBER(SEARCH("inactive",G1408)),H1408=""),0,1)</f>
        <v>1</v>
      </c>
    </row>
    <row r="1409" spans="1:22" hidden="1">
      <c r="A1409" s="2">
        <v>45994</v>
      </c>
      <c r="B1409" s="1" t="s">
        <v>3497</v>
      </c>
      <c r="C1409" s="1" t="s">
        <v>3498</v>
      </c>
      <c r="D1409" s="1" t="s">
        <v>62</v>
      </c>
      <c r="F1409" s="1" t="s">
        <v>3499</v>
      </c>
      <c r="G1409" s="1" t="s">
        <v>3428</v>
      </c>
      <c r="H1409" s="4" t="s">
        <v>3500</v>
      </c>
      <c r="I1409" s="5" t="s">
        <v>30</v>
      </c>
      <c r="J1409" s="5" t="s">
        <v>31</v>
      </c>
      <c r="K1409" s="5" t="s">
        <v>31</v>
      </c>
      <c r="L1409" s="5" t="s">
        <v>32</v>
      </c>
      <c r="M1409" s="5" t="s">
        <v>31</v>
      </c>
      <c r="N1409" s="5" t="s">
        <v>31</v>
      </c>
      <c r="O1409" s="5" t="s">
        <v>32</v>
      </c>
      <c r="P1409" s="5" t="s">
        <v>33</v>
      </c>
      <c r="Q1409" s="2">
        <v>46000</v>
      </c>
      <c r="V1409" s="45">
        <f>IF(OR(ISNUMBER(SEARCH("unable to locate acct",G1409)),ISNUMBER(SEARCH("unknown",G1409)),ISNUMBER(SEARCH("inactive",G1409)),H1409=""),0,1)</f>
        <v>1</v>
      </c>
    </row>
    <row r="1410" spans="1:22" hidden="1">
      <c r="A1410" s="2">
        <v>45994</v>
      </c>
      <c r="B1410" s="1" t="s">
        <v>3501</v>
      </c>
      <c r="C1410" s="1" t="s">
        <v>3502</v>
      </c>
      <c r="D1410" s="1" t="s">
        <v>57</v>
      </c>
      <c r="E1410" s="1">
        <v>85037</v>
      </c>
      <c r="F1410" s="1" t="s">
        <v>3503</v>
      </c>
      <c r="G1410" s="1" t="s">
        <v>3428</v>
      </c>
      <c r="H1410" s="4" t="s">
        <v>21</v>
      </c>
      <c r="R1410" s="1" t="s">
        <v>3429</v>
      </c>
      <c r="V1410" s="45">
        <f>IF(OR(ISNUMBER(SEARCH("unable to locate acct",G1410)),ISNUMBER(SEARCH("unknown",G1410)),ISNUMBER(SEARCH("inactive",G1410)),H1410=""),0,1)</f>
        <v>1</v>
      </c>
    </row>
    <row r="1411" spans="1:22" hidden="1">
      <c r="A1411" s="2">
        <v>45994</v>
      </c>
      <c r="B1411" s="1" t="s">
        <v>213</v>
      </c>
      <c r="C1411" s="1" t="s">
        <v>3504</v>
      </c>
      <c r="D1411" s="1" t="s">
        <v>57</v>
      </c>
      <c r="E1411" s="1">
        <v>85017</v>
      </c>
      <c r="F1411" s="1" t="s">
        <v>3505</v>
      </c>
      <c r="G1411" s="1" t="s">
        <v>3428</v>
      </c>
      <c r="H1411" s="4" t="s">
        <v>21</v>
      </c>
      <c r="R1411" s="1" t="s">
        <v>3429</v>
      </c>
      <c r="V1411" s="45">
        <f>IF(OR(ISNUMBER(SEARCH("unable to locate acct",G1411)),ISNUMBER(SEARCH("unknown",G1411)),ISNUMBER(SEARCH("inactive",G1411)),H1411=""),0,1)</f>
        <v>1</v>
      </c>
    </row>
    <row r="1412" spans="1:22" hidden="1">
      <c r="A1412" s="2">
        <v>45994</v>
      </c>
      <c r="B1412" s="1" t="s">
        <v>24</v>
      </c>
      <c r="C1412" s="1" t="s">
        <v>3506</v>
      </c>
      <c r="D1412" s="1" t="s">
        <v>57</v>
      </c>
      <c r="E1412" s="1">
        <v>85003</v>
      </c>
      <c r="F1412" s="1" t="s">
        <v>3507</v>
      </c>
      <c r="G1412" s="1" t="s">
        <v>3428</v>
      </c>
      <c r="H1412" s="4" t="s">
        <v>21</v>
      </c>
      <c r="V1412" s="45">
        <f>IF(OR(ISNUMBER(SEARCH("unable to locate acct",G1412)),ISNUMBER(SEARCH("unknown",G1412)),ISNUMBER(SEARCH("inactive",G1412)),H1412=""),0,1)</f>
        <v>1</v>
      </c>
    </row>
    <row r="1413" spans="1:22" hidden="1">
      <c r="A1413" s="2">
        <v>45994</v>
      </c>
      <c r="B1413" s="1" t="s">
        <v>3508</v>
      </c>
      <c r="C1413" s="1" t="s">
        <v>3509</v>
      </c>
      <c r="D1413" s="1" t="s">
        <v>57</v>
      </c>
      <c r="E1413" s="1">
        <v>85042</v>
      </c>
      <c r="F1413" s="1" t="s">
        <v>3510</v>
      </c>
      <c r="G1413" s="1" t="s">
        <v>3428</v>
      </c>
      <c r="H1413" s="4" t="s">
        <v>21</v>
      </c>
      <c r="V1413" s="45">
        <f>IF(OR(ISNUMBER(SEARCH("unable to locate acct",G1413)),ISNUMBER(SEARCH("unknown",G1413)),ISNUMBER(SEARCH("inactive",G1413)),H1413=""),0,1)</f>
        <v>1</v>
      </c>
    </row>
    <row r="1414" spans="1:22" hidden="1">
      <c r="A1414" s="2">
        <v>45994</v>
      </c>
      <c r="B1414" s="1" t="s">
        <v>3511</v>
      </c>
      <c r="C1414" s="1" t="s">
        <v>3512</v>
      </c>
      <c r="D1414" s="1" t="s">
        <v>3513</v>
      </c>
      <c r="E1414" s="1">
        <v>85040</v>
      </c>
      <c r="F1414" s="1" t="s">
        <v>3514</v>
      </c>
      <c r="G1414" s="1" t="s">
        <v>3428</v>
      </c>
      <c r="H1414" s="4" t="s">
        <v>21</v>
      </c>
      <c r="R1414" s="1" t="s">
        <v>3429</v>
      </c>
      <c r="V1414" s="45">
        <f>IF(OR(ISNUMBER(SEARCH("unable to locate acct",G1414)),ISNUMBER(SEARCH("unknown",G1414)),ISNUMBER(SEARCH("inactive",G1414)),H1414=""),0,1)</f>
        <v>1</v>
      </c>
    </row>
    <row r="1415" spans="1:22" hidden="1">
      <c r="A1415" s="2">
        <v>45994</v>
      </c>
      <c r="B1415" s="1" t="s">
        <v>24</v>
      </c>
      <c r="C1415" s="1" t="s">
        <v>3515</v>
      </c>
      <c r="D1415" s="1" t="s">
        <v>24</v>
      </c>
      <c r="E1415" s="1" t="s">
        <v>24</v>
      </c>
      <c r="G1415" s="1" t="s">
        <v>3428</v>
      </c>
      <c r="H1415" s="4" t="s">
        <v>4886</v>
      </c>
      <c r="V1415" s="45">
        <f>IF(OR(ISNUMBER(SEARCH("unable to locate acct",G1415)),ISNUMBER(SEARCH("unknown",G1415)),ISNUMBER(SEARCH("inactive",G1415)),H1415=""),0,1)</f>
        <v>0</v>
      </c>
    </row>
    <row r="1416" spans="1:22" hidden="1">
      <c r="A1416" s="2">
        <v>45995</v>
      </c>
      <c r="B1416" s="1" t="s">
        <v>3516</v>
      </c>
      <c r="C1416" s="1" t="s">
        <v>3517</v>
      </c>
      <c r="D1416" s="1" t="s">
        <v>106</v>
      </c>
      <c r="E1416" s="1">
        <v>85379</v>
      </c>
      <c r="F1416" s="1" t="s">
        <v>3518</v>
      </c>
      <c r="G1416" s="39" t="s">
        <v>3519</v>
      </c>
      <c r="H1416" s="4" t="s">
        <v>3520</v>
      </c>
      <c r="I1416" s="5" t="s">
        <v>3521</v>
      </c>
      <c r="J1416" s="5" t="s">
        <v>31</v>
      </c>
      <c r="K1416" s="5" t="s">
        <v>31</v>
      </c>
      <c r="L1416" s="5" t="s">
        <v>381</v>
      </c>
      <c r="M1416" s="5" t="s">
        <v>31</v>
      </c>
      <c r="N1416" s="5" t="s">
        <v>31</v>
      </c>
      <c r="O1416" s="5" t="s">
        <v>32</v>
      </c>
      <c r="P1416" s="5" t="s">
        <v>33</v>
      </c>
      <c r="Q1416" s="2">
        <v>46000</v>
      </c>
      <c r="V1416" s="45">
        <f>IF(OR(ISNUMBER(SEARCH("unable to locate acct",G1416)),ISNUMBER(SEARCH("unknown",G1416)),ISNUMBER(SEARCH("inactive",G1416)),H1416=""),0,1)</f>
        <v>1</v>
      </c>
    </row>
    <row r="1417" spans="1:22" hidden="1">
      <c r="A1417" s="41">
        <v>45996</v>
      </c>
      <c r="B1417" s="32" t="s">
        <v>3522</v>
      </c>
      <c r="C1417" s="32" t="s">
        <v>470</v>
      </c>
      <c r="D1417" s="32" t="s">
        <v>57</v>
      </c>
      <c r="E1417" s="32">
        <v>85032</v>
      </c>
      <c r="F1417" s="32" t="s">
        <v>3523</v>
      </c>
      <c r="G1417" s="43" t="s">
        <v>3524</v>
      </c>
      <c r="H1417" s="44" t="s">
        <v>3525</v>
      </c>
      <c r="I1417" s="42" t="s">
        <v>51</v>
      </c>
      <c r="J1417" s="42" t="s">
        <v>31</v>
      </c>
      <c r="K1417" s="42" t="s">
        <v>31</v>
      </c>
      <c r="L1417" s="42" t="s">
        <v>3526</v>
      </c>
      <c r="M1417" s="42" t="s">
        <v>31</v>
      </c>
      <c r="N1417" s="42" t="s">
        <v>31</v>
      </c>
      <c r="O1417" s="42" t="s">
        <v>32</v>
      </c>
      <c r="P1417" s="42"/>
      <c r="Q1417" s="41">
        <v>46000</v>
      </c>
      <c r="R1417" s="32" t="s">
        <v>3468</v>
      </c>
      <c r="S1417" s="32"/>
      <c r="T1417" s="32"/>
      <c r="U1417" s="32"/>
      <c r="V1417" s="45">
        <f>IF(OR(ISNUMBER(SEARCH("unable to locate acct",G1417)),ISNUMBER(SEARCH("unknown",G1417)),ISNUMBER(SEARCH("inactive",G1417)),H1417=""),0,1)</f>
        <v>1</v>
      </c>
    </row>
    <row r="1418" spans="1:22" hidden="1">
      <c r="A1418" s="2">
        <v>46003</v>
      </c>
      <c r="B1418" s="1" t="s">
        <v>3527</v>
      </c>
      <c r="C1418" s="1" t="s">
        <v>774</v>
      </c>
      <c r="D1418" s="1" t="s">
        <v>106</v>
      </c>
      <c r="E1418" s="1">
        <v>85378</v>
      </c>
      <c r="F1418" s="1" t="s">
        <v>3528</v>
      </c>
      <c r="G1418" s="1" t="s">
        <v>3529</v>
      </c>
      <c r="H1418" s="4" t="s">
        <v>21</v>
      </c>
      <c r="V1418" s="45">
        <f>IF(OR(ISNUMBER(SEARCH("unable to locate acct",G1418)),ISNUMBER(SEARCH("unknown",G1418)),ISNUMBER(SEARCH("inactive",G1418)),H1418=""),0,1)</f>
        <v>1</v>
      </c>
    </row>
    <row r="1419" spans="1:22" hidden="1">
      <c r="A1419" s="2">
        <v>46003</v>
      </c>
      <c r="B1419" s="1" t="s">
        <v>3530</v>
      </c>
      <c r="C1419" s="1" t="s">
        <v>3531</v>
      </c>
      <c r="D1419" s="1" t="s">
        <v>168</v>
      </c>
      <c r="E1419" s="1">
        <v>85396</v>
      </c>
      <c r="F1419" s="1" t="s">
        <v>3532</v>
      </c>
      <c r="G1419" s="1" t="s">
        <v>3529</v>
      </c>
      <c r="H1419" s="4" t="s">
        <v>3533</v>
      </c>
      <c r="I1419" s="5" t="s">
        <v>244</v>
      </c>
      <c r="J1419" s="5" t="s">
        <v>31</v>
      </c>
      <c r="K1419" s="5" t="s">
        <v>31</v>
      </c>
      <c r="L1419" s="5" t="s">
        <v>32</v>
      </c>
      <c r="M1419" s="5" t="s">
        <v>31</v>
      </c>
      <c r="N1419" s="5" t="s">
        <v>31</v>
      </c>
      <c r="O1419" s="5" t="s">
        <v>32</v>
      </c>
      <c r="P1419" s="5" t="s">
        <v>33</v>
      </c>
      <c r="Q1419" s="5">
        <v>46008</v>
      </c>
      <c r="V1419" s="45">
        <f>IF(OR(ISNUMBER(SEARCH("unable to locate acct",G1419)),ISNUMBER(SEARCH("unknown",G1419)),ISNUMBER(SEARCH("inactive",G1419)),H1419=""),0,1)</f>
        <v>1</v>
      </c>
    </row>
    <row r="1420" spans="1:22" hidden="1">
      <c r="A1420" s="2">
        <v>46003</v>
      </c>
      <c r="B1420" s="1" t="s">
        <v>3534</v>
      </c>
      <c r="C1420" s="1" t="s">
        <v>3535</v>
      </c>
      <c r="D1420" s="1" t="s">
        <v>168</v>
      </c>
      <c r="E1420" s="1">
        <v>85396</v>
      </c>
      <c r="F1420" s="1" t="s">
        <v>3536</v>
      </c>
      <c r="G1420" s="1" t="s">
        <v>3529</v>
      </c>
      <c r="H1420" s="4" t="s">
        <v>3537</v>
      </c>
      <c r="I1420" s="5" t="s">
        <v>3538</v>
      </c>
      <c r="J1420" s="5" t="s">
        <v>31</v>
      </c>
      <c r="K1420" s="5" t="s">
        <v>31</v>
      </c>
      <c r="L1420" s="5" t="s">
        <v>32</v>
      </c>
      <c r="M1420" s="5" t="s">
        <v>31</v>
      </c>
      <c r="N1420" s="5" t="s">
        <v>31</v>
      </c>
      <c r="O1420" s="5" t="s">
        <v>32</v>
      </c>
      <c r="P1420" s="5" t="s">
        <v>33</v>
      </c>
      <c r="Q1420" s="5">
        <v>46008</v>
      </c>
      <c r="V1420" s="45">
        <f>IF(OR(ISNUMBER(SEARCH("unable to locate acct",G1420)),ISNUMBER(SEARCH("unknown",G1420)),ISNUMBER(SEARCH("inactive",G1420)),H1420=""),0,1)</f>
        <v>1</v>
      </c>
    </row>
    <row r="1421" spans="1:22" hidden="1">
      <c r="A1421" s="2">
        <v>46003</v>
      </c>
      <c r="B1421" s="1" t="s">
        <v>3539</v>
      </c>
      <c r="C1421" s="1" t="s">
        <v>202</v>
      </c>
      <c r="D1421" s="1" t="s">
        <v>168</v>
      </c>
      <c r="E1421" s="1">
        <v>85396</v>
      </c>
      <c r="F1421" s="1" t="s">
        <v>3540</v>
      </c>
      <c r="G1421" s="1" t="s">
        <v>3529</v>
      </c>
      <c r="H1421" s="4" t="s">
        <v>3541</v>
      </c>
      <c r="I1421" s="5" t="s">
        <v>3542</v>
      </c>
      <c r="J1421" s="5" t="s">
        <v>31</v>
      </c>
      <c r="K1421" s="5" t="s">
        <v>31</v>
      </c>
      <c r="L1421" s="5" t="s">
        <v>3543</v>
      </c>
      <c r="M1421" s="5" t="s">
        <v>31</v>
      </c>
      <c r="N1421" s="5" t="s">
        <v>31</v>
      </c>
      <c r="O1421" s="5" t="s">
        <v>32</v>
      </c>
      <c r="P1421" s="5" t="s">
        <v>33</v>
      </c>
      <c r="Q1421" s="5">
        <v>46008</v>
      </c>
      <c r="V1421" s="45">
        <f>IF(OR(ISNUMBER(SEARCH("unable to locate acct",G1421)),ISNUMBER(SEARCH("unknown",G1421)),ISNUMBER(SEARCH("inactive",G1421)),H1421=""),0,1)</f>
        <v>1</v>
      </c>
    </row>
    <row r="1422" spans="1:22" hidden="1">
      <c r="A1422" s="2">
        <v>46006</v>
      </c>
      <c r="B1422" s="1" t="s">
        <v>208</v>
      </c>
      <c r="C1422" s="1" t="s">
        <v>193</v>
      </c>
      <c r="D1422" s="1" t="s">
        <v>3003</v>
      </c>
      <c r="E1422" s="1" t="s">
        <v>24</v>
      </c>
      <c r="F1422" s="1" t="s">
        <v>3329</v>
      </c>
      <c r="G1422" s="1" t="s">
        <v>3544</v>
      </c>
      <c r="H1422" s="4" t="s">
        <v>21</v>
      </c>
      <c r="V1422" s="45">
        <f>IF(OR(ISNUMBER(SEARCH("unable to locate acct",G1422)),ISNUMBER(SEARCH("unknown",G1422)),ISNUMBER(SEARCH("inactive",G1422)),H1422=""),0,1)</f>
        <v>1</v>
      </c>
    </row>
    <row r="1423" spans="1:22" hidden="1">
      <c r="A1423" s="2">
        <v>46006</v>
      </c>
      <c r="B1423" s="1" t="s">
        <v>3026</v>
      </c>
      <c r="C1423" s="1" t="s">
        <v>472</v>
      </c>
      <c r="D1423" s="1" t="s">
        <v>79</v>
      </c>
      <c r="E1423" s="1">
        <v>86323</v>
      </c>
      <c r="F1423" s="1" t="s">
        <v>3545</v>
      </c>
      <c r="G1423" s="1" t="s">
        <v>3546</v>
      </c>
      <c r="H1423" s="4" t="s">
        <v>3547</v>
      </c>
      <c r="I1423" s="5" t="s">
        <v>120</v>
      </c>
      <c r="J1423" s="5" t="s">
        <v>31</v>
      </c>
      <c r="K1423" s="5" t="s">
        <v>31</v>
      </c>
      <c r="L1423" s="5" t="s">
        <v>32</v>
      </c>
      <c r="M1423" s="5" t="s">
        <v>31</v>
      </c>
      <c r="N1423" s="5" t="s">
        <v>31</v>
      </c>
      <c r="O1423" s="5" t="s">
        <v>32</v>
      </c>
      <c r="P1423" s="5" t="s">
        <v>33</v>
      </c>
      <c r="Q1423" s="5">
        <v>46008</v>
      </c>
      <c r="V1423" s="45">
        <f>IF(OR(ISNUMBER(SEARCH("unable to locate acct",G1423)),ISNUMBER(SEARCH("unknown",G1423)),ISNUMBER(SEARCH("inactive",G1423)),H1423=""),0,1)</f>
        <v>1</v>
      </c>
    </row>
    <row r="1424" spans="1:22" hidden="1">
      <c r="A1424" s="2">
        <v>46006</v>
      </c>
      <c r="B1424" s="1" t="s">
        <v>3548</v>
      </c>
      <c r="C1424" s="1" t="s">
        <v>3549</v>
      </c>
      <c r="D1424" s="1" t="s">
        <v>287</v>
      </c>
      <c r="E1424" s="1">
        <v>85138</v>
      </c>
      <c r="F1424" s="1" t="s">
        <v>3550</v>
      </c>
      <c r="G1424" s="1" t="s">
        <v>3551</v>
      </c>
      <c r="H1424" s="4" t="s">
        <v>21</v>
      </c>
      <c r="V1424" s="45">
        <f>IF(OR(ISNUMBER(SEARCH("unable to locate acct",G1424)),ISNUMBER(SEARCH("unknown",G1424)),ISNUMBER(SEARCH("inactive",G1424)),H1424=""),0,1)</f>
        <v>1</v>
      </c>
    </row>
    <row r="1425" spans="1:22" hidden="1">
      <c r="A1425" s="2">
        <v>46006</v>
      </c>
      <c r="B1425" s="1" t="s">
        <v>3552</v>
      </c>
      <c r="C1425" s="1" t="s">
        <v>653</v>
      </c>
      <c r="D1425" s="1" t="s">
        <v>3553</v>
      </c>
      <c r="E1425" s="1">
        <v>89145</v>
      </c>
      <c r="F1425" s="1" t="s">
        <v>3554</v>
      </c>
      <c r="G1425" s="1" t="s">
        <v>3555</v>
      </c>
      <c r="H1425" s="4" t="s">
        <v>21</v>
      </c>
      <c r="V1425" s="45">
        <f>IF(OR(ISNUMBER(SEARCH("unable to locate acct",G1425)),ISNUMBER(SEARCH("unknown",G1425)),ISNUMBER(SEARCH("inactive",G1425)),H1425=""),0,1)</f>
        <v>1</v>
      </c>
    </row>
    <row r="1426" spans="1:22" hidden="1">
      <c r="A1426" s="2">
        <v>46008</v>
      </c>
      <c r="B1426" s="1" t="s">
        <v>1525</v>
      </c>
      <c r="C1426" s="1" t="s">
        <v>1526</v>
      </c>
      <c r="D1426" s="1" t="s">
        <v>24</v>
      </c>
      <c r="E1426" s="1" t="s">
        <v>24</v>
      </c>
      <c r="F1426" s="1" t="s">
        <v>3556</v>
      </c>
      <c r="G1426" s="1" t="s">
        <v>3557</v>
      </c>
      <c r="H1426" s="4" t="s">
        <v>21</v>
      </c>
      <c r="V1426" s="45">
        <f>IF(OR(ISNUMBER(SEARCH("unable to locate acct",G1426)),ISNUMBER(SEARCH("unknown",G1426)),ISNUMBER(SEARCH("inactive",G1426)),H1426=""),0,1)</f>
        <v>1</v>
      </c>
    </row>
    <row r="1427" spans="1:22" hidden="1">
      <c r="A1427" s="41">
        <v>46009</v>
      </c>
      <c r="B1427" s="32" t="s">
        <v>3558</v>
      </c>
      <c r="C1427" s="32" t="s">
        <v>3559</v>
      </c>
      <c r="D1427" s="32" t="s">
        <v>57</v>
      </c>
      <c r="E1427" s="32">
        <v>85022</v>
      </c>
      <c r="F1427" s="32" t="s">
        <v>3329</v>
      </c>
      <c r="G1427" s="43" t="s">
        <v>3560</v>
      </c>
      <c r="H1427" s="44" t="s">
        <v>3561</v>
      </c>
      <c r="I1427" s="42" t="s">
        <v>190</v>
      </c>
      <c r="J1427" s="42" t="s">
        <v>31</v>
      </c>
      <c r="K1427" s="42" t="s">
        <v>31</v>
      </c>
      <c r="L1427" s="42" t="s">
        <v>3562</v>
      </c>
      <c r="M1427" s="42" t="s">
        <v>31</v>
      </c>
      <c r="N1427" s="42" t="s">
        <v>31</v>
      </c>
      <c r="O1427" s="42" t="s">
        <v>32</v>
      </c>
      <c r="P1427" s="42"/>
      <c r="Q1427" s="41">
        <v>46015</v>
      </c>
      <c r="R1427" s="32" t="s">
        <v>3468</v>
      </c>
      <c r="S1427" s="32"/>
      <c r="T1427" s="32"/>
      <c r="U1427" s="32"/>
      <c r="V1427" s="1">
        <f>IF(OR(ISNUMBER(SEARCH("unable to locate acct",G1427)),ISNUMBER(SEARCH("unknown",G1427)),ISNUMBER(SEARCH("inactive",G1427)),H1427=""),0,1)</f>
        <v>1</v>
      </c>
    </row>
    <row r="1428" spans="1:22" hidden="1">
      <c r="A1428" s="2">
        <v>46009</v>
      </c>
      <c r="B1428" s="1" t="s">
        <v>1986</v>
      </c>
      <c r="C1428" s="1" t="s">
        <v>3563</v>
      </c>
      <c r="D1428" s="1" t="s">
        <v>106</v>
      </c>
      <c r="E1428" s="1">
        <v>85387</v>
      </c>
      <c r="F1428" s="1" t="s">
        <v>3329</v>
      </c>
      <c r="G1428" s="39" t="s">
        <v>3560</v>
      </c>
      <c r="H1428" s="4" t="s">
        <v>21</v>
      </c>
      <c r="V1428" s="1">
        <f>IF(OR(ISNUMBER(SEARCH("unable to locate acct",G1428)),ISNUMBER(SEARCH("unknown",G1428)),ISNUMBER(SEARCH("inactive",G1428)),H1428=""),0,1)</f>
        <v>1</v>
      </c>
    </row>
    <row r="1429" spans="1:22" hidden="1">
      <c r="A1429" s="2">
        <v>46010</v>
      </c>
      <c r="B1429" s="1" t="s">
        <v>3564</v>
      </c>
      <c r="C1429" s="1" t="s">
        <v>3565</v>
      </c>
      <c r="D1429" s="1" t="s">
        <v>626</v>
      </c>
      <c r="F1429" s="1" t="s">
        <v>3329</v>
      </c>
      <c r="G1429" s="39" t="s">
        <v>3566</v>
      </c>
      <c r="H1429" s="4" t="s">
        <v>21</v>
      </c>
      <c r="V1429" s="1">
        <f>IF(OR(ISNUMBER(SEARCH("unable to locate acct",G1429)),ISNUMBER(SEARCH("unknown",G1429)),ISNUMBER(SEARCH("inactive",G1429)),H1429=""),0,1)</f>
        <v>1</v>
      </c>
    </row>
    <row r="1430" spans="1:22" hidden="1">
      <c r="A1430" s="2">
        <v>46010</v>
      </c>
      <c r="B1430" s="1" t="s">
        <v>1085</v>
      </c>
      <c r="C1430" s="1" t="s">
        <v>3567</v>
      </c>
      <c r="D1430" s="1" t="s">
        <v>106</v>
      </c>
      <c r="E1430" s="1">
        <v>85387</v>
      </c>
      <c r="F1430" s="1" t="s">
        <v>3329</v>
      </c>
      <c r="G1430" s="39" t="s">
        <v>3566</v>
      </c>
      <c r="H1430" s="4" t="s">
        <v>21</v>
      </c>
      <c r="V1430" s="1">
        <f>IF(OR(ISNUMBER(SEARCH("unable to locate acct",G1430)),ISNUMBER(SEARCH("unknown",G1430)),ISNUMBER(SEARCH("inactive",G1430)),H1430=""),0,1)</f>
        <v>1</v>
      </c>
    </row>
    <row r="1431" spans="1:22" hidden="1">
      <c r="A1431" s="41">
        <v>46010</v>
      </c>
      <c r="B1431" s="32" t="s">
        <v>3568</v>
      </c>
      <c r="C1431" s="32" t="s">
        <v>472</v>
      </c>
      <c r="D1431" s="32" t="s">
        <v>168</v>
      </c>
      <c r="E1431" s="32">
        <v>85326</v>
      </c>
      <c r="F1431" s="32" t="s">
        <v>3329</v>
      </c>
      <c r="G1431" s="43" t="s">
        <v>3566</v>
      </c>
      <c r="H1431" s="44" t="s">
        <v>4947</v>
      </c>
      <c r="I1431" s="42" t="s">
        <v>190</v>
      </c>
      <c r="J1431" s="42" t="s">
        <v>31</v>
      </c>
      <c r="K1431" s="42" t="s">
        <v>31</v>
      </c>
      <c r="L1431" s="42" t="s">
        <v>3569</v>
      </c>
      <c r="M1431" s="42" t="s">
        <v>32</v>
      </c>
      <c r="N1431" s="54">
        <v>1309.77</v>
      </c>
      <c r="O1431" s="42" t="s">
        <v>32</v>
      </c>
      <c r="P1431" s="42"/>
      <c r="Q1431" s="41">
        <v>46015</v>
      </c>
      <c r="R1431" s="32" t="s">
        <v>3570</v>
      </c>
      <c r="S1431" s="32"/>
      <c r="T1431" s="32"/>
      <c r="U1431" s="32"/>
      <c r="V1431" s="1">
        <f>IF(OR(ISNUMBER(SEARCH("unable to locate acct",G1431)),ISNUMBER(SEARCH("unknown",G1431)),ISNUMBER(SEARCH("inactive",G1431)),H1431=""),0,1)</f>
        <v>1</v>
      </c>
    </row>
    <row r="1432" spans="1:22" hidden="1">
      <c r="A1432" s="2">
        <v>46010</v>
      </c>
      <c r="B1432" s="1" t="s">
        <v>3571</v>
      </c>
      <c r="C1432" s="1" t="s">
        <v>693</v>
      </c>
      <c r="D1432" s="1" t="s">
        <v>57</v>
      </c>
      <c r="E1432" s="1">
        <v>85016</v>
      </c>
      <c r="F1432" s="1" t="s">
        <v>3329</v>
      </c>
      <c r="G1432" s="39" t="s">
        <v>3566</v>
      </c>
      <c r="H1432" s="4" t="s">
        <v>84</v>
      </c>
      <c r="V1432" s="1">
        <f>IF(OR(ISNUMBER(SEARCH("unable to locate acct",G1432)),ISNUMBER(SEARCH("unknown",G1432)),ISNUMBER(SEARCH("inactive",G1432)),H1432=""),0,1)</f>
        <v>1</v>
      </c>
    </row>
    <row r="1433" spans="1:22" hidden="1">
      <c r="A1433" s="2">
        <v>46010</v>
      </c>
      <c r="B1433" s="1" t="s">
        <v>3572</v>
      </c>
      <c r="C1433" s="1" t="s">
        <v>1865</v>
      </c>
      <c r="D1433" s="1" t="s">
        <v>57</v>
      </c>
      <c r="E1433" s="1">
        <v>85015</v>
      </c>
      <c r="F1433" s="1" t="s">
        <v>3329</v>
      </c>
      <c r="G1433" s="39" t="s">
        <v>3566</v>
      </c>
      <c r="H1433" s="4" t="s">
        <v>5363</v>
      </c>
      <c r="I1433" s="5" t="s">
        <v>120</v>
      </c>
      <c r="J1433" s="5" t="s">
        <v>31</v>
      </c>
      <c r="K1433" s="5" t="s">
        <v>31</v>
      </c>
      <c r="L1433" s="5" t="s">
        <v>32</v>
      </c>
      <c r="M1433" s="5" t="s">
        <v>31</v>
      </c>
      <c r="N1433" s="5" t="s">
        <v>31</v>
      </c>
      <c r="O1433" s="5" t="s">
        <v>32</v>
      </c>
      <c r="P1433" s="5" t="s">
        <v>33</v>
      </c>
      <c r="Q1433" s="2">
        <v>46015</v>
      </c>
      <c r="V1433" s="1">
        <f>IF(OR(ISNUMBER(SEARCH("unable to locate acct",G1433)),ISNUMBER(SEARCH("unknown",G1433)),ISNUMBER(SEARCH("inactive",G1433)),H1433=""),0,1)</f>
        <v>1</v>
      </c>
    </row>
    <row r="1434" spans="1:22" hidden="1">
      <c r="A1434" s="2">
        <v>46010</v>
      </c>
      <c r="B1434" s="1" t="s">
        <v>517</v>
      </c>
      <c r="C1434" s="1" t="s">
        <v>419</v>
      </c>
      <c r="D1434" s="1" t="s">
        <v>163</v>
      </c>
      <c r="E1434" s="1">
        <v>85338</v>
      </c>
      <c r="F1434" s="1" t="s">
        <v>3329</v>
      </c>
      <c r="G1434" s="39" t="s">
        <v>3566</v>
      </c>
      <c r="H1434" s="4" t="s">
        <v>21</v>
      </c>
      <c r="V1434" s="1">
        <f>IF(OR(ISNUMBER(SEARCH("unable to locate acct",G1434)),ISNUMBER(SEARCH("unknown",G1434)),ISNUMBER(SEARCH("inactive",G1434)),H1434=""),0,1)</f>
        <v>1</v>
      </c>
    </row>
    <row r="1435" spans="1:22" hidden="1">
      <c r="A1435" s="2">
        <v>46010</v>
      </c>
      <c r="B1435" s="1" t="s">
        <v>3573</v>
      </c>
      <c r="C1435" s="1" t="s">
        <v>1183</v>
      </c>
      <c r="D1435" s="1" t="s">
        <v>363</v>
      </c>
      <c r="E1435" s="1">
        <v>85286</v>
      </c>
      <c r="F1435" s="1" t="s">
        <v>3329</v>
      </c>
      <c r="G1435" s="39" t="s">
        <v>3566</v>
      </c>
      <c r="H1435" s="4" t="s">
        <v>21</v>
      </c>
      <c r="V1435" s="1">
        <f>IF(OR(ISNUMBER(SEARCH("unable to locate acct",G1435)),ISNUMBER(SEARCH("unknown",G1435)),ISNUMBER(SEARCH("inactive",G1435)),H1435=""),0,1)</f>
        <v>1</v>
      </c>
    </row>
    <row r="1436" spans="1:22" hidden="1">
      <c r="A1436" s="2">
        <v>46010</v>
      </c>
      <c r="B1436" s="1" t="s">
        <v>3026</v>
      </c>
      <c r="C1436" s="1" t="s">
        <v>3574</v>
      </c>
      <c r="D1436" s="1" t="s">
        <v>2201</v>
      </c>
      <c r="E1436" s="1">
        <v>85087</v>
      </c>
      <c r="F1436" s="1" t="s">
        <v>3329</v>
      </c>
      <c r="G1436" s="39" t="s">
        <v>3566</v>
      </c>
      <c r="H1436" s="4" t="s">
        <v>3575</v>
      </c>
      <c r="I1436" s="5" t="s">
        <v>3538</v>
      </c>
      <c r="J1436" s="5" t="s">
        <v>31</v>
      </c>
      <c r="K1436" s="5" t="s">
        <v>31</v>
      </c>
      <c r="L1436" s="5" t="s">
        <v>32</v>
      </c>
      <c r="M1436" s="5" t="s">
        <v>31</v>
      </c>
      <c r="N1436" s="5" t="s">
        <v>31</v>
      </c>
      <c r="O1436" s="5" t="s">
        <v>32</v>
      </c>
      <c r="P1436" s="5" t="s">
        <v>33</v>
      </c>
      <c r="Q1436" s="2">
        <v>46015</v>
      </c>
      <c r="V1436" s="1">
        <f>IF(OR(ISNUMBER(SEARCH("unable to locate acct",G1436)),ISNUMBER(SEARCH("unknown",G1436)),ISNUMBER(SEARCH("inactive",G1436)),H1436=""),0,1)</f>
        <v>1</v>
      </c>
    </row>
    <row r="1437" spans="1:22" hidden="1">
      <c r="A1437" s="41">
        <v>46010</v>
      </c>
      <c r="B1437" s="32" t="s">
        <v>1214</v>
      </c>
      <c r="C1437" s="32" t="s">
        <v>3197</v>
      </c>
      <c r="D1437" s="32" t="s">
        <v>168</v>
      </c>
      <c r="E1437" s="32">
        <v>85326</v>
      </c>
      <c r="F1437" s="32" t="s">
        <v>3329</v>
      </c>
      <c r="G1437" s="43" t="s">
        <v>3566</v>
      </c>
      <c r="H1437" s="44" t="s">
        <v>3576</v>
      </c>
      <c r="I1437" s="42" t="s">
        <v>190</v>
      </c>
      <c r="J1437" s="42" t="s">
        <v>31</v>
      </c>
      <c r="K1437" s="42" t="s">
        <v>31</v>
      </c>
      <c r="L1437" s="42" t="s">
        <v>3577</v>
      </c>
      <c r="M1437" s="42" t="s">
        <v>31</v>
      </c>
      <c r="N1437" s="42" t="s">
        <v>31</v>
      </c>
      <c r="O1437" s="42" t="s">
        <v>32</v>
      </c>
      <c r="P1437" s="42"/>
      <c r="Q1437" s="41">
        <v>46015</v>
      </c>
      <c r="R1437" s="32" t="s">
        <v>3468</v>
      </c>
      <c r="S1437" s="32"/>
      <c r="T1437" s="32"/>
      <c r="U1437" s="32"/>
      <c r="V1437" s="1">
        <f>IF(OR(ISNUMBER(SEARCH("unable to locate acct",G1437)),ISNUMBER(SEARCH("unknown",G1437)),ISNUMBER(SEARCH("inactive",G1437)),H1437=""),0,1)</f>
        <v>1</v>
      </c>
    </row>
    <row r="1438" spans="1:22">
      <c r="A1438" s="74">
        <v>46014</v>
      </c>
      <c r="B1438" s="45" t="s">
        <v>3578</v>
      </c>
      <c r="C1438" s="45" t="s">
        <v>3579</v>
      </c>
      <c r="D1438" s="45" t="s">
        <v>3003</v>
      </c>
      <c r="E1438" s="45">
        <v>85718</v>
      </c>
      <c r="F1438" s="45" t="s">
        <v>3329</v>
      </c>
      <c r="G1438" s="76" t="s">
        <v>3580</v>
      </c>
      <c r="H1438" s="80" t="s">
        <v>21</v>
      </c>
      <c r="I1438" s="81"/>
      <c r="J1438" s="81"/>
      <c r="K1438" s="81"/>
      <c r="L1438" s="81"/>
      <c r="M1438" s="81"/>
      <c r="N1438" s="81"/>
      <c r="O1438" s="81"/>
      <c r="P1438" s="81"/>
      <c r="R1438" s="45"/>
      <c r="S1438" s="45"/>
      <c r="T1438" s="45"/>
      <c r="U1438" s="45"/>
      <c r="V1438" s="45">
        <f>IF(OR(ISNUMBER(SEARCH("unable to locate acct",G1438)),ISNUMBER(SEARCH("unknown",G1438)),ISNUMBER(SEARCH("inactive",G1438)),H1438=""),0,1)</f>
        <v>1</v>
      </c>
    </row>
    <row r="1439" spans="1:22">
      <c r="A1439" s="74">
        <v>46014</v>
      </c>
      <c r="B1439" s="45" t="s">
        <v>3558</v>
      </c>
      <c r="C1439" s="45" t="s">
        <v>1389</v>
      </c>
      <c r="D1439" s="45" t="s">
        <v>57</v>
      </c>
      <c r="E1439" s="45">
        <v>85022</v>
      </c>
      <c r="F1439" s="45" t="s">
        <v>3329</v>
      </c>
      <c r="G1439" s="76" t="s">
        <v>3580</v>
      </c>
      <c r="H1439" s="80" t="s">
        <v>3561</v>
      </c>
      <c r="I1439" s="81" t="s">
        <v>190</v>
      </c>
      <c r="J1439" s="81" t="s">
        <v>31</v>
      </c>
      <c r="K1439" s="81" t="s">
        <v>31</v>
      </c>
      <c r="L1439" s="81" t="s">
        <v>3562</v>
      </c>
      <c r="M1439" s="81" t="s">
        <v>31</v>
      </c>
      <c r="N1439" s="81" t="s">
        <v>31</v>
      </c>
      <c r="O1439" s="81" t="s">
        <v>32</v>
      </c>
      <c r="P1439" s="81"/>
      <c r="Q1439" s="5">
        <v>46017</v>
      </c>
      <c r="R1439" s="45"/>
      <c r="S1439" s="45"/>
      <c r="T1439" s="45"/>
      <c r="U1439" s="45"/>
      <c r="V1439" s="45">
        <f>IF(OR(ISNUMBER(SEARCH("unable to locate acct",G1439)),ISNUMBER(SEARCH("unknown",G1439)),ISNUMBER(SEARCH("inactive",G1439)),H1439=""),0,1)</f>
        <v>1</v>
      </c>
    </row>
    <row r="1440" spans="1:22">
      <c r="A1440" s="74">
        <v>46014</v>
      </c>
      <c r="B1440" s="45" t="s">
        <v>3581</v>
      </c>
      <c r="C1440" s="45" t="s">
        <v>118</v>
      </c>
      <c r="D1440" s="45" t="s">
        <v>57</v>
      </c>
      <c r="E1440" s="45">
        <v>85032</v>
      </c>
      <c r="F1440" s="45" t="s">
        <v>3329</v>
      </c>
      <c r="G1440" s="76" t="s">
        <v>3580</v>
      </c>
      <c r="H1440" s="80" t="s">
        <v>21</v>
      </c>
      <c r="I1440" s="81"/>
      <c r="J1440" s="81"/>
      <c r="K1440" s="81"/>
      <c r="L1440" s="81"/>
      <c r="M1440" s="81"/>
      <c r="N1440" s="81"/>
      <c r="O1440" s="81"/>
      <c r="P1440" s="81"/>
      <c r="R1440" s="45"/>
      <c r="S1440" s="45"/>
      <c r="T1440" s="45"/>
      <c r="U1440" s="45"/>
      <c r="V1440" s="45">
        <f>IF(OR(ISNUMBER(SEARCH("unable to locate acct",G1440)),ISNUMBER(SEARCH("unknown",G1440)),ISNUMBER(SEARCH("inactive",G1440)),H1440=""),0,1)</f>
        <v>1</v>
      </c>
    </row>
    <row r="1441" spans="1:22">
      <c r="A1441" s="74">
        <v>46014</v>
      </c>
      <c r="B1441" s="45" t="s">
        <v>3582</v>
      </c>
      <c r="C1441" s="45" t="s">
        <v>2204</v>
      </c>
      <c r="D1441" s="45" t="s">
        <v>514</v>
      </c>
      <c r="E1441" s="45">
        <v>85323</v>
      </c>
      <c r="F1441" s="45" t="s">
        <v>3329</v>
      </c>
      <c r="G1441" s="76" t="s">
        <v>3580</v>
      </c>
      <c r="H1441" s="80" t="s">
        <v>21</v>
      </c>
      <c r="I1441" s="81"/>
      <c r="J1441" s="81"/>
      <c r="K1441" s="81"/>
      <c r="L1441" s="81"/>
      <c r="M1441" s="81"/>
      <c r="N1441" s="81"/>
      <c r="O1441" s="81"/>
      <c r="P1441" s="81"/>
      <c r="R1441" s="45"/>
      <c r="S1441" s="45"/>
      <c r="T1441" s="45"/>
      <c r="U1441" s="45"/>
      <c r="V1441" s="45">
        <f>IF(OR(ISNUMBER(SEARCH("unable to locate acct",G1441)),ISNUMBER(SEARCH("unknown",G1441)),ISNUMBER(SEARCH("inactive",G1441)),H1441=""),0,1)</f>
        <v>1</v>
      </c>
    </row>
    <row r="1442" spans="1:22">
      <c r="A1442" s="74">
        <v>46014</v>
      </c>
      <c r="B1442" s="45" t="s">
        <v>3583</v>
      </c>
      <c r="C1442" s="45" t="s">
        <v>3584</v>
      </c>
      <c r="D1442" s="45" t="s">
        <v>87</v>
      </c>
      <c r="E1442" s="45">
        <v>85373</v>
      </c>
      <c r="F1442" s="45" t="s">
        <v>3329</v>
      </c>
      <c r="G1442" s="76" t="s">
        <v>3580</v>
      </c>
      <c r="H1442" s="80" t="s">
        <v>21</v>
      </c>
      <c r="I1442" s="81"/>
      <c r="J1442" s="81"/>
      <c r="K1442" s="81"/>
      <c r="L1442" s="81"/>
      <c r="M1442" s="81"/>
      <c r="N1442" s="81"/>
      <c r="O1442" s="81"/>
      <c r="P1442" s="81"/>
      <c r="R1442" s="45"/>
      <c r="S1442" s="45"/>
      <c r="T1442" s="45"/>
      <c r="U1442" s="45"/>
      <c r="V1442" s="45">
        <f>IF(OR(ISNUMBER(SEARCH("unable to locate acct",G1442)),ISNUMBER(SEARCH("unknown",G1442)),ISNUMBER(SEARCH("inactive",G1442)),H1442=""),0,1)</f>
        <v>1</v>
      </c>
    </row>
    <row r="1443" spans="1:22">
      <c r="A1443" s="74">
        <v>46015</v>
      </c>
      <c r="B1443" s="45" t="s">
        <v>3229</v>
      </c>
      <c r="C1443" s="45" t="s">
        <v>1827</v>
      </c>
      <c r="D1443" s="45"/>
      <c r="E1443" s="45"/>
      <c r="F1443" s="45" t="s">
        <v>3329</v>
      </c>
      <c r="G1443" s="76" t="s">
        <v>3585</v>
      </c>
      <c r="H1443" s="80" t="s">
        <v>21</v>
      </c>
      <c r="I1443" s="81"/>
      <c r="J1443" s="81"/>
      <c r="K1443" s="81"/>
      <c r="L1443" s="81"/>
      <c r="M1443" s="81"/>
      <c r="N1443" s="81"/>
      <c r="O1443" s="81"/>
      <c r="P1443" s="81"/>
      <c r="R1443" s="45"/>
      <c r="S1443" s="45"/>
      <c r="T1443" s="45"/>
      <c r="U1443" s="45"/>
      <c r="V1443" s="45">
        <f>IF(OR(ISNUMBER(SEARCH("unable to locate acct",G1443)),ISNUMBER(SEARCH("unknown",G1443)),ISNUMBER(SEARCH("inactive",G1443)),H1443=""),0,1)</f>
        <v>1</v>
      </c>
    </row>
    <row r="1444" spans="1:22">
      <c r="A1444" s="74">
        <v>46015</v>
      </c>
      <c r="B1444" s="45" t="s">
        <v>3586</v>
      </c>
      <c r="C1444" s="45" t="s">
        <v>2634</v>
      </c>
      <c r="D1444" s="45" t="s">
        <v>57</v>
      </c>
      <c r="E1444" s="45">
        <v>85029</v>
      </c>
      <c r="F1444" s="45" t="s">
        <v>3587</v>
      </c>
      <c r="G1444" s="76" t="s">
        <v>3585</v>
      </c>
      <c r="H1444" s="80" t="s">
        <v>3588</v>
      </c>
      <c r="I1444" s="81" t="s">
        <v>30</v>
      </c>
      <c r="J1444" s="81" t="s">
        <v>31</v>
      </c>
      <c r="K1444" s="81" t="s">
        <v>31</v>
      </c>
      <c r="L1444" s="81" t="s">
        <v>32</v>
      </c>
      <c r="M1444" s="81" t="s">
        <v>31</v>
      </c>
      <c r="N1444" s="81" t="s">
        <v>31</v>
      </c>
      <c r="O1444" s="81" t="s">
        <v>32</v>
      </c>
      <c r="P1444" s="81" t="s">
        <v>33</v>
      </c>
      <c r="Q1444" s="5">
        <v>46017</v>
      </c>
      <c r="R1444" s="45"/>
      <c r="S1444" s="45"/>
      <c r="T1444" s="45"/>
      <c r="U1444" s="45"/>
      <c r="V1444" s="45">
        <f>IF(OR(ISNUMBER(SEARCH("unable to locate acct",G1444)),ISNUMBER(SEARCH("unknown",G1444)),ISNUMBER(SEARCH("inactive",G1444)),H1444=""),0,1)</f>
        <v>1</v>
      </c>
    </row>
    <row r="1445" spans="1:22">
      <c r="A1445" s="74">
        <v>46017</v>
      </c>
      <c r="B1445" s="45" t="s">
        <v>3589</v>
      </c>
      <c r="C1445" s="45" t="s">
        <v>3590</v>
      </c>
      <c r="D1445" s="45" t="s">
        <v>57</v>
      </c>
      <c r="E1445" s="45">
        <v>85006</v>
      </c>
      <c r="F1445" s="45" t="s">
        <v>3329</v>
      </c>
      <c r="G1445" s="76" t="s">
        <v>3591</v>
      </c>
      <c r="H1445" s="80" t="s">
        <v>3592</v>
      </c>
      <c r="I1445" s="81" t="s">
        <v>120</v>
      </c>
      <c r="J1445" s="81" t="s">
        <v>31</v>
      </c>
      <c r="K1445" s="81" t="s">
        <v>31</v>
      </c>
      <c r="L1445" s="81" t="s">
        <v>32</v>
      </c>
      <c r="M1445" s="81" t="s">
        <v>31</v>
      </c>
      <c r="N1445" s="81" t="s">
        <v>31</v>
      </c>
      <c r="O1445" s="81" t="s">
        <v>32</v>
      </c>
      <c r="P1445" s="81" t="s">
        <v>33</v>
      </c>
      <c r="Q1445" s="5">
        <v>46020</v>
      </c>
      <c r="R1445" s="45"/>
      <c r="S1445" s="45"/>
      <c r="T1445" s="45"/>
      <c r="U1445" s="45"/>
      <c r="V1445" s="45">
        <f>IF(OR(ISNUMBER(SEARCH("unable to locate acct",G1445)),ISNUMBER(SEARCH("unknown",G1445)),ISNUMBER(SEARCH("inactive",G1445)),H1445=""),0,1)</f>
        <v>1</v>
      </c>
    </row>
    <row r="1446" spans="1:22">
      <c r="A1446" s="74">
        <v>46017</v>
      </c>
      <c r="B1446" s="45" t="s">
        <v>3593</v>
      </c>
      <c r="C1446" s="45" t="s">
        <v>69</v>
      </c>
      <c r="D1446" s="45" t="s">
        <v>196</v>
      </c>
      <c r="E1446" s="45">
        <v>85345</v>
      </c>
      <c r="F1446" s="45" t="s">
        <v>3329</v>
      </c>
      <c r="G1446" s="76" t="s">
        <v>3591</v>
      </c>
      <c r="H1446" s="80" t="s">
        <v>3594</v>
      </c>
      <c r="I1446" s="81" t="s">
        <v>30</v>
      </c>
      <c r="J1446" s="81" t="s">
        <v>31</v>
      </c>
      <c r="K1446" s="81" t="s">
        <v>31</v>
      </c>
      <c r="L1446" s="81" t="s">
        <v>32</v>
      </c>
      <c r="M1446" s="81" t="s">
        <v>31</v>
      </c>
      <c r="N1446" s="81" t="s">
        <v>31</v>
      </c>
      <c r="O1446" s="81" t="s">
        <v>32</v>
      </c>
      <c r="P1446" s="81" t="s">
        <v>33</v>
      </c>
      <c r="Q1446" s="5">
        <v>46020</v>
      </c>
      <c r="R1446" s="45"/>
      <c r="S1446" s="45"/>
      <c r="T1446" s="45"/>
      <c r="U1446" s="45"/>
      <c r="V1446" s="45">
        <f>IF(OR(ISNUMBER(SEARCH("unable to locate acct",G1446)),ISNUMBER(SEARCH("unknown",G1446)),ISNUMBER(SEARCH("inactive",G1446)),H1446=""),0,1)</f>
        <v>1</v>
      </c>
    </row>
    <row r="1447" spans="1:22">
      <c r="A1447" s="74">
        <v>46017</v>
      </c>
      <c r="B1447" s="45" t="s">
        <v>3595</v>
      </c>
      <c r="C1447" s="45" t="s">
        <v>219</v>
      </c>
      <c r="D1447" s="45" t="s">
        <v>57</v>
      </c>
      <c r="E1447" s="45">
        <v>85022</v>
      </c>
      <c r="F1447" s="45" t="s">
        <v>3329</v>
      </c>
      <c r="G1447" s="76" t="s">
        <v>3591</v>
      </c>
      <c r="H1447" s="80" t="s">
        <v>3596</v>
      </c>
      <c r="I1447" s="81" t="s">
        <v>3538</v>
      </c>
      <c r="J1447" s="81" t="s">
        <v>31</v>
      </c>
      <c r="K1447" s="81" t="s">
        <v>31</v>
      </c>
      <c r="L1447" s="81" t="s">
        <v>32</v>
      </c>
      <c r="M1447" s="81" t="s">
        <v>31</v>
      </c>
      <c r="N1447" s="81" t="s">
        <v>31</v>
      </c>
      <c r="O1447" s="81" t="s">
        <v>32</v>
      </c>
      <c r="P1447" s="81" t="s">
        <v>33</v>
      </c>
      <c r="Q1447" s="5">
        <v>46020</v>
      </c>
      <c r="R1447" s="45"/>
      <c r="S1447" s="45"/>
      <c r="T1447" s="45"/>
      <c r="U1447" s="45"/>
      <c r="V1447" s="45">
        <f>IF(OR(ISNUMBER(SEARCH("unable to locate acct",G1447)),ISNUMBER(SEARCH("unknown",G1447)),ISNUMBER(SEARCH("inactive",G1447)),H1447=""),0,1)</f>
        <v>1</v>
      </c>
    </row>
    <row r="1448" spans="1:22">
      <c r="A1448" s="74">
        <v>46021</v>
      </c>
      <c r="B1448" s="45" t="s">
        <v>3597</v>
      </c>
      <c r="C1448" s="45" t="s">
        <v>1924</v>
      </c>
      <c r="D1448" s="45" t="s">
        <v>24</v>
      </c>
      <c r="E1448" s="45" t="s">
        <v>24</v>
      </c>
      <c r="F1448" s="45" t="s">
        <v>3598</v>
      </c>
      <c r="G1448" s="76" t="s">
        <v>3599</v>
      </c>
      <c r="H1448" s="80" t="s">
        <v>21</v>
      </c>
      <c r="I1448" s="81"/>
      <c r="J1448" s="81"/>
      <c r="K1448" s="81"/>
      <c r="L1448" s="81"/>
      <c r="M1448" s="81"/>
      <c r="N1448" s="81"/>
      <c r="O1448" s="81"/>
      <c r="P1448" s="81"/>
      <c r="Q1448" s="2"/>
      <c r="R1448" s="45"/>
      <c r="S1448" s="45"/>
      <c r="T1448" s="45"/>
      <c r="U1448" s="45"/>
      <c r="V1448" s="45">
        <f>IF(OR(ISNUMBER(SEARCH("unable to locate acct",G1448)),ISNUMBER(SEARCH("unknown",G1448)),ISNUMBER(SEARCH("inactive",G1448)),H1448=""),0,1)</f>
        <v>1</v>
      </c>
    </row>
    <row r="1449" spans="1:22">
      <c r="A1449" s="74">
        <v>46021</v>
      </c>
      <c r="B1449" s="45" t="s">
        <v>3140</v>
      </c>
      <c r="C1449" s="45" t="s">
        <v>3600</v>
      </c>
      <c r="D1449" s="45" t="s">
        <v>196</v>
      </c>
      <c r="E1449" s="45">
        <v>85345</v>
      </c>
      <c r="F1449" s="45" t="s">
        <v>3601</v>
      </c>
      <c r="G1449" s="77" t="s">
        <v>3602</v>
      </c>
      <c r="H1449" s="80" t="s">
        <v>3690</v>
      </c>
      <c r="I1449" s="81" t="s">
        <v>30</v>
      </c>
      <c r="J1449" s="81" t="s">
        <v>31</v>
      </c>
      <c r="K1449" s="81" t="s">
        <v>31</v>
      </c>
      <c r="L1449" s="81" t="s">
        <v>32</v>
      </c>
      <c r="M1449" s="81" t="s">
        <v>31</v>
      </c>
      <c r="N1449" s="81" t="s">
        <v>31</v>
      </c>
      <c r="O1449" s="81" t="s">
        <v>32</v>
      </c>
      <c r="P1449" s="81" t="s">
        <v>33</v>
      </c>
      <c r="Q1449" s="2">
        <v>46022</v>
      </c>
      <c r="R1449" s="45"/>
      <c r="S1449" s="45"/>
      <c r="T1449" s="45"/>
      <c r="U1449" s="45"/>
      <c r="V1449" s="45">
        <f>IF(OR(ISNUMBER(SEARCH("unable to locate acct",G1449)),ISNUMBER(SEARCH("unknown",G1449)),ISNUMBER(SEARCH("inactive",G1449)),H1449=""),0,1)</f>
        <v>1</v>
      </c>
    </row>
    <row r="1450" spans="1:22">
      <c r="A1450" s="74">
        <v>46021</v>
      </c>
      <c r="B1450" s="45" t="s">
        <v>3603</v>
      </c>
      <c r="C1450" s="45" t="s">
        <v>1174</v>
      </c>
      <c r="D1450" s="45" t="s">
        <v>119</v>
      </c>
      <c r="E1450" s="45">
        <v>85254</v>
      </c>
      <c r="F1450" s="45" t="s">
        <v>3329</v>
      </c>
      <c r="G1450" s="78" t="s">
        <v>3602</v>
      </c>
      <c r="H1450" s="80" t="s">
        <v>5364</v>
      </c>
      <c r="I1450" s="81" t="s">
        <v>67</v>
      </c>
      <c r="J1450" s="81" t="s">
        <v>31</v>
      </c>
      <c r="K1450" s="81" t="s">
        <v>31</v>
      </c>
      <c r="L1450" s="81" t="s">
        <v>32</v>
      </c>
      <c r="M1450" s="81" t="s">
        <v>31</v>
      </c>
      <c r="N1450" s="81" t="s">
        <v>31</v>
      </c>
      <c r="O1450" s="81" t="s">
        <v>32</v>
      </c>
      <c r="P1450" s="81" t="s">
        <v>33</v>
      </c>
      <c r="Q1450" s="2">
        <v>46022</v>
      </c>
      <c r="R1450" s="45"/>
      <c r="S1450" s="45"/>
      <c r="T1450" s="45"/>
      <c r="U1450" s="45"/>
      <c r="V1450" s="45">
        <f>IF(OR(ISNUMBER(SEARCH("unable to locate acct",G1450)),ISNUMBER(SEARCH("unknown",G1450)),ISNUMBER(SEARCH("inactive",G1450)),H1450=""),0,1)</f>
        <v>1</v>
      </c>
    </row>
    <row r="1451" spans="1:22">
      <c r="A1451" s="74">
        <v>46021</v>
      </c>
      <c r="B1451" s="45" t="s">
        <v>3604</v>
      </c>
      <c r="C1451" s="45" t="s">
        <v>3605</v>
      </c>
      <c r="D1451" s="45" t="s">
        <v>57</v>
      </c>
      <c r="E1451" s="45">
        <v>85029</v>
      </c>
      <c r="F1451" s="45" t="s">
        <v>3329</v>
      </c>
      <c r="G1451" s="78" t="s">
        <v>3602</v>
      </c>
      <c r="H1451" s="80" t="s">
        <v>3606</v>
      </c>
      <c r="I1451" s="81" t="s">
        <v>30</v>
      </c>
      <c r="J1451" s="81" t="s">
        <v>31</v>
      </c>
      <c r="K1451" s="81" t="s">
        <v>31</v>
      </c>
      <c r="L1451" s="81" t="s">
        <v>32</v>
      </c>
      <c r="M1451" s="81" t="s">
        <v>31</v>
      </c>
      <c r="N1451" s="81" t="s">
        <v>31</v>
      </c>
      <c r="O1451" s="81" t="s">
        <v>32</v>
      </c>
      <c r="P1451" s="81" t="s">
        <v>33</v>
      </c>
      <c r="Q1451" s="2">
        <v>46022</v>
      </c>
      <c r="R1451" s="45"/>
      <c r="S1451" s="45"/>
      <c r="T1451" s="45"/>
      <c r="U1451" s="45"/>
      <c r="V1451" s="45">
        <f>IF(OR(ISNUMBER(SEARCH("unable to locate acct",G1451)),ISNUMBER(SEARCH("unknown",G1451)),ISNUMBER(SEARCH("inactive",G1451)),H1451=""),0,1)</f>
        <v>1</v>
      </c>
    </row>
    <row r="1452" spans="1:22">
      <c r="A1452" s="74">
        <v>46021</v>
      </c>
      <c r="B1452" s="45" t="s">
        <v>3607</v>
      </c>
      <c r="C1452" s="45" t="s">
        <v>3608</v>
      </c>
      <c r="D1452" s="45" t="s">
        <v>24</v>
      </c>
      <c r="E1452" s="45" t="s">
        <v>24</v>
      </c>
      <c r="F1452" s="45" t="s">
        <v>3329</v>
      </c>
      <c r="G1452" s="78" t="s">
        <v>3602</v>
      </c>
      <c r="H1452" s="80" t="s">
        <v>21</v>
      </c>
      <c r="I1452" s="81"/>
      <c r="J1452" s="81"/>
      <c r="K1452" s="81"/>
      <c r="L1452" s="81"/>
      <c r="M1452" s="81"/>
      <c r="N1452" s="81"/>
      <c r="O1452" s="81"/>
      <c r="P1452" s="81"/>
      <c r="R1452" s="45"/>
      <c r="S1452" s="45"/>
      <c r="T1452" s="45"/>
      <c r="U1452" s="45"/>
      <c r="V1452" s="45">
        <f>IF(OR(ISNUMBER(SEARCH("unable to locate acct",G1452)),ISNUMBER(SEARCH("unknown",G1452)),ISNUMBER(SEARCH("inactive",G1452)),H1452=""),0,1)</f>
        <v>1</v>
      </c>
    </row>
    <row r="1453" spans="1:22">
      <c r="A1453" s="74">
        <v>46021</v>
      </c>
      <c r="B1453" s="45" t="s">
        <v>3609</v>
      </c>
      <c r="C1453" s="45" t="s">
        <v>1200</v>
      </c>
      <c r="D1453" s="45" t="s">
        <v>24</v>
      </c>
      <c r="E1453" s="45" t="s">
        <v>24</v>
      </c>
      <c r="F1453" s="45" t="s">
        <v>3329</v>
      </c>
      <c r="G1453" s="78" t="s">
        <v>3602</v>
      </c>
      <c r="H1453" s="80" t="s">
        <v>21</v>
      </c>
      <c r="I1453" s="81"/>
      <c r="J1453" s="81"/>
      <c r="K1453" s="81"/>
      <c r="L1453" s="81"/>
      <c r="M1453" s="81"/>
      <c r="N1453" s="81"/>
      <c r="O1453" s="81"/>
      <c r="P1453" s="81"/>
      <c r="R1453" s="45"/>
      <c r="S1453" s="45"/>
      <c r="T1453" s="45"/>
      <c r="U1453" s="45"/>
      <c r="V1453" s="45">
        <f>IF(OR(ISNUMBER(SEARCH("unable to locate acct",G1453)),ISNUMBER(SEARCH("unknown",G1453)),ISNUMBER(SEARCH("inactive",G1453)),H1453=""),0,1)</f>
        <v>1</v>
      </c>
    </row>
    <row r="1454" spans="1:22">
      <c r="A1454" s="74">
        <v>46021</v>
      </c>
      <c r="B1454" s="45" t="s">
        <v>3610</v>
      </c>
      <c r="C1454" s="45" t="s">
        <v>816</v>
      </c>
      <c r="D1454" s="45" t="s">
        <v>24</v>
      </c>
      <c r="E1454" s="45" t="s">
        <v>24</v>
      </c>
      <c r="F1454" s="45" t="s">
        <v>3329</v>
      </c>
      <c r="G1454" s="78" t="s">
        <v>3602</v>
      </c>
      <c r="H1454" s="80" t="s">
        <v>21</v>
      </c>
      <c r="I1454" s="81"/>
      <c r="J1454" s="81"/>
      <c r="K1454" s="81"/>
      <c r="L1454" s="81"/>
      <c r="M1454" s="81"/>
      <c r="N1454" s="81"/>
      <c r="O1454" s="81"/>
      <c r="P1454" s="81"/>
      <c r="R1454" s="45"/>
      <c r="S1454" s="45"/>
      <c r="T1454" s="45"/>
      <c r="U1454" s="45"/>
      <c r="V1454" s="45">
        <f>IF(OR(ISNUMBER(SEARCH("unable to locate acct",G1454)),ISNUMBER(SEARCH("unknown",G1454)),ISNUMBER(SEARCH("inactive",G1454)),H1454=""),0,1)</f>
        <v>1</v>
      </c>
    </row>
    <row r="1455" spans="1:22">
      <c r="A1455" s="74">
        <v>46021</v>
      </c>
      <c r="B1455" s="45" t="s">
        <v>3611</v>
      </c>
      <c r="C1455" s="45" t="s">
        <v>3612</v>
      </c>
      <c r="D1455" s="45" t="s">
        <v>24</v>
      </c>
      <c r="E1455" s="45" t="s">
        <v>24</v>
      </c>
      <c r="F1455" s="45" t="s">
        <v>3329</v>
      </c>
      <c r="G1455" s="78" t="s">
        <v>3602</v>
      </c>
      <c r="H1455" s="80" t="s">
        <v>21</v>
      </c>
      <c r="I1455" s="81"/>
      <c r="J1455" s="81"/>
      <c r="K1455" s="81"/>
      <c r="L1455" s="81"/>
      <c r="M1455" s="81"/>
      <c r="N1455" s="81"/>
      <c r="O1455" s="81"/>
      <c r="P1455" s="81"/>
      <c r="R1455" s="45"/>
      <c r="S1455" s="45"/>
      <c r="T1455" s="45"/>
      <c r="U1455" s="45"/>
      <c r="V1455" s="45">
        <f>IF(OR(ISNUMBER(SEARCH("unable to locate acct",G1455)),ISNUMBER(SEARCH("unknown",G1455)),ISNUMBER(SEARCH("inactive",G1455)),H1455=""),0,1)</f>
        <v>1</v>
      </c>
    </row>
    <row r="1456" spans="1:22">
      <c r="A1456" s="74">
        <v>46021</v>
      </c>
      <c r="B1456" s="45" t="s">
        <v>3593</v>
      </c>
      <c r="C1456" s="45" t="s">
        <v>69</v>
      </c>
      <c r="D1456" s="45" t="s">
        <v>24</v>
      </c>
      <c r="E1456" s="45" t="s">
        <v>24</v>
      </c>
      <c r="F1456" s="45" t="s">
        <v>3329</v>
      </c>
      <c r="G1456" s="78" t="s">
        <v>3602</v>
      </c>
      <c r="H1456" s="80" t="s">
        <v>21</v>
      </c>
      <c r="I1456" s="81"/>
      <c r="J1456" s="81"/>
      <c r="K1456" s="81"/>
      <c r="L1456" s="81"/>
      <c r="M1456" s="81"/>
      <c r="N1456" s="81"/>
      <c r="O1456" s="81"/>
      <c r="P1456" s="81"/>
      <c r="R1456" s="45"/>
      <c r="S1456" s="45"/>
      <c r="T1456" s="45"/>
      <c r="U1456" s="45"/>
      <c r="V1456" s="45">
        <f>IF(OR(ISNUMBER(SEARCH("unable to locate acct",G1456)),ISNUMBER(SEARCH("unknown",G1456)),ISNUMBER(SEARCH("inactive",G1456)),H1456=""),0,1)</f>
        <v>1</v>
      </c>
    </row>
    <row r="1457" spans="1:23">
      <c r="A1457" s="74">
        <v>46021</v>
      </c>
      <c r="B1457" s="45" t="s">
        <v>3229</v>
      </c>
      <c r="C1457" s="45" t="s">
        <v>1827</v>
      </c>
      <c r="D1457" s="45" t="s">
        <v>24</v>
      </c>
      <c r="E1457" s="45" t="s">
        <v>24</v>
      </c>
      <c r="F1457" s="45" t="s">
        <v>3329</v>
      </c>
      <c r="G1457" s="78" t="s">
        <v>3602</v>
      </c>
      <c r="H1457" s="80" t="s">
        <v>21</v>
      </c>
      <c r="I1457" s="81"/>
      <c r="J1457" s="81"/>
      <c r="K1457" s="81"/>
      <c r="L1457" s="81"/>
      <c r="M1457" s="81"/>
      <c r="N1457" s="81"/>
      <c r="O1457" s="81"/>
      <c r="P1457" s="81"/>
      <c r="R1457" s="45"/>
      <c r="S1457" s="45"/>
      <c r="T1457" s="45"/>
      <c r="U1457" s="45"/>
      <c r="V1457" s="45">
        <f>IF(OR(ISNUMBER(SEARCH("unable to locate acct",G1457)),ISNUMBER(SEARCH("unknown",G1457)),ISNUMBER(SEARCH("inactive",G1457)),H1457=""),0,1)</f>
        <v>1</v>
      </c>
    </row>
    <row r="1458" spans="1:23">
      <c r="A1458" s="74">
        <v>46021</v>
      </c>
      <c r="B1458" s="45" t="s">
        <v>3613</v>
      </c>
      <c r="C1458" s="45" t="s">
        <v>1392</v>
      </c>
      <c r="D1458" s="45" t="s">
        <v>24</v>
      </c>
      <c r="E1458" s="45" t="s">
        <v>24</v>
      </c>
      <c r="F1458" s="45" t="s">
        <v>3329</v>
      </c>
      <c r="G1458" s="78" t="s">
        <v>3602</v>
      </c>
      <c r="H1458" s="80" t="s">
        <v>21</v>
      </c>
      <c r="I1458" s="81"/>
      <c r="J1458" s="81"/>
      <c r="K1458" s="81"/>
      <c r="L1458" s="81"/>
      <c r="M1458" s="81"/>
      <c r="N1458" s="81"/>
      <c r="O1458" s="81"/>
      <c r="P1458" s="81"/>
      <c r="R1458" s="45"/>
      <c r="S1458" s="45"/>
      <c r="T1458" s="45"/>
      <c r="U1458" s="45"/>
      <c r="V1458" s="45">
        <f>IF(OR(ISNUMBER(SEARCH("unable to locate acct",G1458)),ISNUMBER(SEARCH("unknown",G1458)),ISNUMBER(SEARCH("inactive",G1458)),H1458=""),0,1)</f>
        <v>1</v>
      </c>
    </row>
    <row r="1459" spans="1:23">
      <c r="A1459" s="74">
        <v>46021</v>
      </c>
      <c r="B1459" s="45" t="s">
        <v>3578</v>
      </c>
      <c r="C1459" s="45" t="s">
        <v>3579</v>
      </c>
      <c r="D1459" s="45" t="s">
        <v>24</v>
      </c>
      <c r="E1459" s="45" t="s">
        <v>24</v>
      </c>
      <c r="F1459" s="45" t="s">
        <v>3329</v>
      </c>
      <c r="G1459" s="78" t="s">
        <v>3602</v>
      </c>
      <c r="H1459" s="80" t="s">
        <v>21</v>
      </c>
      <c r="I1459" s="81"/>
      <c r="J1459" s="81"/>
      <c r="K1459" s="81"/>
      <c r="L1459" s="81"/>
      <c r="M1459" s="81"/>
      <c r="N1459" s="81"/>
      <c r="O1459" s="81"/>
      <c r="P1459" s="81"/>
      <c r="R1459" s="45"/>
      <c r="S1459" s="45"/>
      <c r="T1459" s="45"/>
      <c r="U1459" s="45"/>
      <c r="V1459" s="45">
        <f>IF(OR(ISNUMBER(SEARCH("unable to locate acct",G1459)),ISNUMBER(SEARCH("unknown",G1459)),ISNUMBER(SEARCH("inactive",G1459)),H1459=""),0,1)</f>
        <v>1</v>
      </c>
    </row>
    <row r="1460" spans="1:23">
      <c r="A1460" s="74">
        <v>46024</v>
      </c>
      <c r="B1460" s="45" t="s">
        <v>3614</v>
      </c>
      <c r="C1460" s="45" t="s">
        <v>3615</v>
      </c>
      <c r="D1460" s="45" t="s">
        <v>57</v>
      </c>
      <c r="E1460" s="45">
        <v>85027</v>
      </c>
      <c r="F1460" s="45" t="s">
        <v>3329</v>
      </c>
      <c r="G1460" s="79" t="s">
        <v>3616</v>
      </c>
      <c r="H1460" s="80" t="s">
        <v>3617</v>
      </c>
      <c r="I1460" s="81" t="s">
        <v>75</v>
      </c>
      <c r="J1460" s="81" t="s">
        <v>31</v>
      </c>
      <c r="K1460" s="81" t="s">
        <v>31</v>
      </c>
      <c r="L1460" s="81" t="s">
        <v>3543</v>
      </c>
      <c r="M1460" s="81" t="s">
        <v>31</v>
      </c>
      <c r="N1460" s="81" t="s">
        <v>31</v>
      </c>
      <c r="O1460" s="81" t="s">
        <v>32</v>
      </c>
      <c r="P1460" s="81" t="s">
        <v>33</v>
      </c>
      <c r="Q1460" s="2">
        <v>46027</v>
      </c>
      <c r="R1460" s="45"/>
      <c r="S1460" s="45"/>
      <c r="T1460" s="45"/>
      <c r="U1460" s="45"/>
      <c r="V1460" s="45">
        <f>IF(OR(ISNUMBER(SEARCH("unable to locate acct",G1460)),ISNUMBER(SEARCH("unknown",G1460)),ISNUMBER(SEARCH("inactive",G1460)),H1460=""),0,1)</f>
        <v>1</v>
      </c>
    </row>
    <row r="1461" spans="1:23">
      <c r="A1461" s="74">
        <v>46024</v>
      </c>
      <c r="B1461" s="45" t="s">
        <v>3618</v>
      </c>
      <c r="C1461" s="45" t="s">
        <v>2532</v>
      </c>
      <c r="D1461" s="45" t="s">
        <v>255</v>
      </c>
      <c r="E1461" s="45">
        <v>86315</v>
      </c>
      <c r="F1461" s="45" t="s">
        <v>3329</v>
      </c>
      <c r="G1461" s="79" t="s">
        <v>3616</v>
      </c>
      <c r="H1461" s="80" t="s">
        <v>3619</v>
      </c>
      <c r="I1461" s="81" t="s">
        <v>190</v>
      </c>
      <c r="J1461" s="81" t="s">
        <v>31</v>
      </c>
      <c r="K1461" s="81" t="s">
        <v>31</v>
      </c>
      <c r="L1461" s="81" t="s">
        <v>32</v>
      </c>
      <c r="M1461" s="81" t="s">
        <v>31</v>
      </c>
      <c r="N1461" s="81" t="s">
        <v>31</v>
      </c>
      <c r="O1461" s="81" t="s">
        <v>32</v>
      </c>
      <c r="P1461" s="81" t="s">
        <v>33</v>
      </c>
      <c r="Q1461" s="2">
        <v>46027</v>
      </c>
      <c r="R1461" s="45"/>
      <c r="S1461" s="45"/>
      <c r="T1461" s="45"/>
      <c r="U1461" s="45"/>
      <c r="V1461" s="45">
        <f>IF(OR(ISNUMBER(SEARCH("unable to locate acct",G1461)),ISNUMBER(SEARCH("unknown",G1461)),ISNUMBER(SEARCH("inactive",G1461)),H1461=""),0,1)</f>
        <v>1</v>
      </c>
    </row>
    <row r="1462" spans="1:23">
      <c r="A1462" s="74">
        <v>46024</v>
      </c>
      <c r="B1462" s="45" t="s">
        <v>2029</v>
      </c>
      <c r="C1462" s="45" t="s">
        <v>3620</v>
      </c>
      <c r="D1462" s="45" t="s">
        <v>530</v>
      </c>
      <c r="E1462" s="45">
        <v>85122</v>
      </c>
      <c r="F1462" s="45" t="s">
        <v>3329</v>
      </c>
      <c r="G1462" s="79" t="s">
        <v>3616</v>
      </c>
      <c r="H1462" s="80" t="s">
        <v>3621</v>
      </c>
      <c r="I1462" s="81" t="s">
        <v>30</v>
      </c>
      <c r="J1462" s="81" t="s">
        <v>31</v>
      </c>
      <c r="K1462" s="81" t="s">
        <v>31</v>
      </c>
      <c r="L1462" s="81" t="s">
        <v>32</v>
      </c>
      <c r="M1462" s="81" t="s">
        <v>32</v>
      </c>
      <c r="N1462" s="82">
        <v>832.08</v>
      </c>
      <c r="O1462" s="81" t="s">
        <v>32</v>
      </c>
      <c r="P1462" s="81"/>
      <c r="Q1462" s="41">
        <v>46027</v>
      </c>
      <c r="R1462" s="45" t="s">
        <v>3622</v>
      </c>
      <c r="S1462" s="45"/>
      <c r="T1462" s="45"/>
      <c r="U1462" s="45"/>
      <c r="V1462" s="45">
        <f>IF(OR(ISNUMBER(SEARCH("unable to locate acct",G1462)),ISNUMBER(SEARCH("unknown",G1462)),ISNUMBER(SEARCH("inactive",G1462)),H1462=""),0,1)</f>
        <v>1</v>
      </c>
      <c r="W1462" s="32"/>
    </row>
    <row r="1463" spans="1:23">
      <c r="A1463" s="74">
        <v>46024</v>
      </c>
      <c r="B1463" s="45" t="s">
        <v>3623</v>
      </c>
      <c r="C1463" s="45" t="s">
        <v>3624</v>
      </c>
      <c r="D1463" s="45" t="s">
        <v>363</v>
      </c>
      <c r="E1463" s="45">
        <v>85249</v>
      </c>
      <c r="F1463" s="45" t="s">
        <v>3329</v>
      </c>
      <c r="G1463" s="79" t="s">
        <v>3616</v>
      </c>
      <c r="H1463" s="80" t="s">
        <v>21</v>
      </c>
      <c r="I1463" s="81"/>
      <c r="J1463" s="81"/>
      <c r="K1463" s="81"/>
      <c r="L1463" s="81"/>
      <c r="M1463" s="81"/>
      <c r="N1463" s="81"/>
      <c r="O1463" s="81"/>
      <c r="P1463" s="81"/>
      <c r="R1463" s="45"/>
      <c r="S1463" s="45"/>
      <c r="T1463" s="45"/>
      <c r="U1463" s="45"/>
      <c r="V1463" s="45">
        <f>IF(OR(ISNUMBER(SEARCH("unable to locate acct",G1463)),ISNUMBER(SEARCH("unknown",G1463)),ISNUMBER(SEARCH("inactive",G1463)),H1463=""),0,1)</f>
        <v>1</v>
      </c>
    </row>
    <row r="1464" spans="1:23">
      <c r="A1464" s="74">
        <v>46024</v>
      </c>
      <c r="B1464" s="45" t="s">
        <v>3604</v>
      </c>
      <c r="C1464" s="45" t="s">
        <v>3605</v>
      </c>
      <c r="D1464" s="45" t="s">
        <v>57</v>
      </c>
      <c r="E1464" s="45">
        <v>85029</v>
      </c>
      <c r="F1464" s="45" t="s">
        <v>3329</v>
      </c>
      <c r="G1464" s="79" t="s">
        <v>3616</v>
      </c>
      <c r="H1464" s="80" t="s">
        <v>3606</v>
      </c>
      <c r="I1464" s="81" t="s">
        <v>30</v>
      </c>
      <c r="J1464" s="81" t="s">
        <v>31</v>
      </c>
      <c r="K1464" s="81" t="s">
        <v>31</v>
      </c>
      <c r="L1464" s="81" t="s">
        <v>32</v>
      </c>
      <c r="M1464" s="81" t="s">
        <v>31</v>
      </c>
      <c r="N1464" s="81" t="s">
        <v>31</v>
      </c>
      <c r="O1464" s="81" t="s">
        <v>32</v>
      </c>
      <c r="P1464" s="81" t="s">
        <v>33</v>
      </c>
      <c r="Q1464" s="2">
        <v>46022</v>
      </c>
      <c r="R1464" s="45" t="s">
        <v>3625</v>
      </c>
      <c r="S1464" s="45"/>
      <c r="T1464" s="45"/>
      <c r="U1464" s="45"/>
      <c r="V1464" s="45">
        <f>IF(OR(ISNUMBER(SEARCH("unable to locate acct",G1464)),ISNUMBER(SEARCH("unknown",G1464)),ISNUMBER(SEARCH("inactive",G1464)),H1464=""),0,1)</f>
        <v>1</v>
      </c>
    </row>
    <row r="1465" spans="1:23">
      <c r="A1465" s="74">
        <v>46024</v>
      </c>
      <c r="B1465" s="45" t="s">
        <v>3609</v>
      </c>
      <c r="C1465" s="45" t="s">
        <v>1200</v>
      </c>
      <c r="D1465" s="45" t="s">
        <v>3626</v>
      </c>
      <c r="E1465" s="45">
        <v>85028</v>
      </c>
      <c r="F1465" s="45" t="s">
        <v>3329</v>
      </c>
      <c r="G1465" s="79" t="s">
        <v>3616</v>
      </c>
      <c r="H1465" s="80" t="s">
        <v>21</v>
      </c>
      <c r="I1465" s="81"/>
      <c r="J1465" s="81"/>
      <c r="K1465" s="81"/>
      <c r="L1465" s="81"/>
      <c r="M1465" s="81"/>
      <c r="N1465" s="81"/>
      <c r="O1465" s="81"/>
      <c r="P1465" s="81"/>
      <c r="R1465" s="45" t="s">
        <v>3625</v>
      </c>
      <c r="S1465" s="45"/>
      <c r="T1465" s="45"/>
      <c r="U1465" s="45"/>
      <c r="V1465" s="45">
        <f>IF(OR(ISNUMBER(SEARCH("unable to locate acct",G1465)),ISNUMBER(SEARCH("unknown",G1465)),ISNUMBER(SEARCH("inactive",G1465)),H1465=""),0,1)</f>
        <v>1</v>
      </c>
    </row>
    <row r="1466" spans="1:23">
      <c r="A1466" s="74">
        <v>46024</v>
      </c>
      <c r="B1466" s="45" t="s">
        <v>3603</v>
      </c>
      <c r="C1466" s="45" t="s">
        <v>1174</v>
      </c>
      <c r="D1466" s="45" t="s">
        <v>119</v>
      </c>
      <c r="E1466" s="45">
        <v>85254</v>
      </c>
      <c r="F1466" s="45" t="s">
        <v>3329</v>
      </c>
      <c r="G1466" s="79" t="s">
        <v>3616</v>
      </c>
      <c r="H1466" s="80" t="s">
        <v>5364</v>
      </c>
      <c r="I1466" s="81" t="s">
        <v>67</v>
      </c>
      <c r="J1466" s="81" t="s">
        <v>31</v>
      </c>
      <c r="K1466" s="81" t="s">
        <v>31</v>
      </c>
      <c r="L1466" s="81" t="s">
        <v>32</v>
      </c>
      <c r="M1466" s="81" t="s">
        <v>31</v>
      </c>
      <c r="N1466" s="81" t="s">
        <v>31</v>
      </c>
      <c r="O1466" s="81" t="s">
        <v>32</v>
      </c>
      <c r="P1466" s="81" t="s">
        <v>33</v>
      </c>
      <c r="Q1466" s="2">
        <v>46022</v>
      </c>
      <c r="R1466" s="45" t="s">
        <v>3625</v>
      </c>
      <c r="S1466" s="45"/>
      <c r="T1466" s="45"/>
      <c r="U1466" s="45"/>
      <c r="V1466" s="45">
        <f>IF(OR(ISNUMBER(SEARCH("unable to locate acct",G1466)),ISNUMBER(SEARCH("unknown",G1466)),ISNUMBER(SEARCH("inactive",G1466)),H1466=""),0,1)</f>
        <v>1</v>
      </c>
    </row>
    <row r="1467" spans="1:23">
      <c r="A1467" s="74">
        <v>46024</v>
      </c>
      <c r="B1467" s="45" t="s">
        <v>1878</v>
      </c>
      <c r="C1467" s="45" t="s">
        <v>429</v>
      </c>
      <c r="D1467" s="45" t="s">
        <v>57</v>
      </c>
      <c r="E1467" s="45">
        <v>85023</v>
      </c>
      <c r="F1467" s="45" t="s">
        <v>3329</v>
      </c>
      <c r="G1467" s="79" t="s">
        <v>3616</v>
      </c>
      <c r="H1467" s="80" t="s">
        <v>3627</v>
      </c>
      <c r="I1467" s="81" t="s">
        <v>30</v>
      </c>
      <c r="J1467" s="81" t="s">
        <v>32</v>
      </c>
      <c r="K1467" s="81" t="s">
        <v>31</v>
      </c>
      <c r="L1467" s="81" t="s">
        <v>32</v>
      </c>
      <c r="M1467" s="81" t="s">
        <v>31</v>
      </c>
      <c r="N1467" s="81" t="s">
        <v>31</v>
      </c>
      <c r="O1467" s="81" t="s">
        <v>32</v>
      </c>
      <c r="P1467" s="81" t="s">
        <v>33</v>
      </c>
      <c r="Q1467" s="2">
        <v>46027</v>
      </c>
      <c r="R1467" s="45"/>
      <c r="S1467" s="45"/>
      <c r="T1467" s="45"/>
      <c r="U1467" s="45"/>
      <c r="V1467" s="45">
        <f>IF(OR(ISNUMBER(SEARCH("unable to locate acct",G1467)),ISNUMBER(SEARCH("unknown",G1467)),ISNUMBER(SEARCH("inactive",G1467)),H1467=""),0,1)</f>
        <v>1</v>
      </c>
    </row>
    <row r="1468" spans="1:23">
      <c r="A1468" s="74">
        <v>46024</v>
      </c>
      <c r="B1468" s="45" t="s">
        <v>3607</v>
      </c>
      <c r="C1468" s="45" t="s">
        <v>3608</v>
      </c>
      <c r="D1468" s="45" t="s">
        <v>18</v>
      </c>
      <c r="E1468" s="45">
        <v>85301</v>
      </c>
      <c r="F1468" s="45" t="s">
        <v>3329</v>
      </c>
      <c r="G1468" s="79" t="s">
        <v>3616</v>
      </c>
      <c r="H1468" s="80" t="s">
        <v>21</v>
      </c>
      <c r="I1468" s="81"/>
      <c r="J1468" s="81"/>
      <c r="K1468" s="81"/>
      <c r="L1468" s="81"/>
      <c r="M1468" s="81"/>
      <c r="N1468" s="81"/>
      <c r="O1468" s="81"/>
      <c r="P1468" s="81"/>
      <c r="R1468" s="45" t="s">
        <v>3625</v>
      </c>
      <c r="S1468" s="45"/>
      <c r="T1468" s="45"/>
      <c r="U1468" s="45"/>
      <c r="V1468" s="45">
        <f>IF(OR(ISNUMBER(SEARCH("unable to locate acct",G1468)),ISNUMBER(SEARCH("unknown",G1468)),ISNUMBER(SEARCH("inactive",G1468)),H1468=""),0,1)</f>
        <v>1</v>
      </c>
    </row>
    <row r="1469" spans="1:23">
      <c r="A1469" s="74">
        <v>46024</v>
      </c>
      <c r="B1469" s="45" t="s">
        <v>3628</v>
      </c>
      <c r="C1469" s="45" t="s">
        <v>3629</v>
      </c>
      <c r="D1469" s="45" t="s">
        <v>3626</v>
      </c>
      <c r="E1469" s="45">
        <v>85037</v>
      </c>
      <c r="F1469" s="45" t="s">
        <v>3329</v>
      </c>
      <c r="G1469" s="79" t="s">
        <v>3616</v>
      </c>
      <c r="H1469" s="80" t="s">
        <v>21</v>
      </c>
      <c r="I1469" s="81"/>
      <c r="J1469" s="81"/>
      <c r="K1469" s="81"/>
      <c r="L1469" s="81"/>
      <c r="M1469" s="81"/>
      <c r="N1469" s="81"/>
      <c r="O1469" s="81"/>
      <c r="P1469" s="81"/>
      <c r="R1469" s="45"/>
      <c r="S1469" s="45"/>
      <c r="T1469" s="45"/>
      <c r="U1469" s="45"/>
      <c r="V1469" s="45">
        <f>IF(OR(ISNUMBER(SEARCH("unable to locate acct",G1469)),ISNUMBER(SEARCH("unknown",G1469)),ISNUMBER(SEARCH("inactive",G1469)),H1469=""),0,1)</f>
        <v>1</v>
      </c>
    </row>
    <row r="1470" spans="1:23">
      <c r="A1470" s="74">
        <v>46024</v>
      </c>
      <c r="B1470" s="45" t="s">
        <v>263</v>
      </c>
      <c r="C1470" s="45" t="s">
        <v>3630</v>
      </c>
      <c r="D1470" s="45" t="s">
        <v>18</v>
      </c>
      <c r="E1470" s="45">
        <v>85301</v>
      </c>
      <c r="F1470" s="45" t="s">
        <v>3329</v>
      </c>
      <c r="G1470" s="79" t="s">
        <v>3616</v>
      </c>
      <c r="H1470" s="80" t="s">
        <v>21</v>
      </c>
      <c r="I1470" s="81"/>
      <c r="J1470" s="81"/>
      <c r="K1470" s="81"/>
      <c r="L1470" s="81"/>
      <c r="M1470" s="81"/>
      <c r="N1470" s="81"/>
      <c r="O1470" s="81"/>
      <c r="P1470" s="81"/>
      <c r="R1470" s="45"/>
      <c r="S1470" s="45"/>
      <c r="T1470" s="45"/>
      <c r="U1470" s="45"/>
      <c r="V1470" s="45">
        <f>IF(OR(ISNUMBER(SEARCH("unable to locate acct",G1470)),ISNUMBER(SEARCH("unknown",G1470)),ISNUMBER(SEARCH("inactive",G1470)),H1470=""),0,1)</f>
        <v>1</v>
      </c>
    </row>
    <row r="1471" spans="1:23">
      <c r="A1471" s="74">
        <v>46024</v>
      </c>
      <c r="B1471" s="45" t="s">
        <v>1865</v>
      </c>
      <c r="C1471" s="45" t="s">
        <v>3631</v>
      </c>
      <c r="D1471" s="45" t="s">
        <v>3632</v>
      </c>
      <c r="E1471" s="45">
        <v>85143</v>
      </c>
      <c r="F1471" s="45" t="s">
        <v>3329</v>
      </c>
      <c r="G1471" s="79" t="s">
        <v>3616</v>
      </c>
      <c r="H1471" s="80" t="s">
        <v>21</v>
      </c>
      <c r="I1471" s="81"/>
      <c r="J1471" s="81"/>
      <c r="K1471" s="81"/>
      <c r="L1471" s="81"/>
      <c r="M1471" s="81"/>
      <c r="N1471" s="81"/>
      <c r="O1471" s="81"/>
      <c r="P1471" s="81"/>
      <c r="R1471" s="45"/>
      <c r="S1471" s="45"/>
      <c r="T1471" s="45"/>
      <c r="U1471" s="45"/>
      <c r="V1471" s="45">
        <f>IF(OR(ISNUMBER(SEARCH("unable to locate acct",G1471)),ISNUMBER(SEARCH("unknown",G1471)),ISNUMBER(SEARCH("inactive",G1471)),H1471=""),0,1)</f>
        <v>1</v>
      </c>
    </row>
    <row r="1472" spans="1:23">
      <c r="A1472" s="74">
        <v>46024</v>
      </c>
      <c r="B1472" s="45" t="s">
        <v>3633</v>
      </c>
      <c r="C1472" s="45" t="s">
        <v>649</v>
      </c>
      <c r="D1472" s="45" t="s">
        <v>57</v>
      </c>
      <c r="E1472" s="45">
        <v>85053</v>
      </c>
      <c r="F1472" s="45" t="s">
        <v>3329</v>
      </c>
      <c r="G1472" s="79" t="s">
        <v>3616</v>
      </c>
      <c r="H1472" s="80" t="s">
        <v>3634</v>
      </c>
      <c r="I1472" s="81" t="s">
        <v>532</v>
      </c>
      <c r="J1472" s="81" t="s">
        <v>31</v>
      </c>
      <c r="K1472" s="81" t="s">
        <v>31</v>
      </c>
      <c r="L1472" s="81" t="s">
        <v>3543</v>
      </c>
      <c r="M1472" s="81" t="s">
        <v>31</v>
      </c>
      <c r="N1472" s="81" t="s">
        <v>31</v>
      </c>
      <c r="O1472" s="81" t="s">
        <v>32</v>
      </c>
      <c r="P1472" s="81" t="s">
        <v>33</v>
      </c>
      <c r="Q1472" s="2">
        <v>46027</v>
      </c>
      <c r="R1472" s="45"/>
      <c r="S1472" s="45"/>
      <c r="T1472" s="45"/>
      <c r="U1472" s="45"/>
      <c r="V1472" s="45">
        <f>IF(OR(ISNUMBER(SEARCH("unable to locate acct",G1472)),ISNUMBER(SEARCH("unknown",G1472)),ISNUMBER(SEARCH("inactive",G1472)),H1472=""),0,1)</f>
        <v>1</v>
      </c>
    </row>
    <row r="1473" spans="1:23">
      <c r="A1473" s="74">
        <v>46024</v>
      </c>
      <c r="B1473" s="45" t="s">
        <v>1271</v>
      </c>
      <c r="C1473" s="45" t="s">
        <v>348</v>
      </c>
      <c r="D1473" s="45" t="s">
        <v>57</v>
      </c>
      <c r="E1473" s="45">
        <v>85027</v>
      </c>
      <c r="F1473" s="45" t="s">
        <v>3329</v>
      </c>
      <c r="G1473" s="79" t="s">
        <v>3616</v>
      </c>
      <c r="H1473" s="80" t="s">
        <v>1272</v>
      </c>
      <c r="I1473" s="81" t="s">
        <v>190</v>
      </c>
      <c r="J1473" s="81" t="s">
        <v>31</v>
      </c>
      <c r="K1473" s="81" t="s">
        <v>31</v>
      </c>
      <c r="L1473" s="81" t="s">
        <v>3635</v>
      </c>
      <c r="M1473" s="81" t="s">
        <v>31</v>
      </c>
      <c r="N1473" s="81" t="s">
        <v>31</v>
      </c>
      <c r="O1473" s="81" t="s">
        <v>32</v>
      </c>
      <c r="P1473" s="81" t="s">
        <v>33</v>
      </c>
      <c r="Q1473" s="2">
        <v>46027</v>
      </c>
      <c r="R1473" s="45"/>
      <c r="S1473" s="45"/>
      <c r="T1473" s="45"/>
      <c r="U1473" s="45"/>
      <c r="V1473" s="45">
        <f>IF(OR(ISNUMBER(SEARCH("unable to locate acct",G1473)),ISNUMBER(SEARCH("unknown",G1473)),ISNUMBER(SEARCH("inactive",G1473)),H1473=""),0,1)</f>
        <v>1</v>
      </c>
    </row>
    <row r="1474" spans="1:23">
      <c r="A1474" s="74">
        <v>46024</v>
      </c>
      <c r="B1474" s="45" t="s">
        <v>3636</v>
      </c>
      <c r="C1474" s="45" t="s">
        <v>3637</v>
      </c>
      <c r="D1474" s="45" t="s">
        <v>610</v>
      </c>
      <c r="E1474" s="45">
        <v>85365</v>
      </c>
      <c r="F1474" s="45" t="s">
        <v>3329</v>
      </c>
      <c r="G1474" s="79" t="s">
        <v>3616</v>
      </c>
      <c r="H1474" s="80" t="s">
        <v>3638</v>
      </c>
      <c r="I1474" s="81" t="s">
        <v>532</v>
      </c>
      <c r="J1474" s="81" t="s">
        <v>32</v>
      </c>
      <c r="K1474" s="81" t="s">
        <v>31</v>
      </c>
      <c r="L1474" s="81" t="s">
        <v>3639</v>
      </c>
      <c r="M1474" s="81" t="s">
        <v>32</v>
      </c>
      <c r="N1474" s="82">
        <v>310</v>
      </c>
      <c r="O1474" s="81" t="s">
        <v>32</v>
      </c>
      <c r="P1474" s="81" t="s">
        <v>33</v>
      </c>
      <c r="Q1474" s="2">
        <v>46028</v>
      </c>
      <c r="R1474" s="45" t="s">
        <v>3640</v>
      </c>
      <c r="S1474" s="45"/>
      <c r="T1474" s="45"/>
      <c r="U1474" s="45"/>
      <c r="V1474" s="45">
        <f>IF(OR(ISNUMBER(SEARCH("unable to locate acct",G1474)),ISNUMBER(SEARCH("unknown",G1474)),ISNUMBER(SEARCH("inactive",G1474)),H1474=""),0,1)</f>
        <v>1</v>
      </c>
    </row>
    <row r="1475" spans="1:23">
      <c r="A1475" s="74">
        <v>46024</v>
      </c>
      <c r="B1475" s="45" t="s">
        <v>360</v>
      </c>
      <c r="C1475" s="45" t="s">
        <v>2267</v>
      </c>
      <c r="D1475" s="45" t="s">
        <v>2046</v>
      </c>
      <c r="E1475" s="45">
        <v>85132</v>
      </c>
      <c r="F1475" s="45" t="s">
        <v>3329</v>
      </c>
      <c r="G1475" s="79" t="s">
        <v>3616</v>
      </c>
      <c r="H1475" s="80" t="s">
        <v>3641</v>
      </c>
      <c r="I1475" s="81" t="s">
        <v>1346</v>
      </c>
      <c r="J1475" s="81" t="s">
        <v>32</v>
      </c>
      <c r="K1475" s="81" t="s">
        <v>31</v>
      </c>
      <c r="L1475" s="81" t="s">
        <v>3543</v>
      </c>
      <c r="M1475" s="81" t="s">
        <v>31</v>
      </c>
      <c r="N1475" s="81" t="s">
        <v>31</v>
      </c>
      <c r="O1475" s="81" t="s">
        <v>32</v>
      </c>
      <c r="P1475" s="81" t="s">
        <v>33</v>
      </c>
      <c r="Q1475" s="2">
        <v>46028</v>
      </c>
      <c r="R1475" s="45"/>
      <c r="S1475" s="45"/>
      <c r="T1475" s="45"/>
      <c r="U1475" s="45"/>
      <c r="V1475" s="45">
        <f>IF(OR(ISNUMBER(SEARCH("unable to locate acct",G1475)),ISNUMBER(SEARCH("unknown",G1475)),ISNUMBER(SEARCH("inactive",G1475)),H1475=""),0,1)</f>
        <v>1</v>
      </c>
    </row>
    <row r="1476" spans="1:23">
      <c r="A1476" s="74">
        <v>46024</v>
      </c>
      <c r="B1476" s="45" t="s">
        <v>2183</v>
      </c>
      <c r="C1476" s="45" t="s">
        <v>2011</v>
      </c>
      <c r="D1476" s="45" t="s">
        <v>3642</v>
      </c>
      <c r="E1476" s="45">
        <v>86047</v>
      </c>
      <c r="F1476" s="45" t="s">
        <v>3329</v>
      </c>
      <c r="G1476" s="79" t="s">
        <v>3616</v>
      </c>
      <c r="H1476" s="80" t="s">
        <v>3643</v>
      </c>
      <c r="I1476" s="81" t="s">
        <v>120</v>
      </c>
      <c r="J1476" s="81" t="s">
        <v>32</v>
      </c>
      <c r="K1476" s="81" t="s">
        <v>31</v>
      </c>
      <c r="L1476" s="81" t="s">
        <v>3644</v>
      </c>
      <c r="M1476" s="81" t="s">
        <v>31</v>
      </c>
      <c r="N1476" s="81" t="s">
        <v>31</v>
      </c>
      <c r="O1476" s="81" t="s">
        <v>32</v>
      </c>
      <c r="P1476" s="81"/>
      <c r="Q1476" s="41">
        <v>46028</v>
      </c>
      <c r="R1476" s="45"/>
      <c r="S1476" s="45"/>
      <c r="T1476" s="45"/>
      <c r="U1476" s="45"/>
      <c r="V1476" s="45">
        <f>IF(OR(ISNUMBER(SEARCH("unable to locate acct",G1476)),ISNUMBER(SEARCH("unknown",G1476)),ISNUMBER(SEARCH("inactive",G1476)),H1476=""),0,1)</f>
        <v>1</v>
      </c>
      <c r="W1476" s="32"/>
    </row>
    <row r="1477" spans="1:23">
      <c r="A1477" s="74">
        <v>46024</v>
      </c>
      <c r="B1477" s="45" t="s">
        <v>3645</v>
      </c>
      <c r="C1477" s="45" t="s">
        <v>2652</v>
      </c>
      <c r="D1477" s="45" t="s">
        <v>57</v>
      </c>
      <c r="E1477" s="45">
        <v>85028</v>
      </c>
      <c r="F1477" s="45" t="s">
        <v>3329</v>
      </c>
      <c r="G1477" s="79" t="s">
        <v>3616</v>
      </c>
      <c r="H1477" s="80" t="s">
        <v>3646</v>
      </c>
      <c r="I1477" s="81" t="s">
        <v>30</v>
      </c>
      <c r="J1477" s="81" t="s">
        <v>31</v>
      </c>
      <c r="K1477" s="81" t="s">
        <v>31</v>
      </c>
      <c r="L1477" s="81" t="s">
        <v>32</v>
      </c>
      <c r="M1477" s="81" t="s">
        <v>31</v>
      </c>
      <c r="N1477" s="81" t="s">
        <v>31</v>
      </c>
      <c r="O1477" s="81" t="s">
        <v>32</v>
      </c>
      <c r="P1477" s="81" t="s">
        <v>33</v>
      </c>
      <c r="Q1477" s="2">
        <v>46028</v>
      </c>
      <c r="R1477" s="45"/>
      <c r="S1477" s="45"/>
      <c r="T1477" s="45"/>
      <c r="U1477" s="45"/>
      <c r="V1477" s="45">
        <f>IF(OR(ISNUMBER(SEARCH("unable to locate acct",G1477)),ISNUMBER(SEARCH("unknown",G1477)),ISNUMBER(SEARCH("inactive",G1477)),H1477=""),0,1)</f>
        <v>1</v>
      </c>
    </row>
    <row r="1478" spans="1:23">
      <c r="A1478" s="74">
        <v>46024</v>
      </c>
      <c r="B1478" s="45" t="s">
        <v>2994</v>
      </c>
      <c r="C1478" s="45" t="s">
        <v>2995</v>
      </c>
      <c r="D1478" s="45" t="s">
        <v>57</v>
      </c>
      <c r="E1478" s="45">
        <v>85028</v>
      </c>
      <c r="F1478" s="45" t="s">
        <v>3329</v>
      </c>
      <c r="G1478" s="79" t="s">
        <v>3616</v>
      </c>
      <c r="H1478" s="80" t="s">
        <v>2997</v>
      </c>
      <c r="I1478" s="81" t="s">
        <v>410</v>
      </c>
      <c r="J1478" s="81" t="s">
        <v>31</v>
      </c>
      <c r="K1478" s="81" t="s">
        <v>31</v>
      </c>
      <c r="L1478" s="81" t="s">
        <v>3543</v>
      </c>
      <c r="M1478" s="81" t="s">
        <v>31</v>
      </c>
      <c r="N1478" s="81" t="s">
        <v>31</v>
      </c>
      <c r="O1478" s="81" t="s">
        <v>32</v>
      </c>
      <c r="P1478" s="81" t="s">
        <v>33</v>
      </c>
      <c r="Q1478" s="2">
        <v>46028</v>
      </c>
      <c r="R1478" s="45"/>
      <c r="S1478" s="45"/>
      <c r="T1478" s="45"/>
      <c r="U1478" s="45"/>
      <c r="V1478" s="45">
        <f>IF(OR(ISNUMBER(SEARCH("unable to locate acct",G1478)),ISNUMBER(SEARCH("unknown",G1478)),ISNUMBER(SEARCH("inactive",G1478)),H1478=""),0,1)</f>
        <v>1</v>
      </c>
    </row>
    <row r="1479" spans="1:23">
      <c r="A1479" s="74">
        <v>46024</v>
      </c>
      <c r="B1479" s="45" t="s">
        <v>72</v>
      </c>
      <c r="C1479" s="45" t="s">
        <v>1762</v>
      </c>
      <c r="D1479" s="45" t="s">
        <v>610</v>
      </c>
      <c r="E1479" s="45">
        <v>85365</v>
      </c>
      <c r="F1479" s="45" t="s">
        <v>3329</v>
      </c>
      <c r="G1479" s="79" t="s">
        <v>3616</v>
      </c>
      <c r="H1479" s="80" t="s">
        <v>21</v>
      </c>
      <c r="I1479" s="81"/>
      <c r="J1479" s="81"/>
      <c r="K1479" s="81"/>
      <c r="L1479" s="81"/>
      <c r="M1479" s="81"/>
      <c r="N1479" s="81"/>
      <c r="O1479" s="81"/>
      <c r="P1479" s="81"/>
      <c r="R1479" s="45"/>
      <c r="S1479" s="45"/>
      <c r="T1479" s="45"/>
      <c r="U1479" s="45"/>
      <c r="V1479" s="45">
        <f>IF(OR(ISNUMBER(SEARCH("unable to locate acct",G1479)),ISNUMBER(SEARCH("unknown",G1479)),ISNUMBER(SEARCH("inactive",G1479)),H1479=""),0,1)</f>
        <v>1</v>
      </c>
    </row>
    <row r="1480" spans="1:23">
      <c r="A1480" s="74">
        <v>46024</v>
      </c>
      <c r="B1480" s="45" t="s">
        <v>3647</v>
      </c>
      <c r="C1480" s="45" t="s">
        <v>3648</v>
      </c>
      <c r="D1480" s="45" t="s">
        <v>62</v>
      </c>
      <c r="E1480" s="45">
        <v>85331</v>
      </c>
      <c r="F1480" s="45" t="s">
        <v>3329</v>
      </c>
      <c r="G1480" s="79" t="s">
        <v>3616</v>
      </c>
      <c r="H1480" s="80" t="s">
        <v>21</v>
      </c>
      <c r="I1480" s="81"/>
      <c r="J1480" s="81"/>
      <c r="K1480" s="81"/>
      <c r="L1480" s="81"/>
      <c r="M1480" s="81"/>
      <c r="N1480" s="81"/>
      <c r="O1480" s="81"/>
      <c r="P1480" s="81"/>
      <c r="R1480" s="45"/>
      <c r="S1480" s="45"/>
      <c r="T1480" s="45"/>
      <c r="U1480" s="45"/>
      <c r="V1480" s="45">
        <f>IF(OR(ISNUMBER(SEARCH("unable to locate acct",G1480)),ISNUMBER(SEARCH("unknown",G1480)),ISNUMBER(SEARCH("inactive",G1480)),H1480=""),0,1)</f>
        <v>1</v>
      </c>
    </row>
    <row r="1481" spans="1:23">
      <c r="A1481" s="74">
        <v>46024</v>
      </c>
      <c r="B1481" s="45" t="s">
        <v>3649</v>
      </c>
      <c r="C1481" s="45" t="s">
        <v>3650</v>
      </c>
      <c r="D1481" s="45" t="s">
        <v>57</v>
      </c>
      <c r="E1481" s="45">
        <v>85044</v>
      </c>
      <c r="F1481" s="45" t="s">
        <v>3329</v>
      </c>
      <c r="G1481" s="79" t="s">
        <v>3616</v>
      </c>
      <c r="H1481" s="80" t="s">
        <v>21</v>
      </c>
      <c r="I1481" s="81"/>
      <c r="J1481" s="81"/>
      <c r="K1481" s="81"/>
      <c r="L1481" s="81"/>
      <c r="M1481" s="81"/>
      <c r="N1481" s="81"/>
      <c r="O1481" s="81"/>
      <c r="P1481" s="81"/>
      <c r="R1481" s="45"/>
      <c r="S1481" s="45"/>
      <c r="T1481" s="45"/>
      <c r="U1481" s="45"/>
      <c r="V1481" s="45">
        <f>IF(OR(ISNUMBER(SEARCH("unable to locate acct",G1481)),ISNUMBER(SEARCH("unknown",G1481)),ISNUMBER(SEARCH("inactive",G1481)),H1481=""),0,1)</f>
        <v>1</v>
      </c>
    </row>
    <row r="1482" spans="1:23">
      <c r="A1482" s="74">
        <v>46024</v>
      </c>
      <c r="B1482" s="45" t="s">
        <v>1035</v>
      </c>
      <c r="C1482" s="45" t="s">
        <v>278</v>
      </c>
      <c r="D1482" s="45" t="s">
        <v>495</v>
      </c>
      <c r="E1482" s="45">
        <v>86005</v>
      </c>
      <c r="F1482" s="45" t="s">
        <v>3329</v>
      </c>
      <c r="G1482" s="79" t="s">
        <v>3616</v>
      </c>
      <c r="H1482" s="80" t="s">
        <v>3651</v>
      </c>
      <c r="I1482" s="81" t="s">
        <v>30</v>
      </c>
      <c r="J1482" s="81" t="s">
        <v>31</v>
      </c>
      <c r="K1482" s="81" t="s">
        <v>31</v>
      </c>
      <c r="L1482" s="81" t="s">
        <v>32</v>
      </c>
      <c r="M1482" s="81" t="s">
        <v>31</v>
      </c>
      <c r="N1482" s="81" t="s">
        <v>31</v>
      </c>
      <c r="O1482" s="81" t="s">
        <v>32</v>
      </c>
      <c r="P1482" s="81" t="s">
        <v>33</v>
      </c>
      <c r="Q1482" s="2">
        <v>46028</v>
      </c>
      <c r="R1482" s="45"/>
      <c r="S1482" s="45"/>
      <c r="T1482" s="45"/>
      <c r="U1482" s="45"/>
      <c r="V1482" s="45">
        <f>IF(OR(ISNUMBER(SEARCH("unable to locate acct",G1482)),ISNUMBER(SEARCH("unknown",G1482)),ISNUMBER(SEARCH("inactive",G1482)),H1482=""),0,1)</f>
        <v>1</v>
      </c>
    </row>
    <row r="1483" spans="1:23">
      <c r="A1483" s="74">
        <v>46024</v>
      </c>
      <c r="B1483" s="45" t="s">
        <v>3652</v>
      </c>
      <c r="C1483" s="45" t="s">
        <v>285</v>
      </c>
      <c r="D1483" s="45" t="s">
        <v>57</v>
      </c>
      <c r="E1483" s="45">
        <v>85013</v>
      </c>
      <c r="F1483" s="45" t="s">
        <v>3329</v>
      </c>
      <c r="G1483" s="79" t="s">
        <v>3616</v>
      </c>
      <c r="H1483" s="80" t="s">
        <v>21</v>
      </c>
      <c r="I1483" s="81"/>
      <c r="J1483" s="81"/>
      <c r="K1483" s="81"/>
      <c r="L1483" s="81"/>
      <c r="M1483" s="81"/>
      <c r="N1483" s="81"/>
      <c r="O1483" s="81"/>
      <c r="P1483" s="81"/>
      <c r="R1483" s="45"/>
      <c r="S1483" s="45"/>
      <c r="T1483" s="45"/>
      <c r="U1483" s="45"/>
      <c r="V1483" s="45">
        <f>IF(OR(ISNUMBER(SEARCH("unable to locate acct",G1483)),ISNUMBER(SEARCH("unknown",G1483)),ISNUMBER(SEARCH("inactive",G1483)),H1483=""),0,1)</f>
        <v>1</v>
      </c>
    </row>
    <row r="1484" spans="1:23">
      <c r="A1484" s="74">
        <v>46024</v>
      </c>
      <c r="B1484" s="45" t="s">
        <v>3653</v>
      </c>
      <c r="C1484" s="45" t="s">
        <v>69</v>
      </c>
      <c r="D1484" s="45" t="s">
        <v>57</v>
      </c>
      <c r="E1484" s="45">
        <v>85028</v>
      </c>
      <c r="F1484" s="45" t="s">
        <v>3329</v>
      </c>
      <c r="G1484" s="79" t="s">
        <v>3616</v>
      </c>
      <c r="H1484" s="80" t="s">
        <v>3654</v>
      </c>
      <c r="I1484" s="81" t="s">
        <v>51</v>
      </c>
      <c r="J1484" s="81" t="s">
        <v>31</v>
      </c>
      <c r="K1484" s="81" t="s">
        <v>31</v>
      </c>
      <c r="L1484" s="81" t="s">
        <v>3655</v>
      </c>
      <c r="M1484" s="81" t="s">
        <v>31</v>
      </c>
      <c r="N1484" s="81" t="s">
        <v>31</v>
      </c>
      <c r="O1484" s="81" t="s">
        <v>32</v>
      </c>
      <c r="P1484" s="81"/>
      <c r="Q1484" s="42"/>
      <c r="R1484" s="45"/>
      <c r="S1484" s="45"/>
      <c r="T1484" s="45"/>
      <c r="U1484" s="45"/>
      <c r="V1484" s="45">
        <f>IF(OR(ISNUMBER(SEARCH("unable to locate acct",G1484)),ISNUMBER(SEARCH("unknown",G1484)),ISNUMBER(SEARCH("inactive",G1484)),H1484=""),0,1)</f>
        <v>1</v>
      </c>
      <c r="W1484" s="32"/>
    </row>
    <row r="1485" spans="1:23">
      <c r="A1485" s="74">
        <v>46027</v>
      </c>
      <c r="B1485" s="45" t="s">
        <v>3610</v>
      </c>
      <c r="C1485" s="45" t="s">
        <v>816</v>
      </c>
      <c r="D1485" s="45" t="s">
        <v>24</v>
      </c>
      <c r="E1485" s="45" t="s">
        <v>24</v>
      </c>
      <c r="F1485" s="45" t="s">
        <v>3329</v>
      </c>
      <c r="G1485" s="76" t="s">
        <v>3656</v>
      </c>
      <c r="H1485" s="80" t="s">
        <v>21</v>
      </c>
      <c r="I1485" s="81"/>
      <c r="J1485" s="81"/>
      <c r="K1485" s="81"/>
      <c r="L1485" s="81"/>
      <c r="M1485" s="81"/>
      <c r="N1485" s="81"/>
      <c r="O1485" s="81"/>
      <c r="P1485" s="81"/>
      <c r="R1485" s="45"/>
      <c r="S1485" s="45"/>
      <c r="T1485" s="45"/>
      <c r="U1485" s="45"/>
      <c r="V1485" s="45">
        <f>IF(OR(ISNUMBER(SEARCH("unable to locate acct",G1485)),ISNUMBER(SEARCH("unknown",G1485)),ISNUMBER(SEARCH("inactive",G1485)),H1485=""),0,1)</f>
        <v>1</v>
      </c>
    </row>
    <row r="1486" spans="1:23">
      <c r="A1486" s="74">
        <v>46027</v>
      </c>
      <c r="B1486" s="45" t="s">
        <v>170</v>
      </c>
      <c r="C1486" s="45" t="s">
        <v>391</v>
      </c>
      <c r="D1486" s="45" t="s">
        <v>24</v>
      </c>
      <c r="E1486" s="45" t="s">
        <v>24</v>
      </c>
      <c r="F1486" s="45" t="s">
        <v>3329</v>
      </c>
      <c r="G1486" s="76" t="s">
        <v>3656</v>
      </c>
      <c r="H1486" s="80" t="s">
        <v>21</v>
      </c>
      <c r="I1486" s="81"/>
      <c r="J1486" s="81"/>
      <c r="K1486" s="81"/>
      <c r="L1486" s="81"/>
      <c r="M1486" s="81"/>
      <c r="N1486" s="81"/>
      <c r="O1486" s="81"/>
      <c r="P1486" s="81"/>
      <c r="R1486" s="45"/>
      <c r="S1486" s="45"/>
      <c r="T1486" s="45"/>
      <c r="U1486" s="45"/>
      <c r="V1486" s="45">
        <f>IF(OR(ISNUMBER(SEARCH("unable to locate acct",G1486)),ISNUMBER(SEARCH("unknown",G1486)),ISNUMBER(SEARCH("inactive",G1486)),H1486=""),0,1)</f>
        <v>1</v>
      </c>
    </row>
    <row r="1487" spans="1:23">
      <c r="A1487" s="74">
        <v>46027</v>
      </c>
      <c r="B1487" s="45" t="s">
        <v>3609</v>
      </c>
      <c r="C1487" s="45" t="s">
        <v>1200</v>
      </c>
      <c r="D1487" s="45" t="s">
        <v>24</v>
      </c>
      <c r="E1487" s="45" t="s">
        <v>24</v>
      </c>
      <c r="F1487" s="45" t="s">
        <v>3329</v>
      </c>
      <c r="G1487" s="76" t="s">
        <v>3656</v>
      </c>
      <c r="H1487" s="80" t="s">
        <v>21</v>
      </c>
      <c r="I1487" s="81"/>
      <c r="J1487" s="81"/>
      <c r="K1487" s="81"/>
      <c r="L1487" s="81"/>
      <c r="M1487" s="81"/>
      <c r="N1487" s="81"/>
      <c r="O1487" s="81"/>
      <c r="P1487" s="81"/>
      <c r="R1487" s="45"/>
      <c r="S1487" s="45"/>
      <c r="T1487" s="45"/>
      <c r="U1487" s="45"/>
      <c r="V1487" s="45">
        <f>IF(OR(ISNUMBER(SEARCH("unable to locate acct",G1487)),ISNUMBER(SEARCH("unknown",G1487)),ISNUMBER(SEARCH("inactive",G1487)),H1487=""),0,1)</f>
        <v>1</v>
      </c>
    </row>
    <row r="1488" spans="1:23">
      <c r="A1488" s="74">
        <v>46027</v>
      </c>
      <c r="B1488" s="45" t="s">
        <v>3657</v>
      </c>
      <c r="C1488" s="45" t="s">
        <v>3658</v>
      </c>
      <c r="D1488" s="45" t="s">
        <v>196</v>
      </c>
      <c r="E1488" s="45">
        <v>85382</v>
      </c>
      <c r="F1488" s="45" t="s">
        <v>3329</v>
      </c>
      <c r="G1488" s="76" t="s">
        <v>3656</v>
      </c>
      <c r="H1488" s="80" t="s">
        <v>5365</v>
      </c>
      <c r="I1488" s="81" t="s">
        <v>30</v>
      </c>
      <c r="J1488" s="81" t="s">
        <v>31</v>
      </c>
      <c r="K1488" s="81" t="s">
        <v>31</v>
      </c>
      <c r="L1488" s="81" t="s">
        <v>32</v>
      </c>
      <c r="M1488" s="81" t="s">
        <v>31</v>
      </c>
      <c r="N1488" s="81" t="s">
        <v>31</v>
      </c>
      <c r="O1488" s="81" t="s">
        <v>32</v>
      </c>
      <c r="P1488" s="81" t="s">
        <v>33</v>
      </c>
      <c r="Q1488" s="2">
        <v>46028</v>
      </c>
      <c r="R1488" s="45"/>
      <c r="S1488" s="45"/>
      <c r="T1488" s="45"/>
      <c r="U1488" s="45"/>
      <c r="V1488" s="45">
        <f>IF(OR(ISNUMBER(SEARCH("unable to locate acct",G1488)),ISNUMBER(SEARCH("unknown",G1488)),ISNUMBER(SEARCH("inactive",G1488)),H1488=""),0,1)</f>
        <v>1</v>
      </c>
    </row>
    <row r="1489" spans="1:23">
      <c r="A1489" s="74">
        <v>46027</v>
      </c>
      <c r="B1489" s="45" t="s">
        <v>3659</v>
      </c>
      <c r="C1489" s="45" t="s">
        <v>1001</v>
      </c>
      <c r="D1489" s="45" t="s">
        <v>24</v>
      </c>
      <c r="E1489" s="45" t="s">
        <v>24</v>
      </c>
      <c r="F1489" s="45" t="s">
        <v>3329</v>
      </c>
      <c r="G1489" s="76" t="s">
        <v>3656</v>
      </c>
      <c r="H1489" s="80" t="s">
        <v>21</v>
      </c>
      <c r="I1489" s="81"/>
      <c r="J1489" s="81"/>
      <c r="K1489" s="81"/>
      <c r="L1489" s="81"/>
      <c r="M1489" s="81"/>
      <c r="N1489" s="81"/>
      <c r="O1489" s="81"/>
      <c r="P1489" s="81"/>
      <c r="R1489" s="45"/>
      <c r="S1489" s="45"/>
      <c r="T1489" s="45"/>
      <c r="U1489" s="45"/>
      <c r="V1489" s="45">
        <f>IF(OR(ISNUMBER(SEARCH("unable to locate acct",G1489)),ISNUMBER(SEARCH("unknown",G1489)),ISNUMBER(SEARCH("inactive",G1489)),H1489=""),0,1)</f>
        <v>1</v>
      </c>
    </row>
    <row r="1490" spans="1:23">
      <c r="A1490" s="74">
        <v>46027</v>
      </c>
      <c r="B1490" s="45" t="s">
        <v>3660</v>
      </c>
      <c r="C1490" s="45" t="s">
        <v>2972</v>
      </c>
      <c r="D1490" s="45" t="s">
        <v>57</v>
      </c>
      <c r="E1490" s="45">
        <v>85027</v>
      </c>
      <c r="F1490" s="45" t="s">
        <v>3329</v>
      </c>
      <c r="G1490" s="76" t="s">
        <v>3656</v>
      </c>
      <c r="H1490" s="80" t="s">
        <v>3661</v>
      </c>
      <c r="I1490" s="81" t="s">
        <v>30</v>
      </c>
      <c r="J1490" s="81" t="s">
        <v>32</v>
      </c>
      <c r="K1490" s="81" t="s">
        <v>32</v>
      </c>
      <c r="L1490" s="81" t="s">
        <v>32</v>
      </c>
      <c r="M1490" s="81" t="s">
        <v>31</v>
      </c>
      <c r="N1490" s="81" t="s">
        <v>31</v>
      </c>
      <c r="O1490" s="81" t="s">
        <v>32</v>
      </c>
      <c r="P1490" s="81"/>
      <c r="R1490" s="45"/>
      <c r="S1490" s="45"/>
      <c r="T1490" s="45"/>
      <c r="U1490" s="45"/>
      <c r="V1490" s="45">
        <f>IF(OR(ISNUMBER(SEARCH("unable to locate acct",G1490)),ISNUMBER(SEARCH("unknown",G1490)),ISNUMBER(SEARCH("inactive",G1490)),H1490=""),0,1)</f>
        <v>1</v>
      </c>
    </row>
    <row r="1491" spans="1:23">
      <c r="A1491" s="74">
        <v>46027</v>
      </c>
      <c r="B1491" s="45" t="s">
        <v>3026</v>
      </c>
      <c r="C1491" s="45" t="s">
        <v>264</v>
      </c>
      <c r="D1491" s="45" t="s">
        <v>24</v>
      </c>
      <c r="E1491" s="45" t="s">
        <v>24</v>
      </c>
      <c r="F1491" s="45" t="s">
        <v>3329</v>
      </c>
      <c r="G1491" s="76" t="s">
        <v>3656</v>
      </c>
      <c r="H1491" s="80" t="s">
        <v>21</v>
      </c>
      <c r="I1491" s="81"/>
      <c r="J1491" s="81"/>
      <c r="K1491" s="81"/>
      <c r="L1491" s="81"/>
      <c r="M1491" s="81"/>
      <c r="N1491" s="81"/>
      <c r="O1491" s="81"/>
      <c r="P1491" s="81"/>
      <c r="R1491" s="45"/>
      <c r="S1491" s="45"/>
      <c r="T1491" s="45"/>
      <c r="U1491" s="45"/>
      <c r="V1491" s="45">
        <f>IF(OR(ISNUMBER(SEARCH("unable to locate acct",G1491)),ISNUMBER(SEARCH("unknown",G1491)),ISNUMBER(SEARCH("inactive",G1491)),H1491=""),0,1)</f>
        <v>1</v>
      </c>
    </row>
    <row r="1492" spans="1:23">
      <c r="A1492" s="74">
        <v>46027</v>
      </c>
      <c r="B1492" s="45" t="s">
        <v>3662</v>
      </c>
      <c r="C1492" s="45" t="s">
        <v>2267</v>
      </c>
      <c r="D1492" s="45" t="s">
        <v>18</v>
      </c>
      <c r="E1492" s="45">
        <v>85306</v>
      </c>
      <c r="F1492" s="45" t="s">
        <v>3329</v>
      </c>
      <c r="G1492" s="76" t="s">
        <v>3656</v>
      </c>
      <c r="H1492" s="80" t="s">
        <v>3663</v>
      </c>
      <c r="I1492" s="81" t="s">
        <v>30</v>
      </c>
      <c r="J1492" s="81" t="s">
        <v>31</v>
      </c>
      <c r="K1492" s="81" t="s">
        <v>31</v>
      </c>
      <c r="L1492" s="81" t="s">
        <v>32</v>
      </c>
      <c r="M1492" s="81" t="s">
        <v>31</v>
      </c>
      <c r="N1492" s="81" t="s">
        <v>31</v>
      </c>
      <c r="O1492" s="81" t="s">
        <v>32</v>
      </c>
      <c r="P1492" s="81" t="s">
        <v>33</v>
      </c>
      <c r="Q1492" s="2">
        <v>46030</v>
      </c>
      <c r="R1492" s="45"/>
      <c r="S1492" s="45"/>
      <c r="T1492" s="45"/>
      <c r="U1492" s="45"/>
      <c r="V1492" s="45">
        <f>IF(OR(ISNUMBER(SEARCH("unable to locate acct",G1492)),ISNUMBER(SEARCH("unknown",G1492)),ISNUMBER(SEARCH("inactive",G1492)),H1492=""),0,1)</f>
        <v>1</v>
      </c>
    </row>
    <row r="1493" spans="1:23">
      <c r="A1493" s="74">
        <v>46027</v>
      </c>
      <c r="B1493" s="45" t="s">
        <v>3664</v>
      </c>
      <c r="C1493" s="45" t="s">
        <v>1472</v>
      </c>
      <c r="D1493" s="45" t="s">
        <v>57</v>
      </c>
      <c r="E1493" s="45">
        <v>85032</v>
      </c>
      <c r="F1493" s="45" t="s">
        <v>3329</v>
      </c>
      <c r="G1493" s="76" t="s">
        <v>3656</v>
      </c>
      <c r="H1493" s="80" t="s">
        <v>3665</v>
      </c>
      <c r="I1493" s="81" t="s">
        <v>3466</v>
      </c>
      <c r="J1493" s="81" t="s">
        <v>31</v>
      </c>
      <c r="K1493" s="81" t="s">
        <v>31</v>
      </c>
      <c r="L1493" s="81" t="s">
        <v>3666</v>
      </c>
      <c r="M1493" s="81" t="s">
        <v>31</v>
      </c>
      <c r="N1493" s="81" t="s">
        <v>31</v>
      </c>
      <c r="O1493" s="81" t="s">
        <v>32</v>
      </c>
      <c r="P1493" s="81"/>
      <c r="Q1493" s="42"/>
      <c r="R1493" s="45"/>
      <c r="S1493" s="45"/>
      <c r="T1493" s="45"/>
      <c r="U1493" s="45"/>
      <c r="V1493" s="45">
        <f>IF(OR(ISNUMBER(SEARCH("unable to locate acct",G1493)),ISNUMBER(SEARCH("unknown",G1493)),ISNUMBER(SEARCH("inactive",G1493)),H1493=""),0,1)</f>
        <v>1</v>
      </c>
      <c r="W1493" s="32"/>
    </row>
    <row r="1494" spans="1:23">
      <c r="A1494" s="74">
        <v>46027</v>
      </c>
      <c r="B1494" s="45" t="s">
        <v>3667</v>
      </c>
      <c r="C1494" s="45" t="s">
        <v>1608</v>
      </c>
      <c r="D1494" s="45" t="s">
        <v>57</v>
      </c>
      <c r="E1494" s="45">
        <v>85027</v>
      </c>
      <c r="F1494" s="45" t="s">
        <v>3329</v>
      </c>
      <c r="G1494" s="76" t="s">
        <v>3656</v>
      </c>
      <c r="H1494" s="80" t="s">
        <v>3668</v>
      </c>
      <c r="I1494" s="81" t="s">
        <v>30</v>
      </c>
      <c r="J1494" s="81" t="s">
        <v>31</v>
      </c>
      <c r="K1494" s="81" t="s">
        <v>31</v>
      </c>
      <c r="L1494" s="81" t="s">
        <v>32</v>
      </c>
      <c r="M1494" s="81" t="s">
        <v>31</v>
      </c>
      <c r="N1494" s="81" t="s">
        <v>31</v>
      </c>
      <c r="O1494" s="81" t="s">
        <v>32</v>
      </c>
      <c r="P1494" s="81" t="s">
        <v>33</v>
      </c>
      <c r="Q1494" s="2">
        <v>46030</v>
      </c>
      <c r="R1494" s="45"/>
      <c r="S1494" s="45"/>
      <c r="T1494" s="45"/>
      <c r="U1494" s="45"/>
      <c r="V1494" s="45">
        <f>IF(OR(ISNUMBER(SEARCH("unable to locate acct",G1494)),ISNUMBER(SEARCH("unknown",G1494)),ISNUMBER(SEARCH("inactive",G1494)),H1494=""),0,1)</f>
        <v>1</v>
      </c>
    </row>
    <row r="1495" spans="1:23">
      <c r="A1495" s="74">
        <v>46027</v>
      </c>
      <c r="B1495" s="45" t="s">
        <v>3669</v>
      </c>
      <c r="C1495" s="45" t="s">
        <v>1645</v>
      </c>
      <c r="D1495" s="45" t="s">
        <v>57</v>
      </c>
      <c r="E1495" s="45">
        <v>85022</v>
      </c>
      <c r="F1495" s="45" t="s">
        <v>3670</v>
      </c>
      <c r="G1495" s="76" t="s">
        <v>3656</v>
      </c>
      <c r="H1495" s="80" t="s">
        <v>3671</v>
      </c>
      <c r="I1495" s="81" t="s">
        <v>67</v>
      </c>
      <c r="J1495" s="81" t="s">
        <v>32</v>
      </c>
      <c r="K1495" s="81" t="s">
        <v>31</v>
      </c>
      <c r="L1495" s="81" t="s">
        <v>32</v>
      </c>
      <c r="M1495" s="81" t="s">
        <v>31</v>
      </c>
      <c r="N1495" s="81" t="s">
        <v>31</v>
      </c>
      <c r="O1495" s="81" t="s">
        <v>32</v>
      </c>
      <c r="P1495" s="81" t="s">
        <v>33</v>
      </c>
      <c r="Q1495" s="2">
        <v>46030</v>
      </c>
      <c r="R1495" s="45"/>
      <c r="S1495" s="45"/>
      <c r="T1495" s="45"/>
      <c r="U1495" s="45"/>
      <c r="V1495" s="45">
        <f>IF(OR(ISNUMBER(SEARCH("unable to locate acct",G1495)),ISNUMBER(SEARCH("unknown",G1495)),ISNUMBER(SEARCH("inactive",G1495)),H1495=""),0,1)</f>
        <v>1</v>
      </c>
    </row>
    <row r="1496" spans="1:23">
      <c r="A1496" s="74">
        <v>46027</v>
      </c>
      <c r="B1496" s="45" t="s">
        <v>3672</v>
      </c>
      <c r="C1496" s="45" t="s">
        <v>3673</v>
      </c>
      <c r="D1496" s="45" t="s">
        <v>163</v>
      </c>
      <c r="E1496" s="45">
        <v>85395</v>
      </c>
      <c r="F1496" s="45" t="s">
        <v>3674</v>
      </c>
      <c r="G1496" s="76" t="s">
        <v>3656</v>
      </c>
      <c r="H1496" s="80" t="s">
        <v>3675</v>
      </c>
      <c r="I1496" s="81" t="s">
        <v>3676</v>
      </c>
      <c r="J1496" s="81" t="s">
        <v>31</v>
      </c>
      <c r="K1496" s="81" t="s">
        <v>31</v>
      </c>
      <c r="L1496" s="81" t="s">
        <v>3543</v>
      </c>
      <c r="M1496" s="81" t="s">
        <v>31</v>
      </c>
      <c r="N1496" s="81" t="s">
        <v>31</v>
      </c>
      <c r="O1496" s="81" t="s">
        <v>32</v>
      </c>
      <c r="P1496" s="81" t="s">
        <v>33</v>
      </c>
      <c r="Q1496" s="2">
        <v>46030</v>
      </c>
      <c r="R1496" s="45"/>
      <c r="S1496" s="45"/>
      <c r="T1496" s="45"/>
      <c r="U1496" s="45"/>
      <c r="V1496" s="45">
        <f>IF(OR(ISNUMBER(SEARCH("unable to locate acct",G1496)),ISNUMBER(SEARCH("unknown",G1496)),ISNUMBER(SEARCH("inactive",G1496)),H1496=""),0,1)</f>
        <v>1</v>
      </c>
    </row>
    <row r="1497" spans="1:23">
      <c r="A1497" s="74">
        <v>46028</v>
      </c>
      <c r="B1497" s="45" t="s">
        <v>3677</v>
      </c>
      <c r="C1497" s="45" t="s">
        <v>3678</v>
      </c>
      <c r="D1497" s="45" t="s">
        <v>83</v>
      </c>
      <c r="E1497" s="45">
        <v>86351</v>
      </c>
      <c r="F1497" s="45" t="s">
        <v>3679</v>
      </c>
      <c r="G1497" s="76" t="s">
        <v>3680</v>
      </c>
      <c r="H1497" s="80" t="s">
        <v>3681</v>
      </c>
      <c r="I1497" s="81" t="s">
        <v>3676</v>
      </c>
      <c r="J1497" s="81" t="s">
        <v>31</v>
      </c>
      <c r="K1497" s="81" t="s">
        <v>31</v>
      </c>
      <c r="L1497" s="81" t="s">
        <v>3543</v>
      </c>
      <c r="M1497" s="81" t="s">
        <v>31</v>
      </c>
      <c r="N1497" s="81" t="s">
        <v>31</v>
      </c>
      <c r="O1497" s="81" t="s">
        <v>32</v>
      </c>
      <c r="P1497" s="81" t="s">
        <v>33</v>
      </c>
      <c r="Q1497" s="2">
        <v>46030</v>
      </c>
      <c r="R1497" s="45"/>
      <c r="S1497" s="45"/>
      <c r="T1497" s="45"/>
      <c r="U1497" s="45"/>
      <c r="V1497" s="45">
        <f>IF(OR(ISNUMBER(SEARCH("unable to locate acct",G1497)),ISNUMBER(SEARCH("unknown",G1497)),ISNUMBER(SEARCH("inactive",G1497)),H1497=""),0,1)</f>
        <v>1</v>
      </c>
    </row>
    <row r="1498" spans="1:23">
      <c r="A1498" s="74">
        <v>46028</v>
      </c>
      <c r="B1498" s="45" t="s">
        <v>3682</v>
      </c>
      <c r="C1498" s="45" t="s">
        <v>3683</v>
      </c>
      <c r="D1498" s="45" t="s">
        <v>196</v>
      </c>
      <c r="E1498" s="45">
        <v>85282</v>
      </c>
      <c r="F1498" s="45" t="s">
        <v>3684</v>
      </c>
      <c r="G1498" s="76" t="s">
        <v>3680</v>
      </c>
      <c r="H1498" s="80" t="s">
        <v>21</v>
      </c>
      <c r="I1498" s="81"/>
      <c r="J1498" s="81"/>
      <c r="K1498" s="81"/>
      <c r="L1498" s="81"/>
      <c r="M1498" s="81"/>
      <c r="N1498" s="81"/>
      <c r="O1498" s="81"/>
      <c r="P1498" s="81"/>
      <c r="R1498" s="45"/>
      <c r="S1498" s="45"/>
      <c r="T1498" s="45"/>
      <c r="U1498" s="45"/>
      <c r="V1498" s="45">
        <f>IF(OR(ISNUMBER(SEARCH("unable to locate acct",G1498)),ISNUMBER(SEARCH("unknown",G1498)),ISNUMBER(SEARCH("inactive",G1498)),H1498=""),0,1)</f>
        <v>1</v>
      </c>
    </row>
    <row r="1499" spans="1:23">
      <c r="A1499" s="74">
        <v>46028</v>
      </c>
      <c r="B1499" s="45" t="s">
        <v>3685</v>
      </c>
      <c r="C1499" s="45" t="s">
        <v>667</v>
      </c>
      <c r="D1499" s="45" t="s">
        <v>728</v>
      </c>
      <c r="E1499" s="45">
        <v>86326</v>
      </c>
      <c r="F1499" s="45" t="s">
        <v>3686</v>
      </c>
      <c r="G1499" s="76" t="s">
        <v>3680</v>
      </c>
      <c r="H1499" s="80" t="s">
        <v>3687</v>
      </c>
      <c r="I1499" s="81" t="s">
        <v>67</v>
      </c>
      <c r="J1499" s="81" t="s">
        <v>31</v>
      </c>
      <c r="K1499" s="81" t="s">
        <v>31</v>
      </c>
      <c r="L1499" s="81" t="s">
        <v>32</v>
      </c>
      <c r="M1499" s="81" t="s">
        <v>31</v>
      </c>
      <c r="N1499" s="81" t="s">
        <v>31</v>
      </c>
      <c r="O1499" s="81" t="s">
        <v>32</v>
      </c>
      <c r="P1499" s="81" t="s">
        <v>33</v>
      </c>
      <c r="Q1499" s="2">
        <v>46030</v>
      </c>
      <c r="R1499" s="45"/>
      <c r="S1499" s="45"/>
      <c r="T1499" s="45"/>
      <c r="U1499" s="45"/>
      <c r="V1499" s="45">
        <f>IF(OR(ISNUMBER(SEARCH("unable to locate acct",G1499)),ISNUMBER(SEARCH("unknown",G1499)),ISNUMBER(SEARCH("inactive",G1499)),H1499=""),0,1)</f>
        <v>1</v>
      </c>
    </row>
    <row r="1500" spans="1:23">
      <c r="A1500" s="74">
        <v>46028</v>
      </c>
      <c r="B1500" s="45" t="s">
        <v>3140</v>
      </c>
      <c r="C1500" s="45" t="s">
        <v>3600</v>
      </c>
      <c r="D1500" s="45" t="s">
        <v>196</v>
      </c>
      <c r="E1500" s="45">
        <v>85354</v>
      </c>
      <c r="F1500" s="45" t="s">
        <v>3688</v>
      </c>
      <c r="G1500" s="76" t="s">
        <v>3689</v>
      </c>
      <c r="H1500" s="80" t="s">
        <v>3690</v>
      </c>
      <c r="I1500" s="81" t="s">
        <v>30</v>
      </c>
      <c r="J1500" s="81" t="s">
        <v>31</v>
      </c>
      <c r="K1500" s="81" t="s">
        <v>31</v>
      </c>
      <c r="L1500" s="81" t="s">
        <v>32</v>
      </c>
      <c r="M1500" s="81" t="s">
        <v>31</v>
      </c>
      <c r="N1500" s="81" t="s">
        <v>31</v>
      </c>
      <c r="O1500" s="81" t="s">
        <v>32</v>
      </c>
      <c r="P1500" s="81" t="s">
        <v>33</v>
      </c>
      <c r="Q1500" s="2">
        <v>46030</v>
      </c>
      <c r="R1500" s="45"/>
      <c r="S1500" s="45"/>
      <c r="T1500" s="45"/>
      <c r="U1500" s="45"/>
      <c r="V1500" s="45">
        <f>IF(OR(ISNUMBER(SEARCH("unable to locate acct",G1500)),ISNUMBER(SEARCH("unknown",G1500)),ISNUMBER(SEARCH("inactive",G1500)),H1500=""),0,1)</f>
        <v>1</v>
      </c>
    </row>
    <row r="1501" spans="1:23">
      <c r="A1501" s="74">
        <v>46028</v>
      </c>
      <c r="B1501" s="45" t="s">
        <v>3691</v>
      </c>
      <c r="C1501" s="45" t="s">
        <v>3692</v>
      </c>
      <c r="D1501" s="45" t="s">
        <v>87</v>
      </c>
      <c r="E1501" s="45">
        <v>85373</v>
      </c>
      <c r="F1501" s="45" t="s">
        <v>3693</v>
      </c>
      <c r="G1501" s="76" t="s">
        <v>3689</v>
      </c>
      <c r="H1501" s="80" t="s">
        <v>3694</v>
      </c>
      <c r="I1501" s="81" t="s">
        <v>190</v>
      </c>
      <c r="J1501" s="81" t="s">
        <v>31</v>
      </c>
      <c r="K1501" s="81" t="s">
        <v>31</v>
      </c>
      <c r="L1501" s="81" t="s">
        <v>32</v>
      </c>
      <c r="M1501" s="81" t="s">
        <v>31</v>
      </c>
      <c r="N1501" s="81" t="s">
        <v>31</v>
      </c>
      <c r="O1501" s="81" t="s">
        <v>32</v>
      </c>
      <c r="P1501" s="81" t="s">
        <v>33</v>
      </c>
      <c r="Q1501" s="2">
        <v>46030</v>
      </c>
      <c r="R1501" s="45"/>
      <c r="S1501" s="45"/>
      <c r="T1501" s="45"/>
      <c r="U1501" s="45"/>
      <c r="V1501" s="45">
        <f>IF(OR(ISNUMBER(SEARCH("unable to locate acct",G1501)),ISNUMBER(SEARCH("unknown",G1501)),ISNUMBER(SEARCH("inactive",G1501)),H1501=""),0,1)</f>
        <v>1</v>
      </c>
    </row>
    <row r="1502" spans="1:23">
      <c r="A1502" s="74">
        <v>46028</v>
      </c>
      <c r="B1502" s="45" t="s">
        <v>3695</v>
      </c>
      <c r="C1502" s="45" t="s">
        <v>3696</v>
      </c>
      <c r="D1502" s="45" t="s">
        <v>24</v>
      </c>
      <c r="E1502" s="45" t="s">
        <v>24</v>
      </c>
      <c r="F1502" s="45" t="s">
        <v>3697</v>
      </c>
      <c r="G1502" s="76" t="s">
        <v>3689</v>
      </c>
      <c r="H1502" s="80" t="s">
        <v>21</v>
      </c>
      <c r="I1502" s="81"/>
      <c r="J1502" s="81"/>
      <c r="K1502" s="81"/>
      <c r="L1502" s="81"/>
      <c r="M1502" s="81"/>
      <c r="N1502" s="81"/>
      <c r="O1502" s="81"/>
      <c r="P1502" s="81"/>
      <c r="R1502" s="45"/>
      <c r="S1502" s="45"/>
      <c r="T1502" s="45"/>
      <c r="U1502" s="45"/>
      <c r="V1502" s="45">
        <f>IF(OR(ISNUMBER(SEARCH("unable to locate acct",G1502)),ISNUMBER(SEARCH("unknown",G1502)),ISNUMBER(SEARCH("inactive",G1502)),H1502=""),0,1)</f>
        <v>1</v>
      </c>
    </row>
    <row r="1503" spans="1:23">
      <c r="A1503" s="74">
        <v>46029</v>
      </c>
      <c r="B1503" s="45" t="s">
        <v>3698</v>
      </c>
      <c r="C1503" s="45" t="s">
        <v>3699</v>
      </c>
      <c r="D1503" s="45" t="s">
        <v>24</v>
      </c>
      <c r="E1503" s="45" t="s">
        <v>24</v>
      </c>
      <c r="F1503" s="45" t="s">
        <v>3329</v>
      </c>
      <c r="G1503" s="76" t="s">
        <v>3700</v>
      </c>
      <c r="H1503" s="80" t="s">
        <v>21</v>
      </c>
      <c r="I1503" s="81"/>
      <c r="J1503" s="81"/>
      <c r="K1503" s="81"/>
      <c r="L1503" s="81"/>
      <c r="M1503" s="81"/>
      <c r="N1503" s="81"/>
      <c r="O1503" s="81"/>
      <c r="P1503" s="81"/>
      <c r="R1503" s="45" t="s">
        <v>3701</v>
      </c>
      <c r="S1503" s="45"/>
      <c r="T1503" s="45"/>
      <c r="U1503" s="45"/>
      <c r="V1503" s="45">
        <f>IF(OR(ISNUMBER(SEARCH("unable to locate acct",G1503)),ISNUMBER(SEARCH("unknown",G1503)),ISNUMBER(SEARCH("inactive",G1503)),H1503=""),0,1)</f>
        <v>1</v>
      </c>
    </row>
    <row r="1504" spans="1:23">
      <c r="A1504" s="74">
        <v>46031</v>
      </c>
      <c r="B1504" s="45" t="s">
        <v>3702</v>
      </c>
      <c r="C1504" s="45" t="s">
        <v>301</v>
      </c>
      <c r="D1504" s="45" t="s">
        <v>57</v>
      </c>
      <c r="E1504" s="45">
        <v>85029</v>
      </c>
      <c r="F1504" s="45" t="s">
        <v>3703</v>
      </c>
      <c r="G1504" s="76" t="s">
        <v>3704</v>
      </c>
      <c r="H1504" s="80" t="s">
        <v>3705</v>
      </c>
      <c r="I1504" s="81" t="s">
        <v>30</v>
      </c>
      <c r="J1504" s="81" t="s">
        <v>31</v>
      </c>
      <c r="K1504" s="81" t="s">
        <v>31</v>
      </c>
      <c r="L1504" s="81" t="s">
        <v>32</v>
      </c>
      <c r="M1504" s="81" t="s">
        <v>31</v>
      </c>
      <c r="N1504" s="81" t="s">
        <v>31</v>
      </c>
      <c r="O1504" s="81" t="s">
        <v>32</v>
      </c>
      <c r="P1504" s="81"/>
      <c r="Q1504" s="41">
        <v>46034</v>
      </c>
      <c r="R1504" s="45" t="s">
        <v>3706</v>
      </c>
      <c r="S1504" s="45"/>
      <c r="T1504" s="45"/>
      <c r="U1504" s="45"/>
      <c r="V1504" s="45">
        <f>IF(OR(ISNUMBER(SEARCH("unable to locate acct",G1504)),ISNUMBER(SEARCH("unknown",G1504)),ISNUMBER(SEARCH("inactive",G1504)),H1504=""),0,1)</f>
        <v>1</v>
      </c>
      <c r="W1504" s="32"/>
    </row>
    <row r="1505" spans="1:22">
      <c r="A1505" s="74">
        <v>46035</v>
      </c>
      <c r="B1505" s="45" t="s">
        <v>2528</v>
      </c>
      <c r="C1505" s="45" t="s">
        <v>1389</v>
      </c>
      <c r="D1505" s="45" t="s">
        <v>689</v>
      </c>
      <c r="E1505" s="45">
        <v>85375</v>
      </c>
      <c r="F1505" s="45" t="s">
        <v>3707</v>
      </c>
      <c r="G1505" s="76" t="s">
        <v>3708</v>
      </c>
      <c r="H1505" s="80" t="s">
        <v>2529</v>
      </c>
      <c r="I1505" s="81" t="s">
        <v>51</v>
      </c>
      <c r="J1505" s="81" t="s">
        <v>31</v>
      </c>
      <c r="K1505" s="81" t="s">
        <v>135</v>
      </c>
      <c r="L1505" s="81" t="s">
        <v>3709</v>
      </c>
      <c r="M1505" s="81" t="s">
        <v>31</v>
      </c>
      <c r="N1505" s="81" t="s">
        <v>31</v>
      </c>
      <c r="O1505" s="81" t="s">
        <v>32</v>
      </c>
      <c r="P1505" s="81" t="s">
        <v>33</v>
      </c>
      <c r="Q1505" s="2">
        <v>46036</v>
      </c>
      <c r="R1505" s="45" t="s">
        <v>3701</v>
      </c>
      <c r="S1505" s="45"/>
      <c r="T1505" s="45"/>
      <c r="U1505" s="45"/>
      <c r="V1505" s="45">
        <f>IF(OR(ISNUMBER(SEARCH("unable to locate acct",G1505)),ISNUMBER(SEARCH("unknown",G1505)),ISNUMBER(SEARCH("inactive",G1505)),H1505=""),0,1)</f>
        <v>1</v>
      </c>
    </row>
    <row r="1506" spans="1:22">
      <c r="A1506" s="74">
        <v>46037</v>
      </c>
      <c r="B1506" s="45" t="s">
        <v>2353</v>
      </c>
      <c r="C1506" s="45" t="s">
        <v>3710</v>
      </c>
      <c r="D1506" s="45" t="s">
        <v>801</v>
      </c>
      <c r="E1506" s="45">
        <v>86303</v>
      </c>
      <c r="F1506" s="45" t="s">
        <v>3711</v>
      </c>
      <c r="G1506" s="76" t="s">
        <v>3712</v>
      </c>
      <c r="H1506" s="80" t="s">
        <v>5366</v>
      </c>
      <c r="I1506" s="81" t="s">
        <v>120</v>
      </c>
      <c r="J1506" s="81" t="s">
        <v>31</v>
      </c>
      <c r="K1506" s="81" t="s">
        <v>31</v>
      </c>
      <c r="L1506" s="81" t="s">
        <v>32</v>
      </c>
      <c r="M1506" s="81" t="s">
        <v>31</v>
      </c>
      <c r="N1506" s="81" t="s">
        <v>31</v>
      </c>
      <c r="O1506" s="81" t="s">
        <v>32</v>
      </c>
      <c r="P1506" s="81" t="s">
        <v>33</v>
      </c>
      <c r="Q1506" s="33">
        <v>46044</v>
      </c>
      <c r="R1506" s="45"/>
      <c r="S1506" s="45"/>
      <c r="T1506" s="45"/>
      <c r="U1506" s="45"/>
      <c r="V1506" s="45">
        <f>IF(OR(ISNUMBER(SEARCH("unable to locate acct",G1506)),ISNUMBER(SEARCH("unknown",G1506)),ISNUMBER(SEARCH("inactive",G1506)),H1506=""),0,1)</f>
        <v>1</v>
      </c>
    </row>
    <row r="1507" spans="1:22">
      <c r="A1507" s="74">
        <v>46037</v>
      </c>
      <c r="B1507" s="45" t="s">
        <v>3713</v>
      </c>
      <c r="C1507" s="45" t="s">
        <v>432</v>
      </c>
      <c r="D1507" s="45" t="s">
        <v>234</v>
      </c>
      <c r="E1507" s="45">
        <v>85340</v>
      </c>
      <c r="F1507" s="45" t="s">
        <v>3714</v>
      </c>
      <c r="G1507" s="76" t="s">
        <v>3712</v>
      </c>
      <c r="H1507" s="80" t="s">
        <v>5367</v>
      </c>
      <c r="I1507" s="81" t="s">
        <v>30</v>
      </c>
      <c r="J1507" s="81" t="s">
        <v>31</v>
      </c>
      <c r="K1507" s="81" t="s">
        <v>31</v>
      </c>
      <c r="L1507" s="81" t="s">
        <v>32</v>
      </c>
      <c r="M1507" s="81" t="s">
        <v>31</v>
      </c>
      <c r="N1507" s="81" t="s">
        <v>31</v>
      </c>
      <c r="O1507" s="81" t="s">
        <v>32</v>
      </c>
      <c r="P1507" s="81" t="s">
        <v>33</v>
      </c>
      <c r="Q1507" s="33">
        <v>46044</v>
      </c>
      <c r="R1507" s="45"/>
      <c r="S1507" s="45"/>
      <c r="T1507" s="45"/>
      <c r="U1507" s="45"/>
      <c r="V1507" s="45">
        <f>IF(OR(ISNUMBER(SEARCH("unable to locate acct",G1507)),ISNUMBER(SEARCH("unknown",G1507)),ISNUMBER(SEARCH("inactive",G1507)),H1507=""),0,1)</f>
        <v>1</v>
      </c>
    </row>
    <row r="1508" spans="1:22">
      <c r="A1508" s="74">
        <v>46037</v>
      </c>
      <c r="B1508" s="45" t="s">
        <v>3715</v>
      </c>
      <c r="C1508" s="45" t="s">
        <v>3716</v>
      </c>
      <c r="D1508" s="45" t="s">
        <v>168</v>
      </c>
      <c r="E1508" s="45">
        <v>85396</v>
      </c>
      <c r="F1508" s="45" t="s">
        <v>3717</v>
      </c>
      <c r="G1508" s="76" t="s">
        <v>3712</v>
      </c>
      <c r="H1508" s="80" t="s">
        <v>5368</v>
      </c>
      <c r="I1508" s="81" t="s">
        <v>532</v>
      </c>
      <c r="J1508" s="81" t="s">
        <v>31</v>
      </c>
      <c r="K1508" s="81" t="s">
        <v>31</v>
      </c>
      <c r="L1508" s="81" t="s">
        <v>3543</v>
      </c>
      <c r="M1508" s="81" t="s">
        <v>31</v>
      </c>
      <c r="N1508" s="81" t="s">
        <v>31</v>
      </c>
      <c r="O1508" s="81" t="s">
        <v>32</v>
      </c>
      <c r="P1508" s="81" t="s">
        <v>33</v>
      </c>
      <c r="Q1508" s="33">
        <v>46044</v>
      </c>
      <c r="R1508" s="45"/>
      <c r="S1508" s="45"/>
      <c r="T1508" s="45"/>
      <c r="U1508" s="45"/>
      <c r="V1508" s="45">
        <f>IF(OR(ISNUMBER(SEARCH("unable to locate acct",G1508)),ISNUMBER(SEARCH("unknown",G1508)),ISNUMBER(SEARCH("inactive",G1508)),H1508=""),0,1)</f>
        <v>1</v>
      </c>
    </row>
    <row r="1509" spans="1:22">
      <c r="A1509" s="74">
        <v>46037</v>
      </c>
      <c r="B1509" s="45" t="s">
        <v>3718</v>
      </c>
      <c r="C1509" s="45" t="s">
        <v>544</v>
      </c>
      <c r="D1509" s="45" t="s">
        <v>196</v>
      </c>
      <c r="E1509" s="45">
        <v>85383</v>
      </c>
      <c r="F1509" s="45" t="s">
        <v>3719</v>
      </c>
      <c r="G1509" s="76" t="s">
        <v>3712</v>
      </c>
      <c r="H1509" s="80" t="s">
        <v>5369</v>
      </c>
      <c r="I1509" s="81" t="s">
        <v>1346</v>
      </c>
      <c r="J1509" s="81" t="s">
        <v>31</v>
      </c>
      <c r="K1509" s="81" t="s">
        <v>31</v>
      </c>
      <c r="L1509" s="81" t="s">
        <v>3543</v>
      </c>
      <c r="M1509" s="81" t="s">
        <v>31</v>
      </c>
      <c r="N1509" s="81" t="s">
        <v>31</v>
      </c>
      <c r="O1509" s="81" t="s">
        <v>32</v>
      </c>
      <c r="P1509" s="81" t="s">
        <v>33</v>
      </c>
      <c r="Q1509" s="33">
        <v>46044</v>
      </c>
      <c r="R1509" s="45"/>
      <c r="S1509" s="45"/>
      <c r="T1509" s="45"/>
      <c r="U1509" s="45"/>
      <c r="V1509" s="45">
        <f>IF(OR(ISNUMBER(SEARCH("unable to locate acct",G1509)),ISNUMBER(SEARCH("unknown",G1509)),ISNUMBER(SEARCH("inactive",G1509)),H1509=""),0,1)</f>
        <v>1</v>
      </c>
    </row>
    <row r="1510" spans="1:22">
      <c r="A1510" s="74">
        <v>46037</v>
      </c>
      <c r="B1510" s="45" t="s">
        <v>221</v>
      </c>
      <c r="C1510" s="45" t="s">
        <v>2586</v>
      </c>
      <c r="D1510" s="45" t="s">
        <v>728</v>
      </c>
      <c r="E1510" s="45">
        <v>86326</v>
      </c>
      <c r="F1510" s="45" t="s">
        <v>3720</v>
      </c>
      <c r="G1510" s="76" t="s">
        <v>3712</v>
      </c>
      <c r="H1510" s="80" t="s">
        <v>21</v>
      </c>
      <c r="I1510" s="81"/>
      <c r="J1510" s="81"/>
      <c r="K1510" s="81"/>
      <c r="L1510" s="81"/>
      <c r="M1510" s="81"/>
      <c r="N1510" s="81"/>
      <c r="O1510" s="81"/>
      <c r="P1510" s="81"/>
      <c r="Q1510" s="18"/>
      <c r="R1510" s="45"/>
      <c r="S1510" s="45"/>
      <c r="T1510" s="45"/>
      <c r="U1510" s="45"/>
      <c r="V1510" s="45">
        <f>IF(OR(ISNUMBER(SEARCH("unable to locate acct",G1510)),ISNUMBER(SEARCH("unknown",G1510)),ISNUMBER(SEARCH("inactive",G1510)),H1510=""),0,1)</f>
        <v>1</v>
      </c>
    </row>
    <row r="1511" spans="1:22">
      <c r="A1511" s="74">
        <v>46037</v>
      </c>
      <c r="B1511" s="45" t="s">
        <v>803</v>
      </c>
      <c r="C1511" s="45" t="s">
        <v>432</v>
      </c>
      <c r="D1511" s="45" t="s">
        <v>163</v>
      </c>
      <c r="E1511" s="45">
        <v>85338</v>
      </c>
      <c r="F1511" s="45" t="s">
        <v>3721</v>
      </c>
      <c r="G1511" s="76" t="s">
        <v>3712</v>
      </c>
      <c r="H1511" s="80" t="s">
        <v>5124</v>
      </c>
      <c r="I1511" s="81" t="s">
        <v>244</v>
      </c>
      <c r="J1511" s="81" t="s">
        <v>31</v>
      </c>
      <c r="K1511" s="81" t="s">
        <v>31</v>
      </c>
      <c r="L1511" s="81" t="s">
        <v>32</v>
      </c>
      <c r="M1511" s="81" t="s">
        <v>31</v>
      </c>
      <c r="N1511" s="81" t="s">
        <v>31</v>
      </c>
      <c r="O1511" s="81" t="s">
        <v>32</v>
      </c>
      <c r="P1511" s="81" t="s">
        <v>33</v>
      </c>
      <c r="Q1511" s="33">
        <v>46044</v>
      </c>
      <c r="R1511" s="45"/>
      <c r="S1511" s="45"/>
      <c r="T1511" s="45"/>
      <c r="U1511" s="45"/>
      <c r="V1511" s="45">
        <f>IF(OR(ISNUMBER(SEARCH("unable to locate acct",G1511)),ISNUMBER(SEARCH("unknown",G1511)),ISNUMBER(SEARCH("inactive",G1511)),H1511=""),0,1)</f>
        <v>1</v>
      </c>
    </row>
    <row r="1512" spans="1:22">
      <c r="A1512" s="74">
        <v>46037</v>
      </c>
      <c r="B1512" s="45" t="s">
        <v>3722</v>
      </c>
      <c r="C1512" s="45" t="s">
        <v>1602</v>
      </c>
      <c r="D1512" s="45" t="s">
        <v>3723</v>
      </c>
      <c r="E1512" s="45">
        <v>86332</v>
      </c>
      <c r="F1512" s="45" t="s">
        <v>3724</v>
      </c>
      <c r="G1512" s="76" t="s">
        <v>3712</v>
      </c>
      <c r="H1512" s="80" t="s">
        <v>5370</v>
      </c>
      <c r="I1512" s="81" t="s">
        <v>67</v>
      </c>
      <c r="J1512" s="81" t="s">
        <v>31</v>
      </c>
      <c r="K1512" s="81" t="s">
        <v>31</v>
      </c>
      <c r="L1512" s="81" t="s">
        <v>32</v>
      </c>
      <c r="M1512" s="81" t="s">
        <v>31</v>
      </c>
      <c r="N1512" s="81" t="s">
        <v>31</v>
      </c>
      <c r="O1512" s="81" t="s">
        <v>32</v>
      </c>
      <c r="P1512" s="81" t="s">
        <v>33</v>
      </c>
      <c r="Q1512" s="33">
        <v>45679</v>
      </c>
      <c r="R1512" s="45"/>
      <c r="S1512" s="45"/>
      <c r="T1512" s="45"/>
      <c r="U1512" s="45"/>
      <c r="V1512" s="45">
        <f>IF(OR(ISNUMBER(SEARCH("unable to locate acct",G1512)),ISNUMBER(SEARCH("unknown",G1512)),ISNUMBER(SEARCH("inactive",G1512)),H1512=""),0,1)</f>
        <v>1</v>
      </c>
    </row>
    <row r="1513" spans="1:22">
      <c r="A1513" s="74">
        <v>46037</v>
      </c>
      <c r="B1513" s="45" t="s">
        <v>3725</v>
      </c>
      <c r="C1513" s="45" t="s">
        <v>240</v>
      </c>
      <c r="D1513" s="45" t="s">
        <v>196</v>
      </c>
      <c r="E1513" s="45">
        <v>85383</v>
      </c>
      <c r="F1513" s="45" t="s">
        <v>3726</v>
      </c>
      <c r="G1513" s="76" t="s">
        <v>3712</v>
      </c>
      <c r="H1513" s="80" t="s">
        <v>5371</v>
      </c>
      <c r="I1513" s="81" t="s">
        <v>40</v>
      </c>
      <c r="J1513" s="81" t="s">
        <v>31</v>
      </c>
      <c r="K1513" s="81" t="s">
        <v>31</v>
      </c>
      <c r="L1513" s="81" t="s">
        <v>32</v>
      </c>
      <c r="M1513" s="81" t="s">
        <v>31</v>
      </c>
      <c r="N1513" s="81" t="s">
        <v>31</v>
      </c>
      <c r="O1513" s="81" t="s">
        <v>32</v>
      </c>
      <c r="P1513" s="81" t="s">
        <v>33</v>
      </c>
      <c r="Q1513" s="33">
        <v>45679</v>
      </c>
      <c r="R1513" s="45"/>
      <c r="S1513" s="45"/>
      <c r="T1513" s="45"/>
      <c r="U1513" s="45"/>
      <c r="V1513" s="45">
        <f>IF(OR(ISNUMBER(SEARCH("unable to locate acct",G1513)),ISNUMBER(SEARCH("unknown",G1513)),ISNUMBER(SEARCH("inactive",G1513)),H1513=""),0,1)</f>
        <v>1</v>
      </c>
    </row>
    <row r="1514" spans="1:22">
      <c r="A1514" s="74">
        <v>46037</v>
      </c>
      <c r="B1514" s="45" t="s">
        <v>2082</v>
      </c>
      <c r="C1514" s="45" t="s">
        <v>1598</v>
      </c>
      <c r="D1514" s="45" t="s">
        <v>106</v>
      </c>
      <c r="E1514" s="45">
        <v>85387</v>
      </c>
      <c r="F1514" s="45" t="s">
        <v>3727</v>
      </c>
      <c r="G1514" s="76" t="s">
        <v>3712</v>
      </c>
      <c r="H1514" s="80" t="s">
        <v>5053</v>
      </c>
      <c r="I1514" s="81" t="s">
        <v>120</v>
      </c>
      <c r="J1514" s="81" t="s">
        <v>31</v>
      </c>
      <c r="K1514" s="81" t="s">
        <v>31</v>
      </c>
      <c r="L1514" s="81" t="s">
        <v>3728</v>
      </c>
      <c r="M1514" s="81" t="s">
        <v>31</v>
      </c>
      <c r="N1514" s="81" t="s">
        <v>31</v>
      </c>
      <c r="O1514" s="81" t="s">
        <v>32</v>
      </c>
      <c r="P1514" s="81" t="s">
        <v>33</v>
      </c>
      <c r="Q1514" s="33">
        <v>46044</v>
      </c>
      <c r="R1514" s="45"/>
      <c r="S1514" s="45"/>
      <c r="T1514" s="45"/>
      <c r="U1514" s="45"/>
      <c r="V1514" s="45">
        <f>IF(OR(ISNUMBER(SEARCH("unable to locate acct",G1514)),ISNUMBER(SEARCH("unknown",G1514)),ISNUMBER(SEARCH("inactive",G1514)),H1514=""),0,1)</f>
        <v>1</v>
      </c>
    </row>
    <row r="1515" spans="1:22">
      <c r="A1515" s="74">
        <v>46037</v>
      </c>
      <c r="B1515" s="45" t="s">
        <v>3729</v>
      </c>
      <c r="C1515" s="45" t="s">
        <v>2822</v>
      </c>
      <c r="D1515" s="45" t="s">
        <v>106</v>
      </c>
      <c r="E1515" s="45">
        <v>85387</v>
      </c>
      <c r="F1515" s="45" t="s">
        <v>3730</v>
      </c>
      <c r="G1515" s="76" t="s">
        <v>3712</v>
      </c>
      <c r="H1515" s="80" t="s">
        <v>5326</v>
      </c>
      <c r="I1515" s="81" t="s">
        <v>30</v>
      </c>
      <c r="J1515" s="81" t="s">
        <v>31</v>
      </c>
      <c r="K1515" s="81" t="s">
        <v>31</v>
      </c>
      <c r="L1515" s="81" t="s">
        <v>32</v>
      </c>
      <c r="M1515" s="81" t="s">
        <v>31</v>
      </c>
      <c r="N1515" s="81" t="s">
        <v>31</v>
      </c>
      <c r="O1515" s="81" t="s">
        <v>32</v>
      </c>
      <c r="P1515" s="81" t="s">
        <v>33</v>
      </c>
      <c r="Q1515" s="33">
        <v>46044</v>
      </c>
      <c r="R1515" s="45"/>
      <c r="S1515" s="45"/>
      <c r="T1515" s="45"/>
      <c r="U1515" s="45"/>
      <c r="V1515" s="45">
        <f>IF(OR(ISNUMBER(SEARCH("unable to locate acct",G1515)),ISNUMBER(SEARCH("unknown",G1515)),ISNUMBER(SEARCH("inactive",G1515)),H1515=""),0,1)</f>
        <v>1</v>
      </c>
    </row>
    <row r="1516" spans="1:22">
      <c r="A1516" s="74">
        <v>46037</v>
      </c>
      <c r="B1516" s="45" t="s">
        <v>3731</v>
      </c>
      <c r="C1516" s="45" t="s">
        <v>278</v>
      </c>
      <c r="D1516" s="45" t="s">
        <v>196</v>
      </c>
      <c r="E1516" s="45">
        <v>85383</v>
      </c>
      <c r="F1516" s="45" t="s">
        <v>3732</v>
      </c>
      <c r="G1516" s="76" t="s">
        <v>3712</v>
      </c>
      <c r="H1516" s="80" t="s">
        <v>5106</v>
      </c>
      <c r="I1516" s="81" t="s">
        <v>30</v>
      </c>
      <c r="J1516" s="81" t="s">
        <v>31</v>
      </c>
      <c r="K1516" s="81" t="s">
        <v>31</v>
      </c>
      <c r="L1516" s="81" t="s">
        <v>32</v>
      </c>
      <c r="M1516" s="81" t="s">
        <v>32</v>
      </c>
      <c r="N1516" s="82">
        <v>811.15</v>
      </c>
      <c r="O1516" s="81" t="s">
        <v>32</v>
      </c>
      <c r="P1516" s="81"/>
      <c r="Q1516" s="41">
        <v>46044</v>
      </c>
      <c r="R1516" s="45" t="s">
        <v>3706</v>
      </c>
      <c r="S1516" s="45"/>
      <c r="T1516" s="45"/>
      <c r="U1516" s="45"/>
      <c r="V1516" s="45">
        <f>IF(OR(ISNUMBER(SEARCH("unable to locate acct",G1516)),ISNUMBER(SEARCH("unknown",G1516)),ISNUMBER(SEARCH("inactive",G1516)),H1516=""),0,1)</f>
        <v>1</v>
      </c>
    </row>
    <row r="1517" spans="1:22">
      <c r="A1517" s="74">
        <v>46037</v>
      </c>
      <c r="B1517" s="45" t="s">
        <v>3733</v>
      </c>
      <c r="C1517" s="45" t="s">
        <v>688</v>
      </c>
      <c r="D1517" s="45" t="s">
        <v>57</v>
      </c>
      <c r="E1517" s="45">
        <v>85083</v>
      </c>
      <c r="F1517" s="45" t="s">
        <v>3734</v>
      </c>
      <c r="G1517" s="76" t="s">
        <v>3712</v>
      </c>
      <c r="H1517" s="80" t="s">
        <v>5372</v>
      </c>
      <c r="I1517" s="81" t="s">
        <v>30</v>
      </c>
      <c r="J1517" s="81" t="s">
        <v>31</v>
      </c>
      <c r="K1517" s="81" t="s">
        <v>31</v>
      </c>
      <c r="L1517" s="81" t="s">
        <v>32</v>
      </c>
      <c r="M1517" s="81" t="s">
        <v>31</v>
      </c>
      <c r="N1517" s="81" t="s">
        <v>31</v>
      </c>
      <c r="O1517" s="81" t="s">
        <v>32</v>
      </c>
      <c r="P1517" s="81" t="s">
        <v>33</v>
      </c>
      <c r="Q1517" s="33">
        <v>46044</v>
      </c>
      <c r="R1517" s="45" t="s">
        <v>3701</v>
      </c>
      <c r="S1517" s="45"/>
      <c r="T1517" s="45"/>
      <c r="U1517" s="45"/>
      <c r="V1517" s="45">
        <f>IF(OR(ISNUMBER(SEARCH("unable to locate acct",G1517)),ISNUMBER(SEARCH("unknown",G1517)),ISNUMBER(SEARCH("inactive",G1517)),H1517=""),0,1)</f>
        <v>1</v>
      </c>
    </row>
    <row r="1518" spans="1:22">
      <c r="A1518" s="74">
        <v>46038</v>
      </c>
      <c r="B1518" s="45" t="s">
        <v>3735</v>
      </c>
      <c r="C1518" s="45" t="s">
        <v>96</v>
      </c>
      <c r="D1518" s="45" t="s">
        <v>106</v>
      </c>
      <c r="E1518" s="45">
        <v>85374</v>
      </c>
      <c r="F1518" s="45" t="s">
        <v>3736</v>
      </c>
      <c r="G1518" s="76" t="s">
        <v>3737</v>
      </c>
      <c r="H1518" s="80" t="s">
        <v>5054</v>
      </c>
      <c r="I1518" s="81" t="s">
        <v>190</v>
      </c>
      <c r="J1518" s="81" t="s">
        <v>31</v>
      </c>
      <c r="K1518" s="81" t="s">
        <v>31</v>
      </c>
      <c r="L1518" s="81" t="s">
        <v>3738</v>
      </c>
      <c r="M1518" s="81" t="s">
        <v>31</v>
      </c>
      <c r="N1518" s="81" t="s">
        <v>31</v>
      </c>
      <c r="O1518" s="81" t="s">
        <v>32</v>
      </c>
      <c r="P1518" s="81"/>
      <c r="Q1518" s="41">
        <v>46044</v>
      </c>
      <c r="R1518" s="45" t="s">
        <v>3468</v>
      </c>
      <c r="S1518" s="45"/>
      <c r="T1518" s="45"/>
      <c r="U1518" s="45"/>
      <c r="V1518" s="45">
        <f>IF(OR(ISNUMBER(SEARCH("unable to locate acct",G1518)),ISNUMBER(SEARCH("unknown",G1518)),ISNUMBER(SEARCH("inactive",G1518)),H1518=""),0,1)</f>
        <v>1</v>
      </c>
    </row>
    <row r="1519" spans="1:22">
      <c r="A1519" s="74">
        <v>46038</v>
      </c>
      <c r="B1519" s="45" t="s">
        <v>3548</v>
      </c>
      <c r="C1519" s="45" t="s">
        <v>2321</v>
      </c>
      <c r="D1519" s="45" t="s">
        <v>57</v>
      </c>
      <c r="E1519" s="45">
        <v>85028</v>
      </c>
      <c r="F1519" s="45" t="s">
        <v>3739</v>
      </c>
      <c r="G1519" s="76" t="s">
        <v>3737</v>
      </c>
      <c r="H1519" s="80" t="s">
        <v>5055</v>
      </c>
      <c r="I1519" s="81" t="s">
        <v>190</v>
      </c>
      <c r="J1519" s="81" t="s">
        <v>31</v>
      </c>
      <c r="K1519" s="81" t="s">
        <v>31</v>
      </c>
      <c r="L1519" s="81" t="s">
        <v>3740</v>
      </c>
      <c r="M1519" s="81" t="s">
        <v>31</v>
      </c>
      <c r="N1519" s="81" t="s">
        <v>31</v>
      </c>
      <c r="O1519" s="81" t="s">
        <v>32</v>
      </c>
      <c r="P1519" s="81"/>
      <c r="Q1519" s="41">
        <v>46044</v>
      </c>
      <c r="R1519" s="45" t="s">
        <v>3468</v>
      </c>
      <c r="S1519" s="45"/>
      <c r="T1519" s="45"/>
      <c r="U1519" s="45"/>
      <c r="V1519" s="45">
        <f>IF(OR(ISNUMBER(SEARCH("unable to locate acct",G1519)),ISNUMBER(SEARCH("unknown",G1519)),ISNUMBER(SEARCH("inactive",G1519)),H1519=""),0,1)</f>
        <v>1</v>
      </c>
    </row>
    <row r="1520" spans="1:22">
      <c r="A1520" s="74">
        <v>46038</v>
      </c>
      <c r="B1520" s="45" t="s">
        <v>3628</v>
      </c>
      <c r="C1520" s="45" t="s">
        <v>1438</v>
      </c>
      <c r="D1520" s="45" t="s">
        <v>119</v>
      </c>
      <c r="E1520" s="45">
        <v>85266</v>
      </c>
      <c r="F1520" s="45" t="s">
        <v>3741</v>
      </c>
      <c r="G1520" s="76" t="s">
        <v>3737</v>
      </c>
      <c r="H1520" s="80" t="s">
        <v>5373</v>
      </c>
      <c r="I1520" s="81" t="s">
        <v>532</v>
      </c>
      <c r="J1520" s="81" t="s">
        <v>31</v>
      </c>
      <c r="K1520" s="81" t="s">
        <v>31</v>
      </c>
      <c r="L1520" s="81" t="s">
        <v>3543</v>
      </c>
      <c r="M1520" s="81" t="s">
        <v>31</v>
      </c>
      <c r="N1520" s="81" t="s">
        <v>31</v>
      </c>
      <c r="O1520" s="81" t="s">
        <v>32</v>
      </c>
      <c r="P1520" s="81" t="s">
        <v>33</v>
      </c>
      <c r="Q1520" s="33">
        <v>46044</v>
      </c>
      <c r="R1520" s="45" t="s">
        <v>3742</v>
      </c>
      <c r="S1520" s="45"/>
      <c r="T1520" s="45"/>
      <c r="U1520" s="45"/>
      <c r="V1520" s="45">
        <f>IF(OR(ISNUMBER(SEARCH("unable to locate acct",G1520)),ISNUMBER(SEARCH("unknown",G1520)),ISNUMBER(SEARCH("inactive",G1520)),H1520=""),0,1)</f>
        <v>1</v>
      </c>
    </row>
    <row r="1521" spans="1:22">
      <c r="A1521" s="74">
        <v>46038</v>
      </c>
      <c r="B1521" s="45" t="s">
        <v>3743</v>
      </c>
      <c r="C1521" s="45" t="s">
        <v>3744</v>
      </c>
      <c r="D1521" s="45" t="s">
        <v>57</v>
      </c>
      <c r="E1521" s="45">
        <v>85020</v>
      </c>
      <c r="F1521" s="45" t="s">
        <v>3745</v>
      </c>
      <c r="G1521" s="76" t="s">
        <v>3737</v>
      </c>
      <c r="H1521" s="80" t="s">
        <v>21</v>
      </c>
      <c r="I1521" s="81"/>
      <c r="J1521" s="81"/>
      <c r="K1521" s="81"/>
      <c r="L1521" s="81"/>
      <c r="M1521" s="81"/>
      <c r="N1521" s="81"/>
      <c r="O1521" s="81"/>
      <c r="P1521" s="81"/>
      <c r="Q1521" s="18"/>
      <c r="R1521" s="45"/>
      <c r="S1521" s="45"/>
      <c r="T1521" s="45"/>
      <c r="U1521" s="45"/>
      <c r="V1521" s="45">
        <f>IF(OR(ISNUMBER(SEARCH("unable to locate acct",G1521)),ISNUMBER(SEARCH("unknown",G1521)),ISNUMBER(SEARCH("inactive",G1521)),H1521=""),0,1)</f>
        <v>1</v>
      </c>
    </row>
    <row r="1522" spans="1:22">
      <c r="A1522" s="74">
        <v>46038</v>
      </c>
      <c r="B1522" s="45" t="s">
        <v>2600</v>
      </c>
      <c r="C1522" s="45" t="s">
        <v>539</v>
      </c>
      <c r="D1522" s="45" t="s">
        <v>163</v>
      </c>
      <c r="E1522" s="45">
        <v>85338</v>
      </c>
      <c r="F1522" s="45" t="s">
        <v>3746</v>
      </c>
      <c r="G1522" s="76" t="s">
        <v>3737</v>
      </c>
      <c r="H1522" s="80" t="s">
        <v>5316</v>
      </c>
      <c r="I1522" s="81" t="s">
        <v>244</v>
      </c>
      <c r="J1522" s="81" t="s">
        <v>31</v>
      </c>
      <c r="K1522" s="81" t="s">
        <v>31</v>
      </c>
      <c r="L1522" s="81" t="s">
        <v>32</v>
      </c>
      <c r="M1522" s="81" t="s">
        <v>31</v>
      </c>
      <c r="N1522" s="81" t="s">
        <v>31</v>
      </c>
      <c r="O1522" s="81" t="s">
        <v>32</v>
      </c>
      <c r="P1522" s="81" t="s">
        <v>33</v>
      </c>
      <c r="Q1522" s="33">
        <v>46044</v>
      </c>
      <c r="R1522" s="45"/>
      <c r="S1522" s="45"/>
      <c r="T1522" s="45"/>
      <c r="U1522" s="45"/>
      <c r="V1522" s="45">
        <f>IF(OR(ISNUMBER(SEARCH("unable to locate acct",G1522)),ISNUMBER(SEARCH("unknown",G1522)),ISNUMBER(SEARCH("inactive",G1522)),H1522=""),0,1)</f>
        <v>1</v>
      </c>
    </row>
    <row r="1523" spans="1:22">
      <c r="A1523" s="74">
        <v>46038</v>
      </c>
      <c r="B1523" s="45" t="s">
        <v>3747</v>
      </c>
      <c r="C1523" s="45" t="s">
        <v>585</v>
      </c>
      <c r="D1523" s="45" t="s">
        <v>119</v>
      </c>
      <c r="E1523" s="45">
        <v>85259</v>
      </c>
      <c r="F1523" s="45" t="s">
        <v>3748</v>
      </c>
      <c r="G1523" s="76" t="s">
        <v>3737</v>
      </c>
      <c r="H1523" s="80" t="s">
        <v>5374</v>
      </c>
      <c r="I1523" s="81" t="s">
        <v>120</v>
      </c>
      <c r="J1523" s="81" t="s">
        <v>31</v>
      </c>
      <c r="K1523" s="81" t="s">
        <v>31</v>
      </c>
      <c r="L1523" s="81" t="s">
        <v>32</v>
      </c>
      <c r="M1523" s="81" t="s">
        <v>31</v>
      </c>
      <c r="N1523" s="81" t="s">
        <v>31</v>
      </c>
      <c r="O1523" s="81" t="s">
        <v>32</v>
      </c>
      <c r="P1523" s="81" t="s">
        <v>33</v>
      </c>
      <c r="Q1523" s="33">
        <v>46044</v>
      </c>
      <c r="R1523" s="45"/>
      <c r="S1523" s="45"/>
      <c r="T1523" s="45"/>
      <c r="U1523" s="45"/>
      <c r="V1523" s="45">
        <f>IF(OR(ISNUMBER(SEARCH("unable to locate acct",G1523)),ISNUMBER(SEARCH("unknown",G1523)),ISNUMBER(SEARCH("inactive",G1523)),H1523=""),0,1)</f>
        <v>1</v>
      </c>
    </row>
    <row r="1524" spans="1:22">
      <c r="A1524" s="74">
        <v>46038</v>
      </c>
      <c r="B1524" s="45" t="s">
        <v>3749</v>
      </c>
      <c r="C1524" s="45" t="s">
        <v>3750</v>
      </c>
      <c r="D1524" s="45" t="s">
        <v>689</v>
      </c>
      <c r="E1524" s="45">
        <v>85375</v>
      </c>
      <c r="F1524" s="45" t="s">
        <v>3751</v>
      </c>
      <c r="G1524" s="76" t="s">
        <v>3737</v>
      </c>
      <c r="H1524" s="80" t="s">
        <v>5375</v>
      </c>
      <c r="I1524" s="81" t="s">
        <v>532</v>
      </c>
      <c r="J1524" s="81" t="s">
        <v>31</v>
      </c>
      <c r="K1524" s="81" t="s">
        <v>31</v>
      </c>
      <c r="L1524" s="81" t="s">
        <v>3543</v>
      </c>
      <c r="M1524" s="81" t="s">
        <v>31</v>
      </c>
      <c r="N1524" s="81" t="s">
        <v>31</v>
      </c>
      <c r="O1524" s="81" t="s">
        <v>32</v>
      </c>
      <c r="P1524" s="81" t="s">
        <v>33</v>
      </c>
      <c r="Q1524" s="33">
        <v>46044</v>
      </c>
      <c r="R1524" s="45"/>
      <c r="S1524" s="45"/>
      <c r="T1524" s="45"/>
      <c r="U1524" s="45"/>
      <c r="V1524" s="45">
        <f>IF(OR(ISNUMBER(SEARCH("unable to locate acct",G1524)),ISNUMBER(SEARCH("unknown",G1524)),ISNUMBER(SEARCH("inactive",G1524)),H1524=""),0,1)</f>
        <v>1</v>
      </c>
    </row>
    <row r="1525" spans="1:22">
      <c r="A1525" s="74">
        <v>46042</v>
      </c>
      <c r="B1525" s="45" t="s">
        <v>3752</v>
      </c>
      <c r="C1525" s="45" t="s">
        <v>3753</v>
      </c>
      <c r="D1525" s="45" t="s">
        <v>57</v>
      </c>
      <c r="E1525" s="45">
        <v>85050</v>
      </c>
      <c r="F1525" s="45" t="s">
        <v>3754</v>
      </c>
      <c r="G1525" s="76" t="s">
        <v>3755</v>
      </c>
      <c r="H1525" s="80" t="s">
        <v>84</v>
      </c>
      <c r="I1525" s="81"/>
      <c r="J1525" s="81"/>
      <c r="K1525" s="81"/>
      <c r="L1525" s="81"/>
      <c r="M1525" s="81"/>
      <c r="N1525" s="81"/>
      <c r="O1525" s="81"/>
      <c r="P1525" s="81"/>
      <c r="Q1525" s="18"/>
      <c r="R1525" s="45"/>
      <c r="S1525" s="45"/>
      <c r="T1525" s="45"/>
      <c r="U1525" s="45"/>
      <c r="V1525" s="45">
        <f>IF(OR(ISNUMBER(SEARCH("unable to locate acct",G1525)),ISNUMBER(SEARCH("unknown",G1525)),ISNUMBER(SEARCH("inactive",G1525)),H1525=""),0,1)</f>
        <v>1</v>
      </c>
    </row>
    <row r="1526" spans="1:22">
      <c r="A1526" s="74">
        <v>46042</v>
      </c>
      <c r="B1526" s="45" t="s">
        <v>3756</v>
      </c>
      <c r="C1526" s="45" t="s">
        <v>278</v>
      </c>
      <c r="D1526" s="45" t="s">
        <v>57</v>
      </c>
      <c r="E1526" s="45">
        <v>85032</v>
      </c>
      <c r="F1526" s="45" t="s">
        <v>3757</v>
      </c>
      <c r="G1526" s="76" t="s">
        <v>3755</v>
      </c>
      <c r="H1526" s="80" t="s">
        <v>5376</v>
      </c>
      <c r="I1526" s="81" t="s">
        <v>40</v>
      </c>
      <c r="J1526" s="81" t="s">
        <v>31</v>
      </c>
      <c r="K1526" s="81" t="s">
        <v>31</v>
      </c>
      <c r="L1526" s="81" t="s">
        <v>32</v>
      </c>
      <c r="M1526" s="81" t="s">
        <v>31</v>
      </c>
      <c r="N1526" s="81" t="s">
        <v>31</v>
      </c>
      <c r="O1526" s="81" t="s">
        <v>32</v>
      </c>
      <c r="P1526" s="81" t="s">
        <v>33</v>
      </c>
      <c r="Q1526" s="33">
        <v>46044</v>
      </c>
      <c r="R1526" s="45"/>
      <c r="S1526" s="45"/>
      <c r="T1526" s="45"/>
      <c r="U1526" s="45"/>
      <c r="V1526" s="45">
        <f>IF(OR(ISNUMBER(SEARCH("unable to locate acct",G1526)),ISNUMBER(SEARCH("unknown",G1526)),ISNUMBER(SEARCH("inactive",G1526)),H1526=""),0,1)</f>
        <v>1</v>
      </c>
    </row>
    <row r="1527" spans="1:22">
      <c r="A1527" s="74">
        <v>46042</v>
      </c>
      <c r="B1527" s="45" t="s">
        <v>3758</v>
      </c>
      <c r="C1527" s="45" t="s">
        <v>133</v>
      </c>
      <c r="D1527" s="45" t="s">
        <v>57</v>
      </c>
      <c r="E1527" s="45">
        <v>85013</v>
      </c>
      <c r="F1527" s="45" t="s">
        <v>3759</v>
      </c>
      <c r="G1527" s="76" t="s">
        <v>3755</v>
      </c>
      <c r="H1527" s="80" t="s">
        <v>5056</v>
      </c>
      <c r="I1527" s="81" t="s">
        <v>51</v>
      </c>
      <c r="J1527" s="81" t="s">
        <v>31</v>
      </c>
      <c r="K1527" s="81" t="s">
        <v>31</v>
      </c>
      <c r="L1527" s="81" t="s">
        <v>3760</v>
      </c>
      <c r="M1527" s="81" t="s">
        <v>31</v>
      </c>
      <c r="N1527" s="81" t="s">
        <v>31</v>
      </c>
      <c r="O1527" s="81" t="s">
        <v>32</v>
      </c>
      <c r="P1527" s="81"/>
      <c r="Q1527" s="41">
        <v>46044</v>
      </c>
      <c r="R1527" s="45" t="s">
        <v>3468</v>
      </c>
      <c r="S1527" s="45"/>
      <c r="T1527" s="45"/>
      <c r="U1527" s="45"/>
      <c r="V1527" s="45">
        <f>IF(OR(ISNUMBER(SEARCH("unable to locate acct",G1527)),ISNUMBER(SEARCH("unknown",G1527)),ISNUMBER(SEARCH("inactive",G1527)),H1527=""),0,1)</f>
        <v>1</v>
      </c>
    </row>
    <row r="1528" spans="1:22">
      <c r="A1528" s="74">
        <v>46042</v>
      </c>
      <c r="B1528" s="45" t="s">
        <v>3761</v>
      </c>
      <c r="C1528" s="45" t="s">
        <v>472</v>
      </c>
      <c r="D1528" s="45" t="s">
        <v>57</v>
      </c>
      <c r="E1528" s="45">
        <v>85085</v>
      </c>
      <c r="F1528" s="45" t="s">
        <v>3762</v>
      </c>
      <c r="G1528" s="76" t="s">
        <v>3755</v>
      </c>
      <c r="H1528" s="80" t="s">
        <v>5377</v>
      </c>
      <c r="I1528" s="81" t="s">
        <v>40</v>
      </c>
      <c r="J1528" s="81" t="s">
        <v>31</v>
      </c>
      <c r="K1528" s="81" t="s">
        <v>31</v>
      </c>
      <c r="L1528" s="81" t="s">
        <v>32</v>
      </c>
      <c r="M1528" s="81" t="s">
        <v>31</v>
      </c>
      <c r="N1528" s="81" t="s">
        <v>31</v>
      </c>
      <c r="O1528" s="81" t="s">
        <v>32</v>
      </c>
      <c r="P1528" s="81" t="s">
        <v>33</v>
      </c>
      <c r="Q1528" s="33">
        <v>46044</v>
      </c>
      <c r="R1528" s="45"/>
      <c r="S1528" s="45"/>
      <c r="T1528" s="45"/>
      <c r="U1528" s="45"/>
      <c r="V1528" s="45">
        <f>IF(OR(ISNUMBER(SEARCH("unable to locate acct",G1528)),ISNUMBER(SEARCH("unknown",G1528)),ISNUMBER(SEARCH("inactive",G1528)),H1528=""),0,1)</f>
        <v>1</v>
      </c>
    </row>
    <row r="1529" spans="1:22">
      <c r="A1529" s="74">
        <v>46042</v>
      </c>
      <c r="B1529" s="45" t="s">
        <v>3763</v>
      </c>
      <c r="C1529" s="45" t="s">
        <v>429</v>
      </c>
      <c r="D1529" s="45" t="s">
        <v>163</v>
      </c>
      <c r="E1529" s="45">
        <v>85395</v>
      </c>
      <c r="F1529" s="45" t="s">
        <v>3764</v>
      </c>
      <c r="G1529" s="76" t="s">
        <v>3765</v>
      </c>
      <c r="H1529" s="80" t="s">
        <v>5378</v>
      </c>
      <c r="I1529" s="81" t="s">
        <v>1346</v>
      </c>
      <c r="J1529" s="81" t="s">
        <v>31</v>
      </c>
      <c r="K1529" s="81" t="s">
        <v>31</v>
      </c>
      <c r="L1529" s="81" t="s">
        <v>3543</v>
      </c>
      <c r="M1529" s="81" t="s">
        <v>31</v>
      </c>
      <c r="N1529" s="81" t="s">
        <v>31</v>
      </c>
      <c r="O1529" s="81" t="s">
        <v>32</v>
      </c>
      <c r="P1529" s="81" t="s">
        <v>33</v>
      </c>
      <c r="Q1529" s="18" t="s">
        <v>3766</v>
      </c>
      <c r="R1529" s="45"/>
      <c r="S1529" s="45"/>
      <c r="T1529" s="45"/>
      <c r="U1529" s="45"/>
      <c r="V1529" s="45">
        <f>IF(OR(ISNUMBER(SEARCH("unable to locate acct",G1529)),ISNUMBER(SEARCH("unknown",G1529)),ISNUMBER(SEARCH("inactive",G1529)),H1529=""),0,1)</f>
        <v>1</v>
      </c>
    </row>
    <row r="1530" spans="1:22">
      <c r="A1530" s="74">
        <v>46043</v>
      </c>
      <c r="B1530" s="45" t="s">
        <v>3767</v>
      </c>
      <c r="C1530" s="45" t="s">
        <v>3255</v>
      </c>
      <c r="D1530" s="45" t="s">
        <v>168</v>
      </c>
      <c r="E1530" s="45">
        <v>85326</v>
      </c>
      <c r="F1530" s="45" t="s">
        <v>3768</v>
      </c>
      <c r="G1530" s="76" t="s">
        <v>3769</v>
      </c>
      <c r="H1530" s="80" t="s">
        <v>5379</v>
      </c>
      <c r="I1530" s="81" t="s">
        <v>3676</v>
      </c>
      <c r="J1530" s="81" t="s">
        <v>31</v>
      </c>
      <c r="K1530" s="81" t="s">
        <v>31</v>
      </c>
      <c r="L1530" s="81" t="s">
        <v>3543</v>
      </c>
      <c r="M1530" s="81" t="s">
        <v>31</v>
      </c>
      <c r="N1530" s="81" t="s">
        <v>31</v>
      </c>
      <c r="O1530" s="81" t="s">
        <v>32</v>
      </c>
      <c r="P1530" s="81" t="s">
        <v>33</v>
      </c>
      <c r="Q1530" s="33">
        <v>46049</v>
      </c>
      <c r="R1530" s="45"/>
      <c r="S1530" s="45"/>
      <c r="T1530" s="45"/>
      <c r="U1530" s="45"/>
      <c r="V1530" s="45">
        <f>IF(OR(ISNUMBER(SEARCH("unable to locate acct",G1530)),ISNUMBER(SEARCH("unknown",G1530)),ISNUMBER(SEARCH("inactive",G1530)),H1530=""),0,1)</f>
        <v>1</v>
      </c>
    </row>
    <row r="1531" spans="1:22">
      <c r="A1531" s="74">
        <v>46043</v>
      </c>
      <c r="B1531" s="45" t="s">
        <v>3770</v>
      </c>
      <c r="C1531" s="45" t="s">
        <v>3771</v>
      </c>
      <c r="D1531" s="45" t="s">
        <v>163</v>
      </c>
      <c r="E1531" s="45">
        <v>85338</v>
      </c>
      <c r="F1531" s="45" t="s">
        <v>3772</v>
      </c>
      <c r="G1531" s="76" t="s">
        <v>3769</v>
      </c>
      <c r="H1531" s="80" t="s">
        <v>4948</v>
      </c>
      <c r="I1531" s="81" t="s">
        <v>3773</v>
      </c>
      <c r="J1531" s="81" t="s">
        <v>32</v>
      </c>
      <c r="K1531" s="81" t="s">
        <v>31</v>
      </c>
      <c r="L1531" s="81" t="s">
        <v>3774</v>
      </c>
      <c r="M1531" s="81" t="s">
        <v>32</v>
      </c>
      <c r="N1531" s="82">
        <v>681.89</v>
      </c>
      <c r="O1531" s="81" t="s">
        <v>32</v>
      </c>
      <c r="P1531" s="81"/>
      <c r="Q1531" s="41">
        <v>46049</v>
      </c>
      <c r="R1531" s="45" t="s">
        <v>3775</v>
      </c>
      <c r="S1531" s="45"/>
      <c r="T1531" s="45"/>
      <c r="U1531" s="45"/>
      <c r="V1531" s="45">
        <f>IF(OR(ISNUMBER(SEARCH("unable to locate acct",G1531)),ISNUMBER(SEARCH("unknown",G1531)),ISNUMBER(SEARCH("inactive",G1531)),H1531=""),0,1)</f>
        <v>1</v>
      </c>
    </row>
    <row r="1532" spans="1:22">
      <c r="A1532" s="74">
        <v>46043</v>
      </c>
      <c r="B1532" s="45" t="s">
        <v>947</v>
      </c>
      <c r="C1532" s="45" t="s">
        <v>3776</v>
      </c>
      <c r="D1532" s="45" t="s">
        <v>57</v>
      </c>
      <c r="E1532" s="45">
        <v>85032</v>
      </c>
      <c r="F1532" s="45" t="s">
        <v>3777</v>
      </c>
      <c r="G1532" s="76" t="s">
        <v>3769</v>
      </c>
      <c r="H1532" s="80" t="s">
        <v>5380</v>
      </c>
      <c r="I1532" s="81" t="s">
        <v>30</v>
      </c>
      <c r="J1532" s="81" t="s">
        <v>32</v>
      </c>
      <c r="K1532" s="81" t="s">
        <v>31</v>
      </c>
      <c r="L1532" s="81" t="s">
        <v>32</v>
      </c>
      <c r="M1532" s="81" t="s">
        <v>31</v>
      </c>
      <c r="N1532" s="81" t="s">
        <v>31</v>
      </c>
      <c r="O1532" s="81" t="s">
        <v>32</v>
      </c>
      <c r="P1532" s="81" t="s">
        <v>33</v>
      </c>
      <c r="Q1532" s="33">
        <v>46049</v>
      </c>
      <c r="R1532" s="45" t="s">
        <v>3778</v>
      </c>
      <c r="S1532" s="45"/>
      <c r="T1532" s="45"/>
      <c r="U1532" s="45"/>
      <c r="V1532" s="45">
        <f>IF(OR(ISNUMBER(SEARCH("unable to locate acct",G1532)),ISNUMBER(SEARCH("unknown",G1532)),ISNUMBER(SEARCH("inactive",G1532)),H1532=""),0,1)</f>
        <v>1</v>
      </c>
    </row>
    <row r="1533" spans="1:22">
      <c r="A1533" s="74">
        <v>46043</v>
      </c>
      <c r="B1533" s="45" t="s">
        <v>3779</v>
      </c>
      <c r="C1533" s="45" t="s">
        <v>2915</v>
      </c>
      <c r="D1533" s="45" t="s">
        <v>18</v>
      </c>
      <c r="E1533" s="45">
        <v>85308</v>
      </c>
      <c r="F1533" s="45" t="s">
        <v>3780</v>
      </c>
      <c r="G1533" s="76" t="s">
        <v>3769</v>
      </c>
      <c r="H1533" s="80" t="s">
        <v>5381</v>
      </c>
      <c r="I1533" s="81" t="s">
        <v>120</v>
      </c>
      <c r="J1533" s="81" t="s">
        <v>31</v>
      </c>
      <c r="K1533" s="81" t="s">
        <v>31</v>
      </c>
      <c r="L1533" s="81" t="s">
        <v>32</v>
      </c>
      <c r="M1533" s="81" t="s">
        <v>31</v>
      </c>
      <c r="N1533" s="81" t="s">
        <v>31</v>
      </c>
      <c r="O1533" s="81" t="s">
        <v>32</v>
      </c>
      <c r="P1533" s="81" t="s">
        <v>33</v>
      </c>
      <c r="Q1533" s="33">
        <v>46049</v>
      </c>
      <c r="R1533" s="45" t="s">
        <v>3781</v>
      </c>
      <c r="S1533" s="45"/>
      <c r="T1533" s="45"/>
      <c r="U1533" s="45"/>
      <c r="V1533" s="45">
        <f>IF(OR(ISNUMBER(SEARCH("unable to locate acct",G1533)),ISNUMBER(SEARCH("unknown",G1533)),ISNUMBER(SEARCH("inactive",G1533)),H1533=""),0,1)</f>
        <v>1</v>
      </c>
    </row>
    <row r="1534" spans="1:22">
      <c r="A1534" s="74">
        <v>46043</v>
      </c>
      <c r="B1534" s="45" t="s">
        <v>3782</v>
      </c>
      <c r="C1534" s="45" t="s">
        <v>3783</v>
      </c>
      <c r="D1534" s="45" t="s">
        <v>196</v>
      </c>
      <c r="E1534" s="45">
        <v>85383</v>
      </c>
      <c r="F1534" s="45" t="s">
        <v>3784</v>
      </c>
      <c r="G1534" s="76" t="s">
        <v>3769</v>
      </c>
      <c r="H1534" s="80" t="s">
        <v>21</v>
      </c>
      <c r="I1534" s="81"/>
      <c r="J1534" s="81"/>
      <c r="K1534" s="81"/>
      <c r="L1534" s="81"/>
      <c r="M1534" s="81"/>
      <c r="N1534" s="81"/>
      <c r="O1534" s="81"/>
      <c r="P1534" s="81"/>
      <c r="Q1534" s="18"/>
      <c r="R1534" s="45"/>
      <c r="S1534" s="45"/>
      <c r="T1534" s="45"/>
      <c r="U1534" s="45"/>
      <c r="V1534" s="45">
        <f>IF(OR(ISNUMBER(SEARCH("unable to locate acct",G1534)),ISNUMBER(SEARCH("unknown",G1534)),ISNUMBER(SEARCH("inactive",G1534)),H1534=""),0,1)</f>
        <v>1</v>
      </c>
    </row>
    <row r="1535" spans="1:22">
      <c r="A1535" s="74">
        <v>46043</v>
      </c>
      <c r="B1535" s="45" t="s">
        <v>1105</v>
      </c>
      <c r="C1535" s="45" t="s">
        <v>2458</v>
      </c>
      <c r="D1535" s="45" t="s">
        <v>119</v>
      </c>
      <c r="E1535" s="45">
        <v>85254</v>
      </c>
      <c r="F1535" s="45" t="s">
        <v>3785</v>
      </c>
      <c r="G1535" s="76" t="s">
        <v>3769</v>
      </c>
      <c r="H1535" s="80" t="s">
        <v>5382</v>
      </c>
      <c r="I1535" s="81" t="s">
        <v>30</v>
      </c>
      <c r="J1535" s="81" t="s">
        <v>31</v>
      </c>
      <c r="K1535" s="81" t="s">
        <v>31</v>
      </c>
      <c r="L1535" s="81" t="s">
        <v>32</v>
      </c>
      <c r="M1535" s="81" t="s">
        <v>31</v>
      </c>
      <c r="N1535" s="81" t="s">
        <v>31</v>
      </c>
      <c r="O1535" s="81" t="s">
        <v>32</v>
      </c>
      <c r="P1535" s="81" t="s">
        <v>33</v>
      </c>
      <c r="Q1535" s="33">
        <v>46049</v>
      </c>
      <c r="R1535" s="45"/>
      <c r="S1535" s="45"/>
      <c r="T1535" s="45"/>
      <c r="U1535" s="45"/>
      <c r="V1535" s="45">
        <f>IF(OR(ISNUMBER(SEARCH("unable to locate acct",G1535)),ISNUMBER(SEARCH("unknown",G1535)),ISNUMBER(SEARCH("inactive",G1535)),H1535=""),0,1)</f>
        <v>1</v>
      </c>
    </row>
    <row r="1536" spans="1:22">
      <c r="A1536" s="74">
        <v>46043</v>
      </c>
      <c r="B1536" s="45" t="s">
        <v>3786</v>
      </c>
      <c r="C1536" s="45" t="s">
        <v>3787</v>
      </c>
      <c r="D1536" s="45" t="s">
        <v>119</v>
      </c>
      <c r="E1536" s="45">
        <v>85254</v>
      </c>
      <c r="F1536" s="45" t="s">
        <v>3788</v>
      </c>
      <c r="G1536" s="76" t="s">
        <v>3769</v>
      </c>
      <c r="H1536" s="80" t="s">
        <v>5383</v>
      </c>
      <c r="I1536" s="81" t="s">
        <v>3351</v>
      </c>
      <c r="J1536" s="81" t="s">
        <v>31</v>
      </c>
      <c r="K1536" s="81" t="s">
        <v>31</v>
      </c>
      <c r="L1536" s="81" t="s">
        <v>3543</v>
      </c>
      <c r="M1536" s="81" t="s">
        <v>31</v>
      </c>
      <c r="N1536" s="81" t="s">
        <v>31</v>
      </c>
      <c r="O1536" s="81" t="s">
        <v>32</v>
      </c>
      <c r="P1536" s="81" t="s">
        <v>33</v>
      </c>
      <c r="Q1536" s="33">
        <v>46049</v>
      </c>
      <c r="R1536" s="45"/>
      <c r="S1536" s="45"/>
      <c r="T1536" s="45"/>
      <c r="U1536" s="45"/>
      <c r="V1536" s="45">
        <f>IF(OR(ISNUMBER(SEARCH("unable to locate acct",G1536)),ISNUMBER(SEARCH("unknown",G1536)),ISNUMBER(SEARCH("inactive",G1536)),H1536=""),0,1)</f>
        <v>1</v>
      </c>
    </row>
    <row r="1537" spans="1:22">
      <c r="A1537" s="74">
        <v>46043</v>
      </c>
      <c r="B1537" s="45" t="s">
        <v>3789</v>
      </c>
      <c r="C1537" s="45" t="s">
        <v>927</v>
      </c>
      <c r="D1537" s="45" t="s">
        <v>2201</v>
      </c>
      <c r="E1537" s="45">
        <v>85087</v>
      </c>
      <c r="F1537" s="45" t="s">
        <v>3790</v>
      </c>
      <c r="G1537" s="76" t="s">
        <v>3769</v>
      </c>
      <c r="H1537" s="80" t="s">
        <v>5384</v>
      </c>
      <c r="I1537" s="81" t="s">
        <v>30</v>
      </c>
      <c r="J1537" s="81" t="s">
        <v>31</v>
      </c>
      <c r="K1537" s="81" t="s">
        <v>31</v>
      </c>
      <c r="L1537" s="81" t="s">
        <v>32</v>
      </c>
      <c r="M1537" s="81" t="s">
        <v>31</v>
      </c>
      <c r="N1537" s="81" t="s">
        <v>31</v>
      </c>
      <c r="O1537" s="81" t="s">
        <v>32</v>
      </c>
      <c r="P1537" s="81" t="s">
        <v>33</v>
      </c>
      <c r="Q1537" s="33">
        <v>46049</v>
      </c>
      <c r="R1537" s="45"/>
      <c r="S1537" s="45"/>
      <c r="T1537" s="45"/>
      <c r="U1537" s="45"/>
      <c r="V1537" s="45">
        <f>IF(OR(ISNUMBER(SEARCH("unable to locate acct",G1537)),ISNUMBER(SEARCH("unknown",G1537)),ISNUMBER(SEARCH("inactive",G1537)),H1537=""),0,1)</f>
        <v>1</v>
      </c>
    </row>
    <row r="1538" spans="1:22">
      <c r="A1538" s="74">
        <v>46043</v>
      </c>
      <c r="B1538" s="45" t="s">
        <v>3791</v>
      </c>
      <c r="C1538" s="45" t="s">
        <v>2827</v>
      </c>
      <c r="D1538" s="45" t="s">
        <v>57</v>
      </c>
      <c r="E1538" s="45">
        <v>85013</v>
      </c>
      <c r="F1538" s="45" t="s">
        <v>3792</v>
      </c>
      <c r="G1538" s="76" t="s">
        <v>3769</v>
      </c>
      <c r="H1538" s="80" t="s">
        <v>5385</v>
      </c>
      <c r="I1538" s="81" t="s">
        <v>3773</v>
      </c>
      <c r="J1538" s="81" t="s">
        <v>31</v>
      </c>
      <c r="K1538" s="81" t="s">
        <v>31</v>
      </c>
      <c r="L1538" s="81" t="s">
        <v>32</v>
      </c>
      <c r="M1538" s="81" t="s">
        <v>31</v>
      </c>
      <c r="N1538" s="81" t="s">
        <v>31</v>
      </c>
      <c r="O1538" s="81" t="s">
        <v>32</v>
      </c>
      <c r="P1538" s="81" t="s">
        <v>33</v>
      </c>
      <c r="Q1538" s="33">
        <v>46049</v>
      </c>
      <c r="R1538" s="45"/>
      <c r="S1538" s="45"/>
      <c r="T1538" s="45"/>
      <c r="U1538" s="45"/>
      <c r="V1538" s="45">
        <f>IF(OR(ISNUMBER(SEARCH("unable to locate acct",G1538)),ISNUMBER(SEARCH("unknown",G1538)),ISNUMBER(SEARCH("inactive",G1538)),H1538=""),0,1)</f>
        <v>1</v>
      </c>
    </row>
    <row r="1539" spans="1:22">
      <c r="A1539" s="74">
        <v>46043</v>
      </c>
      <c r="B1539" s="45" t="s">
        <v>3793</v>
      </c>
      <c r="C1539" s="45" t="s">
        <v>846</v>
      </c>
      <c r="D1539" s="45" t="s">
        <v>2046</v>
      </c>
      <c r="E1539" s="45">
        <v>85132</v>
      </c>
      <c r="F1539" s="45" t="s">
        <v>3794</v>
      </c>
      <c r="G1539" s="76" t="s">
        <v>3769</v>
      </c>
      <c r="H1539" s="80" t="s">
        <v>5386</v>
      </c>
      <c r="I1539" s="81" t="s">
        <v>30</v>
      </c>
      <c r="J1539" s="81" t="s">
        <v>31</v>
      </c>
      <c r="K1539" s="81" t="s">
        <v>31</v>
      </c>
      <c r="L1539" s="81" t="s">
        <v>32</v>
      </c>
      <c r="M1539" s="81" t="s">
        <v>31</v>
      </c>
      <c r="N1539" s="81" t="s">
        <v>31</v>
      </c>
      <c r="O1539" s="81" t="s">
        <v>32</v>
      </c>
      <c r="P1539" s="81" t="s">
        <v>33</v>
      </c>
      <c r="Q1539" s="33">
        <v>46049</v>
      </c>
      <c r="R1539" s="45"/>
      <c r="S1539" s="45"/>
      <c r="T1539" s="45"/>
      <c r="U1539" s="45"/>
      <c r="V1539" s="45">
        <f>IF(OR(ISNUMBER(SEARCH("unable to locate acct",G1539)),ISNUMBER(SEARCH("unknown",G1539)),ISNUMBER(SEARCH("inactive",G1539)),H1539=""),0,1)</f>
        <v>1</v>
      </c>
    </row>
    <row r="1540" spans="1:22">
      <c r="A1540" s="74">
        <v>46043</v>
      </c>
      <c r="B1540" s="45" t="s">
        <v>3795</v>
      </c>
      <c r="C1540" s="45" t="s">
        <v>3796</v>
      </c>
      <c r="D1540" s="45" t="s">
        <v>106</v>
      </c>
      <c r="E1540" s="45">
        <v>85374</v>
      </c>
      <c r="F1540" s="45" t="s">
        <v>3797</v>
      </c>
      <c r="G1540" s="76" t="s">
        <v>3769</v>
      </c>
      <c r="H1540" s="80" t="s">
        <v>5387</v>
      </c>
      <c r="I1540" s="81" t="s">
        <v>30</v>
      </c>
      <c r="J1540" s="81" t="s">
        <v>31</v>
      </c>
      <c r="K1540" s="81" t="s">
        <v>31</v>
      </c>
      <c r="L1540" s="81" t="s">
        <v>32</v>
      </c>
      <c r="M1540" s="81" t="s">
        <v>31</v>
      </c>
      <c r="N1540" s="81" t="s">
        <v>31</v>
      </c>
      <c r="O1540" s="81" t="s">
        <v>32</v>
      </c>
      <c r="P1540" s="81" t="s">
        <v>33</v>
      </c>
      <c r="Q1540" s="33">
        <v>46049</v>
      </c>
      <c r="R1540" s="45"/>
      <c r="S1540" s="45"/>
      <c r="T1540" s="45"/>
      <c r="U1540" s="45"/>
      <c r="V1540" s="45">
        <f>IF(OR(ISNUMBER(SEARCH("unable to locate acct",G1540)),ISNUMBER(SEARCH("unknown",G1540)),ISNUMBER(SEARCH("inactive",G1540)),H1540=""),0,1)</f>
        <v>1</v>
      </c>
    </row>
    <row r="1541" spans="1:22">
      <c r="A1541" s="74">
        <v>46043</v>
      </c>
      <c r="B1541" s="45" t="s">
        <v>3798</v>
      </c>
      <c r="C1541" s="45" t="s">
        <v>3799</v>
      </c>
      <c r="D1541" s="45" t="s">
        <v>255</v>
      </c>
      <c r="E1541" s="45">
        <v>86314</v>
      </c>
      <c r="F1541" s="45" t="s">
        <v>3800</v>
      </c>
      <c r="G1541" s="76" t="s">
        <v>3769</v>
      </c>
      <c r="H1541" s="80" t="s">
        <v>5388</v>
      </c>
      <c r="I1541" s="81" t="s">
        <v>67</v>
      </c>
      <c r="J1541" s="81" t="s">
        <v>31</v>
      </c>
      <c r="K1541" s="81" t="s">
        <v>31</v>
      </c>
      <c r="L1541" s="81" t="s">
        <v>32</v>
      </c>
      <c r="M1541" s="81" t="s">
        <v>31</v>
      </c>
      <c r="N1541" s="81" t="s">
        <v>31</v>
      </c>
      <c r="O1541" s="81" t="s">
        <v>32</v>
      </c>
      <c r="P1541" s="81" t="s">
        <v>33</v>
      </c>
      <c r="Q1541" s="33">
        <v>46049</v>
      </c>
      <c r="R1541" s="45"/>
      <c r="S1541" s="45"/>
      <c r="T1541" s="45"/>
      <c r="U1541" s="45"/>
      <c r="V1541" s="45">
        <f>IF(OR(ISNUMBER(SEARCH("unable to locate acct",G1541)),ISNUMBER(SEARCH("unknown",G1541)),ISNUMBER(SEARCH("inactive",G1541)),H1541=""),0,1)</f>
        <v>1</v>
      </c>
    </row>
    <row r="1542" spans="1:22">
      <c r="A1542" s="74">
        <v>46043</v>
      </c>
      <c r="B1542" s="45" t="s">
        <v>3801</v>
      </c>
      <c r="C1542" s="45" t="s">
        <v>1173</v>
      </c>
      <c r="D1542" s="45" t="s">
        <v>2046</v>
      </c>
      <c r="E1542" s="45">
        <v>85132</v>
      </c>
      <c r="F1542" s="45" t="s">
        <v>3802</v>
      </c>
      <c r="G1542" s="76" t="s">
        <v>3769</v>
      </c>
      <c r="H1542" s="80" t="s">
        <v>5389</v>
      </c>
      <c r="I1542" s="81" t="s">
        <v>30</v>
      </c>
      <c r="J1542" s="81" t="s">
        <v>31</v>
      </c>
      <c r="K1542" s="81" t="s">
        <v>31</v>
      </c>
      <c r="L1542" s="81" t="s">
        <v>32</v>
      </c>
      <c r="M1542" s="81" t="s">
        <v>31</v>
      </c>
      <c r="N1542" s="81" t="s">
        <v>31</v>
      </c>
      <c r="O1542" s="81" t="s">
        <v>32</v>
      </c>
      <c r="P1542" s="81" t="s">
        <v>33</v>
      </c>
      <c r="Q1542" s="33">
        <v>46049</v>
      </c>
      <c r="R1542" s="45"/>
      <c r="S1542" s="45"/>
      <c r="T1542" s="45"/>
      <c r="U1542" s="45"/>
      <c r="V1542" s="45">
        <f>IF(OR(ISNUMBER(SEARCH("unable to locate acct",G1542)),ISNUMBER(SEARCH("unknown",G1542)),ISNUMBER(SEARCH("inactive",G1542)),H1542=""),0,1)</f>
        <v>1</v>
      </c>
    </row>
    <row r="1543" spans="1:22">
      <c r="A1543" s="74">
        <v>46043</v>
      </c>
      <c r="B1543" s="45" t="s">
        <v>3803</v>
      </c>
      <c r="C1543" s="45" t="s">
        <v>3804</v>
      </c>
      <c r="D1543" s="45" t="s">
        <v>57</v>
      </c>
      <c r="E1543" s="45">
        <v>85023</v>
      </c>
      <c r="F1543" s="45" t="s">
        <v>3220</v>
      </c>
      <c r="G1543" s="76" t="s">
        <v>3769</v>
      </c>
      <c r="H1543" s="80" t="s">
        <v>5390</v>
      </c>
      <c r="I1543" s="81" t="s">
        <v>67</v>
      </c>
      <c r="J1543" s="81" t="s">
        <v>31</v>
      </c>
      <c r="K1543" s="81" t="s">
        <v>31</v>
      </c>
      <c r="L1543" s="81" t="s">
        <v>32</v>
      </c>
      <c r="M1543" s="81" t="s">
        <v>31</v>
      </c>
      <c r="N1543" s="81" t="s">
        <v>31</v>
      </c>
      <c r="O1543" s="81" t="s">
        <v>32</v>
      </c>
      <c r="P1543" s="81" t="s">
        <v>33</v>
      </c>
      <c r="Q1543" s="33">
        <v>46049</v>
      </c>
      <c r="R1543" s="45"/>
      <c r="S1543" s="45"/>
      <c r="T1543" s="45"/>
      <c r="U1543" s="45"/>
      <c r="V1543" s="45">
        <f>IF(OR(ISNUMBER(SEARCH("unable to locate acct",G1543)),ISNUMBER(SEARCH("unknown",G1543)),ISNUMBER(SEARCH("inactive",G1543)),H1543=""),0,1)</f>
        <v>1</v>
      </c>
    </row>
    <row r="1544" spans="1:22">
      <c r="A1544" s="74">
        <v>46043</v>
      </c>
      <c r="B1544" s="45" t="s">
        <v>3805</v>
      </c>
      <c r="C1544" s="45" t="s">
        <v>3806</v>
      </c>
      <c r="D1544" s="45" t="s">
        <v>57</v>
      </c>
      <c r="E1544" s="45">
        <v>85353</v>
      </c>
      <c r="F1544" s="45" t="s">
        <v>3772</v>
      </c>
      <c r="G1544" s="76" t="s">
        <v>3769</v>
      </c>
      <c r="H1544" s="80" t="s">
        <v>21</v>
      </c>
      <c r="I1544" s="81"/>
      <c r="J1544" s="81"/>
      <c r="K1544" s="81"/>
      <c r="L1544" s="81"/>
      <c r="M1544" s="81"/>
      <c r="N1544" s="81"/>
      <c r="O1544" s="81"/>
      <c r="P1544" s="81"/>
      <c r="Q1544" s="18"/>
      <c r="R1544" s="45"/>
      <c r="S1544" s="45"/>
      <c r="T1544" s="45"/>
      <c r="U1544" s="45"/>
      <c r="V1544" s="45">
        <f>IF(OR(ISNUMBER(SEARCH("unable to locate acct",G1544)),ISNUMBER(SEARCH("unknown",G1544)),ISNUMBER(SEARCH("inactive",G1544)),H1544=""),0,1)</f>
        <v>1</v>
      </c>
    </row>
    <row r="1545" spans="1:22">
      <c r="A1545" s="74">
        <v>46043</v>
      </c>
      <c r="B1545" s="45" t="s">
        <v>3807</v>
      </c>
      <c r="C1545" s="45" t="s">
        <v>738</v>
      </c>
      <c r="D1545" s="45" t="s">
        <v>62</v>
      </c>
      <c r="E1545" s="45">
        <v>85331</v>
      </c>
      <c r="F1545" s="45" t="s">
        <v>3808</v>
      </c>
      <c r="G1545" s="76" t="s">
        <v>3769</v>
      </c>
      <c r="H1545" s="80" t="s">
        <v>5391</v>
      </c>
      <c r="I1545" s="81" t="s">
        <v>30</v>
      </c>
      <c r="J1545" s="81" t="s">
        <v>31</v>
      </c>
      <c r="K1545" s="81" t="s">
        <v>31</v>
      </c>
      <c r="L1545" s="81" t="s">
        <v>32</v>
      </c>
      <c r="M1545" s="81" t="s">
        <v>31</v>
      </c>
      <c r="N1545" s="81" t="s">
        <v>31</v>
      </c>
      <c r="O1545" s="81" t="s">
        <v>32</v>
      </c>
      <c r="P1545" s="81" t="s">
        <v>33</v>
      </c>
      <c r="Q1545" s="33">
        <v>46049</v>
      </c>
      <c r="R1545" s="45"/>
      <c r="S1545" s="45"/>
      <c r="T1545" s="45"/>
      <c r="U1545" s="45"/>
      <c r="V1545" s="45">
        <f>IF(OR(ISNUMBER(SEARCH("unable to locate acct",G1545)),ISNUMBER(SEARCH("unknown",G1545)),ISNUMBER(SEARCH("inactive",G1545)),H1545=""),0,1)</f>
        <v>1</v>
      </c>
    </row>
    <row r="1546" spans="1:22">
      <c r="A1546" s="74">
        <v>46043</v>
      </c>
      <c r="B1546" s="45" t="s">
        <v>3809</v>
      </c>
      <c r="C1546" s="45" t="s">
        <v>3230</v>
      </c>
      <c r="D1546" s="45" t="s">
        <v>163</v>
      </c>
      <c r="E1546" s="45">
        <v>85338</v>
      </c>
      <c r="F1546" s="45" t="s">
        <v>3810</v>
      </c>
      <c r="G1546" s="76" t="s">
        <v>3769</v>
      </c>
      <c r="H1546" s="80" t="s">
        <v>5057</v>
      </c>
      <c r="I1546" s="81" t="s">
        <v>190</v>
      </c>
      <c r="J1546" s="81" t="s">
        <v>31</v>
      </c>
      <c r="K1546" s="81" t="s">
        <v>31</v>
      </c>
      <c r="L1546" s="81" t="s">
        <v>3811</v>
      </c>
      <c r="M1546" s="81" t="s">
        <v>31</v>
      </c>
      <c r="N1546" s="81" t="s">
        <v>31</v>
      </c>
      <c r="O1546" s="81" t="s">
        <v>32</v>
      </c>
      <c r="P1546" s="81"/>
      <c r="Q1546" s="41">
        <v>46049</v>
      </c>
      <c r="R1546" s="45" t="s">
        <v>3468</v>
      </c>
      <c r="S1546" s="45"/>
      <c r="T1546" s="45"/>
      <c r="U1546" s="45"/>
      <c r="V1546" s="45">
        <f>IF(OR(ISNUMBER(SEARCH("unable to locate acct",G1546)),ISNUMBER(SEARCH("unknown",G1546)),ISNUMBER(SEARCH("inactive",G1546)),H1546=""),0,1)</f>
        <v>1</v>
      </c>
    </row>
    <row r="1547" spans="1:22">
      <c r="A1547" s="74">
        <v>46043</v>
      </c>
      <c r="B1547" s="45" t="s">
        <v>1868</v>
      </c>
      <c r="C1547" s="45" t="s">
        <v>257</v>
      </c>
      <c r="D1547" s="45" t="s">
        <v>495</v>
      </c>
      <c r="E1547" s="45">
        <v>86004</v>
      </c>
      <c r="F1547" s="45" t="s">
        <v>3812</v>
      </c>
      <c r="G1547" s="76" t="s">
        <v>3769</v>
      </c>
      <c r="H1547" s="80" t="s">
        <v>84</v>
      </c>
      <c r="I1547" s="81"/>
      <c r="J1547" s="81"/>
      <c r="K1547" s="81"/>
      <c r="L1547" s="81"/>
      <c r="M1547" s="81"/>
      <c r="N1547" s="81"/>
      <c r="O1547" s="81"/>
      <c r="P1547" s="81"/>
      <c r="Q1547" s="18"/>
      <c r="R1547" s="45"/>
      <c r="S1547" s="45"/>
      <c r="T1547" s="45"/>
      <c r="U1547" s="45"/>
      <c r="V1547" s="45">
        <f>IF(OR(ISNUMBER(SEARCH("unable to locate acct",G1547)),ISNUMBER(SEARCH("unknown",G1547)),ISNUMBER(SEARCH("inactive",G1547)),H1547=""),0,1)</f>
        <v>1</v>
      </c>
    </row>
    <row r="1548" spans="1:22">
      <c r="A1548" s="74">
        <v>46043</v>
      </c>
      <c r="B1548" s="45" t="s">
        <v>3813</v>
      </c>
      <c r="C1548" s="45" t="s">
        <v>3814</v>
      </c>
      <c r="D1548" s="45" t="s">
        <v>57</v>
      </c>
      <c r="E1548" s="45">
        <v>85021</v>
      </c>
      <c r="F1548" s="45" t="s">
        <v>3815</v>
      </c>
      <c r="G1548" s="76" t="s">
        <v>3769</v>
      </c>
      <c r="H1548" s="80" t="s">
        <v>84</v>
      </c>
      <c r="I1548" s="81"/>
      <c r="J1548" s="81"/>
      <c r="K1548" s="81"/>
      <c r="L1548" s="81"/>
      <c r="M1548" s="81"/>
      <c r="N1548" s="81"/>
      <c r="O1548" s="81"/>
      <c r="P1548" s="81"/>
      <c r="Q1548" s="18"/>
      <c r="R1548" s="45"/>
      <c r="S1548" s="45"/>
      <c r="T1548" s="45"/>
      <c r="U1548" s="45"/>
      <c r="V1548" s="45">
        <f>IF(OR(ISNUMBER(SEARCH("unable to locate acct",G1548)),ISNUMBER(SEARCH("unknown",G1548)),ISNUMBER(SEARCH("inactive",G1548)),H1548=""),0,1)</f>
        <v>1</v>
      </c>
    </row>
    <row r="1549" spans="1:22">
      <c r="A1549" s="74">
        <v>46043</v>
      </c>
      <c r="B1549" s="45" t="s">
        <v>3816</v>
      </c>
      <c r="C1549" s="45" t="s">
        <v>1602</v>
      </c>
      <c r="D1549" s="45" t="s">
        <v>57</v>
      </c>
      <c r="E1549" s="45">
        <v>85013</v>
      </c>
      <c r="F1549" s="45" t="s">
        <v>3817</v>
      </c>
      <c r="G1549" s="76" t="s">
        <v>3769</v>
      </c>
      <c r="H1549" s="80" t="s">
        <v>5392</v>
      </c>
      <c r="I1549" s="81" t="s">
        <v>67</v>
      </c>
      <c r="J1549" s="81" t="s">
        <v>31</v>
      </c>
      <c r="K1549" s="81" t="s">
        <v>31</v>
      </c>
      <c r="L1549" s="81" t="s">
        <v>32</v>
      </c>
      <c r="M1549" s="81" t="s">
        <v>31</v>
      </c>
      <c r="N1549" s="81" t="s">
        <v>31</v>
      </c>
      <c r="O1549" s="81" t="s">
        <v>32</v>
      </c>
      <c r="P1549" s="81" t="s">
        <v>33</v>
      </c>
      <c r="Q1549" s="33">
        <v>46049</v>
      </c>
      <c r="R1549" s="45"/>
      <c r="S1549" s="45"/>
      <c r="T1549" s="45"/>
      <c r="U1549" s="45"/>
      <c r="V1549" s="45">
        <f>IF(OR(ISNUMBER(SEARCH("unable to locate acct",G1549)),ISNUMBER(SEARCH("unknown",G1549)),ISNUMBER(SEARCH("inactive",G1549)),H1549=""),0,1)</f>
        <v>1</v>
      </c>
    </row>
    <row r="1550" spans="1:22">
      <c r="A1550" s="74">
        <v>46043</v>
      </c>
      <c r="B1550" s="45" t="s">
        <v>3818</v>
      </c>
      <c r="C1550" s="45" t="s">
        <v>3151</v>
      </c>
      <c r="D1550" s="45" t="s">
        <v>57</v>
      </c>
      <c r="E1550" s="45">
        <v>85027</v>
      </c>
      <c r="F1550" s="45" t="s">
        <v>3819</v>
      </c>
      <c r="G1550" s="76" t="s">
        <v>3769</v>
      </c>
      <c r="H1550" s="80" t="s">
        <v>5058</v>
      </c>
      <c r="I1550" s="81" t="s">
        <v>51</v>
      </c>
      <c r="J1550" s="81" t="s">
        <v>31</v>
      </c>
      <c r="K1550" s="81" t="s">
        <v>31</v>
      </c>
      <c r="L1550" s="81" t="s">
        <v>3820</v>
      </c>
      <c r="M1550" s="81" t="s">
        <v>31</v>
      </c>
      <c r="N1550" s="81" t="s">
        <v>31</v>
      </c>
      <c r="O1550" s="81" t="s">
        <v>32</v>
      </c>
      <c r="P1550" s="81"/>
      <c r="Q1550" s="41">
        <v>46049</v>
      </c>
      <c r="R1550" s="45" t="s">
        <v>3468</v>
      </c>
      <c r="S1550" s="45"/>
      <c r="T1550" s="45"/>
      <c r="U1550" s="45"/>
      <c r="V1550" s="45">
        <f>IF(OR(ISNUMBER(SEARCH("unable to locate acct",G1550)),ISNUMBER(SEARCH("unknown",G1550)),ISNUMBER(SEARCH("inactive",G1550)),H1550=""),0,1)</f>
        <v>1</v>
      </c>
    </row>
    <row r="1551" spans="1:22">
      <c r="A1551" s="74">
        <v>46043</v>
      </c>
      <c r="B1551" s="45" t="s">
        <v>3821</v>
      </c>
      <c r="C1551" s="45" t="s">
        <v>73</v>
      </c>
      <c r="D1551" s="45" t="s">
        <v>18</v>
      </c>
      <c r="E1551" s="45">
        <v>85301</v>
      </c>
      <c r="F1551" s="45" t="s">
        <v>3822</v>
      </c>
      <c r="G1551" s="76" t="s">
        <v>3769</v>
      </c>
      <c r="H1551" s="80" t="s">
        <v>4949</v>
      </c>
      <c r="I1551" s="81" t="s">
        <v>120</v>
      </c>
      <c r="J1551" s="81" t="s">
        <v>31</v>
      </c>
      <c r="K1551" s="81" t="s">
        <v>31</v>
      </c>
      <c r="L1551" s="81" t="s">
        <v>3823</v>
      </c>
      <c r="M1551" s="81" t="s">
        <v>32</v>
      </c>
      <c r="N1551" s="81">
        <v>43.34</v>
      </c>
      <c r="O1551" s="81" t="s">
        <v>32</v>
      </c>
      <c r="P1551" s="81" t="s">
        <v>33</v>
      </c>
      <c r="Q1551" s="33">
        <v>45684</v>
      </c>
      <c r="R1551" s="45"/>
      <c r="S1551" s="45"/>
      <c r="T1551" s="45"/>
      <c r="U1551" s="45"/>
      <c r="V1551" s="45">
        <f>IF(OR(ISNUMBER(SEARCH("unable to locate acct",G1551)),ISNUMBER(SEARCH("unknown",G1551)),ISNUMBER(SEARCH("inactive",G1551)),H1551=""),0,1)</f>
        <v>1</v>
      </c>
    </row>
    <row r="1552" spans="1:22">
      <c r="A1552" s="74">
        <v>46043</v>
      </c>
      <c r="B1552" s="45" t="s">
        <v>3824</v>
      </c>
      <c r="C1552" s="45" t="s">
        <v>246</v>
      </c>
      <c r="D1552" s="45" t="s">
        <v>57</v>
      </c>
      <c r="E1552" s="45">
        <v>85013</v>
      </c>
      <c r="F1552" s="45" t="s">
        <v>3825</v>
      </c>
      <c r="G1552" s="76" t="s">
        <v>3769</v>
      </c>
      <c r="H1552" s="80" t="s">
        <v>5393</v>
      </c>
      <c r="I1552" s="81" t="s">
        <v>67</v>
      </c>
      <c r="J1552" s="81" t="s">
        <v>31</v>
      </c>
      <c r="K1552" s="81" t="s">
        <v>31</v>
      </c>
      <c r="L1552" s="81" t="s">
        <v>32</v>
      </c>
      <c r="M1552" s="81" t="s">
        <v>31</v>
      </c>
      <c r="N1552" s="81" t="s">
        <v>31</v>
      </c>
      <c r="O1552" s="81" t="s">
        <v>32</v>
      </c>
      <c r="P1552" s="81" t="s">
        <v>33</v>
      </c>
      <c r="Q1552" s="33">
        <v>46049</v>
      </c>
      <c r="R1552" s="45"/>
      <c r="S1552" s="45"/>
      <c r="T1552" s="45"/>
      <c r="U1552" s="45"/>
      <c r="V1552" s="45">
        <f>IF(OR(ISNUMBER(SEARCH("unable to locate acct",G1552)),ISNUMBER(SEARCH("unknown",G1552)),ISNUMBER(SEARCH("inactive",G1552)),H1552=""),0,1)</f>
        <v>1</v>
      </c>
    </row>
    <row r="1553" spans="1:22">
      <c r="A1553" s="74">
        <v>46043</v>
      </c>
      <c r="B1553" s="45" t="s">
        <v>3826</v>
      </c>
      <c r="C1553" s="45" t="s">
        <v>246</v>
      </c>
      <c r="D1553" s="45" t="s">
        <v>196</v>
      </c>
      <c r="E1553" s="45">
        <v>85345</v>
      </c>
      <c r="F1553" s="45" t="s">
        <v>3827</v>
      </c>
      <c r="G1553" s="76" t="s">
        <v>3769</v>
      </c>
      <c r="H1553" s="80" t="s">
        <v>21</v>
      </c>
      <c r="I1553" s="81"/>
      <c r="J1553" s="81"/>
      <c r="K1553" s="81"/>
      <c r="L1553" s="81"/>
      <c r="M1553" s="81"/>
      <c r="N1553" s="81"/>
      <c r="O1553" s="81"/>
      <c r="P1553" s="81"/>
      <c r="Q1553" s="18"/>
      <c r="R1553" s="45"/>
      <c r="S1553" s="45"/>
      <c r="T1553" s="45"/>
      <c r="U1553" s="45"/>
      <c r="V1553" s="45">
        <f>IF(OR(ISNUMBER(SEARCH("unable to locate acct",G1553)),ISNUMBER(SEARCH("unknown",G1553)),ISNUMBER(SEARCH("inactive",G1553)),H1553=""),0,1)</f>
        <v>1</v>
      </c>
    </row>
    <row r="1554" spans="1:22">
      <c r="A1554" s="74">
        <v>46043</v>
      </c>
      <c r="B1554" s="45" t="s">
        <v>68</v>
      </c>
      <c r="C1554" s="45" t="s">
        <v>3828</v>
      </c>
      <c r="D1554" s="45" t="s">
        <v>196</v>
      </c>
      <c r="E1554" s="45">
        <v>85383</v>
      </c>
      <c r="F1554" s="45" t="s">
        <v>3829</v>
      </c>
      <c r="G1554" s="76" t="s">
        <v>3830</v>
      </c>
      <c r="H1554" s="80" t="s">
        <v>5394</v>
      </c>
      <c r="I1554" s="81" t="s">
        <v>962</v>
      </c>
      <c r="J1554" s="81" t="s">
        <v>31</v>
      </c>
      <c r="K1554" s="81" t="s">
        <v>31</v>
      </c>
      <c r="L1554" s="81" t="s">
        <v>32</v>
      </c>
      <c r="M1554" s="81" t="s">
        <v>31</v>
      </c>
      <c r="N1554" s="81" t="s">
        <v>31</v>
      </c>
      <c r="O1554" s="81" t="s">
        <v>32</v>
      </c>
      <c r="P1554" s="81" t="s">
        <v>33</v>
      </c>
      <c r="Q1554" s="33">
        <v>46049</v>
      </c>
      <c r="R1554" s="45" t="s">
        <v>3778</v>
      </c>
      <c r="S1554" s="45"/>
      <c r="T1554" s="45"/>
      <c r="U1554" s="45"/>
      <c r="V1554" s="45">
        <f>IF(OR(ISNUMBER(SEARCH("unable to locate acct",G1554)),ISNUMBER(SEARCH("unknown",G1554)),ISNUMBER(SEARCH("inactive",G1554)),H1554=""),0,1)</f>
        <v>1</v>
      </c>
    </row>
    <row r="1555" spans="1:22">
      <c r="A1555" s="74">
        <v>46043</v>
      </c>
      <c r="B1555" s="45" t="s">
        <v>3831</v>
      </c>
      <c r="C1555" s="45" t="s">
        <v>748</v>
      </c>
      <c r="D1555" s="45" t="s">
        <v>163</v>
      </c>
      <c r="E1555" s="45">
        <v>85395</v>
      </c>
      <c r="F1555" s="45" t="s">
        <v>3832</v>
      </c>
      <c r="G1555" s="76" t="s">
        <v>3830</v>
      </c>
      <c r="H1555" s="80" t="s">
        <v>5395</v>
      </c>
      <c r="I1555" s="81" t="s">
        <v>244</v>
      </c>
      <c r="J1555" s="81" t="s">
        <v>31</v>
      </c>
      <c r="K1555" s="81" t="s">
        <v>31</v>
      </c>
      <c r="L1555" s="81" t="s">
        <v>32</v>
      </c>
      <c r="M1555" s="81" t="s">
        <v>31</v>
      </c>
      <c r="N1555" s="81" t="s">
        <v>31</v>
      </c>
      <c r="O1555" s="81" t="s">
        <v>32</v>
      </c>
      <c r="P1555" s="81" t="s">
        <v>33</v>
      </c>
      <c r="Q1555" s="33">
        <v>46049</v>
      </c>
      <c r="R1555" s="45"/>
      <c r="S1555" s="45"/>
      <c r="T1555" s="45"/>
      <c r="U1555" s="45"/>
      <c r="V1555" s="45">
        <f>IF(OR(ISNUMBER(SEARCH("unable to locate acct",G1555)),ISNUMBER(SEARCH("unknown",G1555)),ISNUMBER(SEARCH("inactive",G1555)),H1555=""),0,1)</f>
        <v>1</v>
      </c>
    </row>
    <row r="1556" spans="1:22">
      <c r="A1556" s="74">
        <v>46043</v>
      </c>
      <c r="B1556" s="45" t="s">
        <v>2872</v>
      </c>
      <c r="C1556" s="45" t="s">
        <v>3833</v>
      </c>
      <c r="D1556" s="45" t="s">
        <v>106</v>
      </c>
      <c r="E1556" s="45">
        <v>85379</v>
      </c>
      <c r="F1556" s="45" t="s">
        <v>3834</v>
      </c>
      <c r="G1556" s="76" t="s">
        <v>3830</v>
      </c>
      <c r="H1556" s="80" t="s">
        <v>5396</v>
      </c>
      <c r="I1556" s="81" t="s">
        <v>30</v>
      </c>
      <c r="J1556" s="81" t="s">
        <v>31</v>
      </c>
      <c r="K1556" s="81" t="s">
        <v>31</v>
      </c>
      <c r="L1556" s="81" t="s">
        <v>32</v>
      </c>
      <c r="M1556" s="81" t="s">
        <v>31</v>
      </c>
      <c r="N1556" s="81" t="s">
        <v>31</v>
      </c>
      <c r="O1556" s="81" t="s">
        <v>32</v>
      </c>
      <c r="P1556" s="81" t="s">
        <v>33</v>
      </c>
      <c r="Q1556" s="33">
        <v>46049</v>
      </c>
      <c r="R1556" s="45"/>
      <c r="S1556" s="45"/>
      <c r="T1556" s="45"/>
      <c r="U1556" s="45"/>
      <c r="V1556" s="45">
        <f>IF(OR(ISNUMBER(SEARCH("unable to locate acct",G1556)),ISNUMBER(SEARCH("unknown",G1556)),ISNUMBER(SEARCH("inactive",G1556)),H1556=""),0,1)</f>
        <v>1</v>
      </c>
    </row>
    <row r="1557" spans="1:22">
      <c r="A1557" s="74">
        <v>46043</v>
      </c>
      <c r="B1557" s="45" t="s">
        <v>117</v>
      </c>
      <c r="C1557" s="45" t="s">
        <v>118</v>
      </c>
      <c r="D1557" s="45" t="s">
        <v>119</v>
      </c>
      <c r="E1557" s="45">
        <v>85254</v>
      </c>
      <c r="F1557" s="45" t="s">
        <v>3835</v>
      </c>
      <c r="G1557" s="76" t="s">
        <v>3830</v>
      </c>
      <c r="H1557" s="80" t="s">
        <v>5111</v>
      </c>
      <c r="I1557" s="81" t="s">
        <v>120</v>
      </c>
      <c r="J1557" s="81" t="s">
        <v>31</v>
      </c>
      <c r="K1557" s="81" t="s">
        <v>31</v>
      </c>
      <c r="L1557" s="81" t="s">
        <v>32</v>
      </c>
      <c r="M1557" s="81" t="s">
        <v>31</v>
      </c>
      <c r="N1557" s="81" t="s">
        <v>31</v>
      </c>
      <c r="O1557" s="81" t="s">
        <v>32</v>
      </c>
      <c r="P1557" s="81" t="s">
        <v>33</v>
      </c>
      <c r="Q1557" s="33">
        <v>46049</v>
      </c>
      <c r="R1557" s="45"/>
      <c r="S1557" s="45"/>
      <c r="T1557" s="45"/>
      <c r="U1557" s="45"/>
      <c r="V1557" s="45">
        <f>IF(OR(ISNUMBER(SEARCH("unable to locate acct",G1557)),ISNUMBER(SEARCH("unknown",G1557)),ISNUMBER(SEARCH("inactive",G1557)),H1557=""),0,1)</f>
        <v>1</v>
      </c>
    </row>
    <row r="1558" spans="1:22">
      <c r="A1558" s="74">
        <v>46043</v>
      </c>
      <c r="B1558" s="45" t="s">
        <v>2943</v>
      </c>
      <c r="C1558" s="45" t="s">
        <v>356</v>
      </c>
      <c r="D1558" s="45" t="s">
        <v>57</v>
      </c>
      <c r="E1558" s="45">
        <v>85022</v>
      </c>
      <c r="F1558" s="45" t="s">
        <v>3836</v>
      </c>
      <c r="G1558" s="76" t="s">
        <v>3830</v>
      </c>
      <c r="H1558" s="80" t="s">
        <v>5059</v>
      </c>
      <c r="I1558" s="81" t="s">
        <v>120</v>
      </c>
      <c r="J1558" s="81" t="s">
        <v>31</v>
      </c>
      <c r="K1558" s="81" t="s">
        <v>31</v>
      </c>
      <c r="L1558" s="81" t="s">
        <v>3837</v>
      </c>
      <c r="M1558" s="81" t="s">
        <v>31</v>
      </c>
      <c r="N1558" s="81" t="s">
        <v>31</v>
      </c>
      <c r="O1558" s="81" t="s">
        <v>32</v>
      </c>
      <c r="P1558" s="81" t="s">
        <v>33</v>
      </c>
      <c r="Q1558" s="33">
        <v>46049</v>
      </c>
      <c r="R1558" s="45"/>
      <c r="S1558" s="45"/>
      <c r="T1558" s="45"/>
      <c r="U1558" s="45"/>
      <c r="V1558" s="45">
        <f>IF(OR(ISNUMBER(SEARCH("unable to locate acct",G1558)),ISNUMBER(SEARCH("unknown",G1558)),ISNUMBER(SEARCH("inactive",G1558)),H1558=""),0,1)</f>
        <v>1</v>
      </c>
    </row>
    <row r="1559" spans="1:22">
      <c r="A1559" s="74">
        <v>46043</v>
      </c>
      <c r="B1559" s="45" t="s">
        <v>3838</v>
      </c>
      <c r="C1559" s="45" t="s">
        <v>111</v>
      </c>
      <c r="D1559" s="45" t="s">
        <v>106</v>
      </c>
      <c r="E1559" s="45">
        <v>85374</v>
      </c>
      <c r="F1559" s="45" t="s">
        <v>3839</v>
      </c>
      <c r="G1559" s="76" t="s">
        <v>3830</v>
      </c>
      <c r="H1559" s="80" t="s">
        <v>21</v>
      </c>
      <c r="I1559" s="81"/>
      <c r="J1559" s="81"/>
      <c r="K1559" s="81"/>
      <c r="L1559" s="81"/>
      <c r="M1559" s="81"/>
      <c r="N1559" s="81"/>
      <c r="O1559" s="81"/>
      <c r="P1559" s="81"/>
      <c r="Q1559" s="18"/>
      <c r="R1559" s="45"/>
      <c r="S1559" s="45"/>
      <c r="T1559" s="45"/>
      <c r="U1559" s="45"/>
      <c r="V1559" s="45">
        <f>IF(OR(ISNUMBER(SEARCH("unable to locate acct",G1559)),ISNUMBER(SEARCH("unknown",G1559)),ISNUMBER(SEARCH("inactive",G1559)),H1559=""),0,1)</f>
        <v>1</v>
      </c>
    </row>
    <row r="1560" spans="1:22">
      <c r="A1560" s="74">
        <v>46043</v>
      </c>
      <c r="B1560" s="45" t="s">
        <v>3840</v>
      </c>
      <c r="C1560" s="45" t="s">
        <v>3841</v>
      </c>
      <c r="D1560" s="45" t="s">
        <v>106</v>
      </c>
      <c r="E1560" s="45">
        <v>85379</v>
      </c>
      <c r="F1560" s="45" t="s">
        <v>3842</v>
      </c>
      <c r="G1560" s="76" t="s">
        <v>3830</v>
      </c>
      <c r="H1560" s="80" t="s">
        <v>5397</v>
      </c>
      <c r="I1560" s="81" t="s">
        <v>3773</v>
      </c>
      <c r="J1560" s="81" t="s">
        <v>31</v>
      </c>
      <c r="K1560" s="81" t="s">
        <v>31</v>
      </c>
      <c r="L1560" s="81" t="s">
        <v>32</v>
      </c>
      <c r="M1560" s="81" t="s">
        <v>31</v>
      </c>
      <c r="N1560" s="81" t="s">
        <v>31</v>
      </c>
      <c r="O1560" s="81" t="s">
        <v>32</v>
      </c>
      <c r="P1560" s="81" t="s">
        <v>33</v>
      </c>
      <c r="Q1560" s="33">
        <v>46049</v>
      </c>
      <c r="R1560" s="45"/>
      <c r="S1560" s="45"/>
      <c r="T1560" s="45"/>
      <c r="U1560" s="45"/>
      <c r="V1560" s="45">
        <f>IF(OR(ISNUMBER(SEARCH("unable to locate acct",G1560)),ISNUMBER(SEARCH("unknown",G1560)),ISNUMBER(SEARCH("inactive",G1560)),H1560=""),0,1)</f>
        <v>1</v>
      </c>
    </row>
    <row r="1561" spans="1:22">
      <c r="A1561" s="74">
        <v>46043</v>
      </c>
      <c r="B1561" s="45" t="s">
        <v>3843</v>
      </c>
      <c r="C1561" s="45" t="s">
        <v>3844</v>
      </c>
      <c r="D1561" s="45" t="s">
        <v>57</v>
      </c>
      <c r="E1561" s="45">
        <v>85006</v>
      </c>
      <c r="F1561" s="45" t="s">
        <v>3845</v>
      </c>
      <c r="G1561" s="76" t="s">
        <v>3830</v>
      </c>
      <c r="H1561" s="80" t="s">
        <v>21</v>
      </c>
      <c r="I1561" s="81"/>
      <c r="J1561" s="81"/>
      <c r="K1561" s="81"/>
      <c r="L1561" s="81"/>
      <c r="M1561" s="81"/>
      <c r="N1561" s="81"/>
      <c r="O1561" s="81"/>
      <c r="P1561" s="81"/>
      <c r="Q1561" s="18"/>
      <c r="R1561" s="45"/>
      <c r="S1561" s="45"/>
      <c r="T1561" s="45"/>
      <c r="U1561" s="45"/>
      <c r="V1561" s="45">
        <f>IF(OR(ISNUMBER(SEARCH("unable to locate acct",G1561)),ISNUMBER(SEARCH("unknown",G1561)),ISNUMBER(SEARCH("inactive",G1561)),H1561=""),0,1)</f>
        <v>1</v>
      </c>
    </row>
    <row r="1562" spans="1:22">
      <c r="A1562" s="74">
        <v>46043</v>
      </c>
      <c r="B1562" s="45" t="s">
        <v>3846</v>
      </c>
      <c r="C1562" s="45" t="s">
        <v>3847</v>
      </c>
      <c r="D1562" s="45" t="s">
        <v>18</v>
      </c>
      <c r="E1562" s="45">
        <v>85308</v>
      </c>
      <c r="F1562" s="45" t="s">
        <v>3848</v>
      </c>
      <c r="G1562" s="76" t="s">
        <v>3830</v>
      </c>
      <c r="H1562" s="80" t="s">
        <v>21</v>
      </c>
      <c r="I1562" s="81"/>
      <c r="J1562" s="81"/>
      <c r="K1562" s="81"/>
      <c r="L1562" s="81"/>
      <c r="M1562" s="81"/>
      <c r="N1562" s="81"/>
      <c r="O1562" s="81"/>
      <c r="P1562" s="81"/>
      <c r="Q1562" s="18"/>
      <c r="R1562" s="45"/>
      <c r="S1562" s="45"/>
      <c r="T1562" s="45"/>
      <c r="U1562" s="45"/>
      <c r="V1562" s="45">
        <f>IF(OR(ISNUMBER(SEARCH("unable to locate acct",G1562)),ISNUMBER(SEARCH("unknown",G1562)),ISNUMBER(SEARCH("inactive",G1562)),H1562=""),0,1)</f>
        <v>1</v>
      </c>
    </row>
    <row r="1563" spans="1:22">
      <c r="A1563" s="74">
        <v>46043</v>
      </c>
      <c r="B1563" s="45" t="s">
        <v>3849</v>
      </c>
      <c r="C1563" s="45" t="s">
        <v>3850</v>
      </c>
      <c r="D1563" s="45" t="s">
        <v>106</v>
      </c>
      <c r="E1563" s="45">
        <v>85379</v>
      </c>
      <c r="F1563" s="45" t="s">
        <v>3851</v>
      </c>
      <c r="G1563" s="76" t="s">
        <v>3830</v>
      </c>
      <c r="H1563" s="80" t="s">
        <v>5398</v>
      </c>
      <c r="I1563" s="81" t="s">
        <v>30</v>
      </c>
      <c r="J1563" s="81" t="s">
        <v>31</v>
      </c>
      <c r="K1563" s="81" t="s">
        <v>31</v>
      </c>
      <c r="L1563" s="81" t="s">
        <v>32</v>
      </c>
      <c r="M1563" s="81" t="s">
        <v>31</v>
      </c>
      <c r="N1563" s="81" t="s">
        <v>31</v>
      </c>
      <c r="O1563" s="81" t="s">
        <v>32</v>
      </c>
      <c r="P1563" s="81" t="s">
        <v>33</v>
      </c>
      <c r="Q1563" s="33">
        <v>46049</v>
      </c>
      <c r="R1563" s="45"/>
      <c r="S1563" s="45"/>
      <c r="T1563" s="45"/>
      <c r="U1563" s="45"/>
      <c r="V1563" s="45">
        <f>IF(OR(ISNUMBER(SEARCH("unable to locate acct",G1563)),ISNUMBER(SEARCH("unknown",G1563)),ISNUMBER(SEARCH("inactive",G1563)),H1563=""),0,1)</f>
        <v>1</v>
      </c>
    </row>
    <row r="1564" spans="1:22">
      <c r="A1564" s="74">
        <v>46043</v>
      </c>
      <c r="B1564" s="45" t="s">
        <v>3852</v>
      </c>
      <c r="C1564" s="45" t="s">
        <v>463</v>
      </c>
      <c r="D1564" s="45" t="s">
        <v>2046</v>
      </c>
      <c r="E1564" s="45">
        <v>85132</v>
      </c>
      <c r="F1564" s="45" t="s">
        <v>3853</v>
      </c>
      <c r="G1564" s="76" t="s">
        <v>3830</v>
      </c>
      <c r="H1564" s="80" t="s">
        <v>5399</v>
      </c>
      <c r="I1564" s="81" t="s">
        <v>3773</v>
      </c>
      <c r="J1564" s="81" t="s">
        <v>31</v>
      </c>
      <c r="K1564" s="81" t="s">
        <v>31</v>
      </c>
      <c r="L1564" s="81" t="s">
        <v>32</v>
      </c>
      <c r="M1564" s="81" t="s">
        <v>31</v>
      </c>
      <c r="N1564" s="81" t="s">
        <v>31</v>
      </c>
      <c r="O1564" s="81" t="s">
        <v>32</v>
      </c>
      <c r="P1564" s="81" t="s">
        <v>33</v>
      </c>
      <c r="Q1564" s="33">
        <v>46049</v>
      </c>
      <c r="R1564" s="45"/>
      <c r="S1564" s="45"/>
      <c r="T1564" s="45"/>
      <c r="U1564" s="45"/>
      <c r="V1564" s="45">
        <f>IF(OR(ISNUMBER(SEARCH("unable to locate acct",G1564)),ISNUMBER(SEARCH("unknown",G1564)),ISNUMBER(SEARCH("inactive",G1564)),H1564=""),0,1)</f>
        <v>1</v>
      </c>
    </row>
    <row r="1565" spans="1:22">
      <c r="A1565" s="74">
        <v>46043</v>
      </c>
      <c r="B1565" s="45" t="s">
        <v>3854</v>
      </c>
      <c r="C1565" s="45" t="s">
        <v>3151</v>
      </c>
      <c r="D1565" s="45" t="s">
        <v>626</v>
      </c>
      <c r="E1565" s="45">
        <v>85281</v>
      </c>
      <c r="F1565" s="45" t="s">
        <v>3855</v>
      </c>
      <c r="G1565" s="76" t="s">
        <v>3830</v>
      </c>
      <c r="H1565" s="80" t="s">
        <v>5060</v>
      </c>
      <c r="I1565" s="81" t="s">
        <v>51</v>
      </c>
      <c r="J1565" s="81" t="s">
        <v>32</v>
      </c>
      <c r="K1565" s="81" t="s">
        <v>31</v>
      </c>
      <c r="L1565" s="81" t="s">
        <v>3856</v>
      </c>
      <c r="M1565" s="81" t="s">
        <v>31</v>
      </c>
      <c r="N1565" s="81" t="s">
        <v>31</v>
      </c>
      <c r="O1565" s="81" t="s">
        <v>32</v>
      </c>
      <c r="P1565" s="81" t="s">
        <v>33</v>
      </c>
      <c r="Q1565" s="33">
        <v>46049</v>
      </c>
      <c r="R1565" s="45"/>
      <c r="S1565" s="45"/>
      <c r="T1565" s="45"/>
      <c r="U1565" s="45"/>
      <c r="V1565" s="45">
        <f>IF(OR(ISNUMBER(SEARCH("unable to locate acct",G1565)),ISNUMBER(SEARCH("unknown",G1565)),ISNUMBER(SEARCH("inactive",G1565)),H1565=""),0,1)</f>
        <v>1</v>
      </c>
    </row>
    <row r="1566" spans="1:22">
      <c r="A1566" s="74">
        <v>46043</v>
      </c>
      <c r="B1566" s="45" t="s">
        <v>3857</v>
      </c>
      <c r="C1566" s="45" t="s">
        <v>3858</v>
      </c>
      <c r="D1566" s="45" t="s">
        <v>57</v>
      </c>
      <c r="E1566" s="45">
        <v>85027</v>
      </c>
      <c r="F1566" s="45" t="s">
        <v>3859</v>
      </c>
      <c r="G1566" s="76" t="s">
        <v>3830</v>
      </c>
      <c r="H1566" s="80" t="s">
        <v>5400</v>
      </c>
      <c r="I1566" s="81" t="s">
        <v>3351</v>
      </c>
      <c r="J1566" s="81" t="s">
        <v>31</v>
      </c>
      <c r="K1566" s="81" t="s">
        <v>31</v>
      </c>
      <c r="L1566" s="81" t="s">
        <v>32</v>
      </c>
      <c r="M1566" s="81" t="s">
        <v>31</v>
      </c>
      <c r="N1566" s="81" t="s">
        <v>31</v>
      </c>
      <c r="O1566" s="81" t="s">
        <v>32</v>
      </c>
      <c r="P1566" s="81" t="s">
        <v>33</v>
      </c>
      <c r="Q1566" s="33">
        <v>46049</v>
      </c>
      <c r="R1566" s="45"/>
      <c r="S1566" s="45"/>
      <c r="T1566" s="45"/>
      <c r="U1566" s="45"/>
      <c r="V1566" s="45">
        <f>IF(OR(ISNUMBER(SEARCH("unable to locate acct",G1566)),ISNUMBER(SEARCH("unknown",G1566)),ISNUMBER(SEARCH("inactive",G1566)),H1566=""),0,1)</f>
        <v>1</v>
      </c>
    </row>
    <row r="1567" spans="1:22">
      <c r="A1567" s="74">
        <v>46043</v>
      </c>
      <c r="B1567" s="45" t="s">
        <v>3860</v>
      </c>
      <c r="C1567" s="45" t="s">
        <v>3861</v>
      </c>
      <c r="D1567" s="45" t="s">
        <v>57</v>
      </c>
      <c r="E1567" s="45">
        <v>85003</v>
      </c>
      <c r="F1567" s="45" t="s">
        <v>3862</v>
      </c>
      <c r="G1567" s="76" t="s">
        <v>3830</v>
      </c>
      <c r="H1567" s="80" t="s">
        <v>5401</v>
      </c>
      <c r="I1567" s="81" t="s">
        <v>30</v>
      </c>
      <c r="J1567" s="81" t="s">
        <v>31</v>
      </c>
      <c r="K1567" s="81" t="s">
        <v>31</v>
      </c>
      <c r="L1567" s="81" t="s">
        <v>32</v>
      </c>
      <c r="M1567" s="81" t="s">
        <v>31</v>
      </c>
      <c r="N1567" s="81" t="s">
        <v>31</v>
      </c>
      <c r="O1567" s="81" t="s">
        <v>32</v>
      </c>
      <c r="P1567" s="81" t="s">
        <v>33</v>
      </c>
      <c r="Q1567" s="33">
        <v>46050</v>
      </c>
      <c r="R1567" s="45"/>
      <c r="S1567" s="45"/>
      <c r="T1567" s="45"/>
      <c r="U1567" s="45"/>
      <c r="V1567" s="45">
        <f>IF(OR(ISNUMBER(SEARCH("unable to locate acct",G1567)),ISNUMBER(SEARCH("unknown",G1567)),ISNUMBER(SEARCH("inactive",G1567)),H1567=""),0,1)</f>
        <v>1</v>
      </c>
    </row>
    <row r="1568" spans="1:22">
      <c r="A1568" s="74">
        <v>46043</v>
      </c>
      <c r="B1568" s="45" t="s">
        <v>3863</v>
      </c>
      <c r="C1568" s="45" t="s">
        <v>639</v>
      </c>
      <c r="D1568" s="45" t="s">
        <v>3626</v>
      </c>
      <c r="E1568" s="45">
        <v>85013</v>
      </c>
      <c r="F1568" s="45" t="s">
        <v>3772</v>
      </c>
      <c r="G1568" s="76" t="s">
        <v>3830</v>
      </c>
      <c r="H1568" s="80" t="s">
        <v>5061</v>
      </c>
      <c r="I1568" s="81" t="s">
        <v>190</v>
      </c>
      <c r="J1568" s="81" t="s">
        <v>31</v>
      </c>
      <c r="K1568" s="81" t="s">
        <v>31</v>
      </c>
      <c r="L1568" s="81" t="s">
        <v>3864</v>
      </c>
      <c r="M1568" s="81" t="s">
        <v>31</v>
      </c>
      <c r="N1568" s="81" t="s">
        <v>31</v>
      </c>
      <c r="O1568" s="81" t="s">
        <v>32</v>
      </c>
      <c r="P1568" s="81"/>
      <c r="Q1568" s="41">
        <v>46050</v>
      </c>
      <c r="R1568" s="45" t="s">
        <v>3775</v>
      </c>
      <c r="S1568" s="45"/>
      <c r="T1568" s="45"/>
      <c r="U1568" s="45"/>
      <c r="V1568" s="45">
        <f>IF(OR(ISNUMBER(SEARCH("unable to locate acct",G1568)),ISNUMBER(SEARCH("unknown",G1568)),ISNUMBER(SEARCH("inactive",G1568)),H1568=""),0,1)</f>
        <v>1</v>
      </c>
    </row>
    <row r="1569" spans="1:22">
      <c r="A1569" s="74">
        <v>46043</v>
      </c>
      <c r="B1569" s="45" t="s">
        <v>3865</v>
      </c>
      <c r="C1569" s="45" t="s">
        <v>3866</v>
      </c>
      <c r="D1569" s="45" t="s">
        <v>106</v>
      </c>
      <c r="E1569" s="45">
        <v>85379</v>
      </c>
      <c r="F1569" s="45" t="s">
        <v>3867</v>
      </c>
      <c r="G1569" s="76" t="s">
        <v>3830</v>
      </c>
      <c r="H1569" s="80" t="s">
        <v>21</v>
      </c>
      <c r="I1569" s="81"/>
      <c r="J1569" s="81"/>
      <c r="K1569" s="81"/>
      <c r="L1569" s="81"/>
      <c r="M1569" s="81"/>
      <c r="N1569" s="81"/>
      <c r="O1569" s="81"/>
      <c r="P1569" s="81"/>
      <c r="Q1569" s="18"/>
      <c r="R1569" s="45"/>
      <c r="S1569" s="45"/>
      <c r="T1569" s="45"/>
      <c r="U1569" s="45"/>
      <c r="V1569" s="45">
        <f>IF(OR(ISNUMBER(SEARCH("unable to locate acct",G1569)),ISNUMBER(SEARCH("unknown",G1569)),ISNUMBER(SEARCH("inactive",G1569)),H1569=""),0,1)</f>
        <v>1</v>
      </c>
    </row>
    <row r="1570" spans="1:22">
      <c r="A1570" s="74">
        <v>46043</v>
      </c>
      <c r="B1570" s="45" t="s">
        <v>3868</v>
      </c>
      <c r="C1570" s="45" t="s">
        <v>3869</v>
      </c>
      <c r="D1570" s="45" t="s">
        <v>163</v>
      </c>
      <c r="E1570" s="45">
        <v>85338</v>
      </c>
      <c r="F1570" s="45" t="s">
        <v>3835</v>
      </c>
      <c r="G1570" s="76" t="s">
        <v>3830</v>
      </c>
      <c r="H1570" s="80" t="s">
        <v>5402</v>
      </c>
      <c r="I1570" s="81" t="s">
        <v>190</v>
      </c>
      <c r="J1570" s="81" t="s">
        <v>31</v>
      </c>
      <c r="K1570" s="81" t="s">
        <v>31</v>
      </c>
      <c r="L1570" s="81" t="s">
        <v>32</v>
      </c>
      <c r="M1570" s="81" t="s">
        <v>31</v>
      </c>
      <c r="N1570" s="81" t="s">
        <v>31</v>
      </c>
      <c r="O1570" s="81" t="s">
        <v>32</v>
      </c>
      <c r="P1570" s="81" t="s">
        <v>33</v>
      </c>
      <c r="Q1570" s="33">
        <v>46050</v>
      </c>
      <c r="R1570" s="45"/>
      <c r="S1570" s="45"/>
      <c r="T1570" s="45"/>
      <c r="U1570" s="45"/>
      <c r="V1570" s="45">
        <f>IF(OR(ISNUMBER(SEARCH("unable to locate acct",G1570)),ISNUMBER(SEARCH("unknown",G1570)),ISNUMBER(SEARCH("inactive",G1570)),H1570=""),0,1)</f>
        <v>1</v>
      </c>
    </row>
    <row r="1571" spans="1:22">
      <c r="A1571" s="74">
        <v>46043</v>
      </c>
      <c r="B1571" s="45" t="s">
        <v>1986</v>
      </c>
      <c r="C1571" s="45" t="s">
        <v>1645</v>
      </c>
      <c r="D1571" s="45" t="s">
        <v>57</v>
      </c>
      <c r="E1571" s="45">
        <v>85014</v>
      </c>
      <c r="F1571" s="45" t="s">
        <v>3772</v>
      </c>
      <c r="G1571" s="76" t="s">
        <v>3830</v>
      </c>
      <c r="H1571" s="80" t="s">
        <v>84</v>
      </c>
      <c r="I1571" s="81"/>
      <c r="J1571" s="81"/>
      <c r="K1571" s="81"/>
      <c r="L1571" s="81"/>
      <c r="M1571" s="81"/>
      <c r="N1571" s="81"/>
      <c r="O1571" s="81"/>
      <c r="P1571" s="81"/>
      <c r="Q1571" s="18"/>
      <c r="R1571" s="45"/>
      <c r="S1571" s="45"/>
      <c r="T1571" s="45"/>
      <c r="U1571" s="45"/>
      <c r="V1571" s="45">
        <f>IF(OR(ISNUMBER(SEARCH("unable to locate acct",G1571)),ISNUMBER(SEARCH("unknown",G1571)),ISNUMBER(SEARCH("inactive",G1571)),H1571=""),0,1)</f>
        <v>1</v>
      </c>
    </row>
    <row r="1572" spans="1:22">
      <c r="A1572" s="74">
        <v>46043</v>
      </c>
      <c r="B1572" s="45" t="s">
        <v>3870</v>
      </c>
      <c r="C1572" s="45" t="s">
        <v>3871</v>
      </c>
      <c r="D1572" s="45" t="s">
        <v>106</v>
      </c>
      <c r="E1572" s="45">
        <v>85387</v>
      </c>
      <c r="F1572" s="45" t="s">
        <v>3872</v>
      </c>
      <c r="G1572" s="76" t="s">
        <v>3830</v>
      </c>
      <c r="H1572" s="80" t="s">
        <v>5062</v>
      </c>
      <c r="I1572" s="81" t="s">
        <v>190</v>
      </c>
      <c r="J1572" s="81" t="s">
        <v>31</v>
      </c>
      <c r="K1572" s="81" t="s">
        <v>31</v>
      </c>
      <c r="L1572" s="81" t="s">
        <v>3873</v>
      </c>
      <c r="M1572" s="81" t="s">
        <v>31</v>
      </c>
      <c r="N1572" s="81" t="s">
        <v>31</v>
      </c>
      <c r="O1572" s="81" t="s">
        <v>32</v>
      </c>
      <c r="P1572" s="81" t="s">
        <v>33</v>
      </c>
      <c r="Q1572" s="33">
        <v>46050</v>
      </c>
      <c r="R1572" s="45"/>
      <c r="S1572" s="45"/>
      <c r="T1572" s="45"/>
      <c r="U1572" s="45"/>
      <c r="V1572" s="45">
        <f>IF(OR(ISNUMBER(SEARCH("unable to locate acct",G1572)),ISNUMBER(SEARCH("unknown",G1572)),ISNUMBER(SEARCH("inactive",G1572)),H1572=""),0,1)</f>
        <v>1</v>
      </c>
    </row>
    <row r="1573" spans="1:22">
      <c r="A1573" s="74">
        <v>46043</v>
      </c>
      <c r="B1573" s="45" t="s">
        <v>3874</v>
      </c>
      <c r="C1573" s="45" t="s">
        <v>3875</v>
      </c>
      <c r="D1573" s="45" t="s">
        <v>196</v>
      </c>
      <c r="E1573" s="45">
        <v>85383</v>
      </c>
      <c r="F1573" s="45" t="s">
        <v>3876</v>
      </c>
      <c r="G1573" s="76" t="s">
        <v>3830</v>
      </c>
      <c r="H1573" s="80" t="s">
        <v>21</v>
      </c>
      <c r="I1573" s="81"/>
      <c r="J1573" s="81"/>
      <c r="K1573" s="81"/>
      <c r="L1573" s="81"/>
      <c r="M1573" s="81"/>
      <c r="N1573" s="81"/>
      <c r="O1573" s="81"/>
      <c r="P1573" s="81"/>
      <c r="Q1573" s="18"/>
      <c r="R1573" s="45"/>
      <c r="S1573" s="45"/>
      <c r="T1573" s="45"/>
      <c r="U1573" s="45"/>
      <c r="V1573" s="45">
        <f>IF(OR(ISNUMBER(SEARCH("unable to locate acct",G1573)),ISNUMBER(SEARCH("unknown",G1573)),ISNUMBER(SEARCH("inactive",G1573)),H1573=""),0,1)</f>
        <v>1</v>
      </c>
    </row>
    <row r="1574" spans="1:22">
      <c r="A1574" s="74">
        <v>46043</v>
      </c>
      <c r="B1574" s="45" t="s">
        <v>3874</v>
      </c>
      <c r="C1574" s="45" t="s">
        <v>3877</v>
      </c>
      <c r="D1574" s="45" t="s">
        <v>87</v>
      </c>
      <c r="E1574" s="45">
        <v>85351</v>
      </c>
      <c r="F1574" s="45" t="s">
        <v>3878</v>
      </c>
      <c r="G1574" s="76" t="s">
        <v>3830</v>
      </c>
      <c r="H1574" s="80" t="s">
        <v>5063</v>
      </c>
      <c r="I1574" s="81" t="s">
        <v>190</v>
      </c>
      <c r="J1574" s="81" t="s">
        <v>32</v>
      </c>
      <c r="K1574" s="81" t="s">
        <v>31</v>
      </c>
      <c r="L1574" s="81" t="s">
        <v>3879</v>
      </c>
      <c r="M1574" s="81" t="s">
        <v>31</v>
      </c>
      <c r="N1574" s="81" t="s">
        <v>31</v>
      </c>
      <c r="O1574" s="81" t="s">
        <v>32</v>
      </c>
      <c r="P1574" s="81"/>
      <c r="Q1574" s="41">
        <v>46050</v>
      </c>
      <c r="R1574" s="45" t="s">
        <v>3775</v>
      </c>
      <c r="S1574" s="45"/>
      <c r="T1574" s="45"/>
      <c r="U1574" s="45"/>
      <c r="V1574" s="45">
        <f>IF(OR(ISNUMBER(SEARCH("unable to locate acct",G1574)),ISNUMBER(SEARCH("unknown",G1574)),ISNUMBER(SEARCH("inactive",G1574)),H1574=""),0,1)</f>
        <v>1</v>
      </c>
    </row>
    <row r="1575" spans="1:22">
      <c r="A1575" s="74">
        <v>46043</v>
      </c>
      <c r="B1575" s="45" t="s">
        <v>1567</v>
      </c>
      <c r="C1575" s="45" t="s">
        <v>877</v>
      </c>
      <c r="D1575" s="45" t="s">
        <v>18</v>
      </c>
      <c r="E1575" s="45">
        <v>85308</v>
      </c>
      <c r="F1575" s="45" t="s">
        <v>3880</v>
      </c>
      <c r="G1575" s="76" t="s">
        <v>3830</v>
      </c>
      <c r="H1575" s="80" t="s">
        <v>5064</v>
      </c>
      <c r="I1575" s="81" t="s">
        <v>120</v>
      </c>
      <c r="J1575" s="81" t="s">
        <v>31</v>
      </c>
      <c r="K1575" s="81" t="s">
        <v>31</v>
      </c>
      <c r="L1575" s="81" t="s">
        <v>3881</v>
      </c>
      <c r="M1575" s="81" t="s">
        <v>31</v>
      </c>
      <c r="N1575" s="81" t="s">
        <v>31</v>
      </c>
      <c r="O1575" s="81" t="s">
        <v>32</v>
      </c>
      <c r="P1575" s="81" t="s">
        <v>33</v>
      </c>
      <c r="Q1575" s="33">
        <v>46050</v>
      </c>
      <c r="R1575" s="45" t="s">
        <v>3882</v>
      </c>
      <c r="S1575" s="45"/>
      <c r="T1575" s="45"/>
      <c r="U1575" s="45"/>
      <c r="V1575" s="45">
        <f>IF(OR(ISNUMBER(SEARCH("unable to locate acct",G1575)),ISNUMBER(SEARCH("unknown",G1575)),ISNUMBER(SEARCH("inactive",G1575)),H1575=""),0,1)</f>
        <v>1</v>
      </c>
    </row>
    <row r="1576" spans="1:22">
      <c r="A1576" s="74">
        <v>46043</v>
      </c>
      <c r="B1576" s="45" t="s">
        <v>1060</v>
      </c>
      <c r="C1576" s="45" t="s">
        <v>3883</v>
      </c>
      <c r="D1576" s="45" t="s">
        <v>106</v>
      </c>
      <c r="E1576" s="45">
        <v>85374</v>
      </c>
      <c r="F1576" s="45" t="s">
        <v>3884</v>
      </c>
      <c r="G1576" s="76" t="s">
        <v>3830</v>
      </c>
      <c r="H1576" s="80" t="s">
        <v>21</v>
      </c>
      <c r="I1576" s="81"/>
      <c r="J1576" s="81"/>
      <c r="K1576" s="81"/>
      <c r="L1576" s="81"/>
      <c r="M1576" s="81"/>
      <c r="N1576" s="81"/>
      <c r="O1576" s="81"/>
      <c r="P1576" s="81"/>
      <c r="Q1576" s="18"/>
      <c r="R1576" s="45"/>
      <c r="S1576" s="45"/>
      <c r="T1576" s="45"/>
      <c r="U1576" s="45"/>
      <c r="V1576" s="45">
        <f>IF(OR(ISNUMBER(SEARCH("unable to locate acct",G1576)),ISNUMBER(SEARCH("unknown",G1576)),ISNUMBER(SEARCH("inactive",G1576)),H1576=""),0,1)</f>
        <v>1</v>
      </c>
    </row>
    <row r="1577" spans="1:22">
      <c r="A1577" s="74">
        <v>46043</v>
      </c>
      <c r="B1577" s="45" t="s">
        <v>3885</v>
      </c>
      <c r="C1577" s="45" t="s">
        <v>1564</v>
      </c>
      <c r="D1577" s="45" t="s">
        <v>2046</v>
      </c>
      <c r="E1577" s="45">
        <v>85132</v>
      </c>
      <c r="F1577" s="45" t="s">
        <v>3886</v>
      </c>
      <c r="G1577" s="76" t="s">
        <v>3830</v>
      </c>
      <c r="H1577" s="80" t="s">
        <v>21</v>
      </c>
      <c r="I1577" s="81"/>
      <c r="J1577" s="81"/>
      <c r="K1577" s="81"/>
      <c r="L1577" s="81"/>
      <c r="M1577" s="81"/>
      <c r="N1577" s="81"/>
      <c r="O1577" s="81"/>
      <c r="P1577" s="81"/>
      <c r="Q1577" s="18"/>
      <c r="R1577" s="45"/>
      <c r="S1577" s="45"/>
      <c r="T1577" s="45"/>
      <c r="U1577" s="45"/>
      <c r="V1577" s="45">
        <f>IF(OR(ISNUMBER(SEARCH("unable to locate acct",G1577)),ISNUMBER(SEARCH("unknown",G1577)),ISNUMBER(SEARCH("inactive",G1577)),H1577=""),0,1)</f>
        <v>1</v>
      </c>
    </row>
    <row r="1578" spans="1:22">
      <c r="A1578" s="74">
        <v>46043</v>
      </c>
      <c r="B1578" s="45" t="s">
        <v>3887</v>
      </c>
      <c r="C1578" s="45" t="s">
        <v>3888</v>
      </c>
      <c r="D1578" s="45" t="s">
        <v>119</v>
      </c>
      <c r="E1578" s="45">
        <v>85254</v>
      </c>
      <c r="F1578" s="45" t="s">
        <v>3889</v>
      </c>
      <c r="G1578" s="76" t="s">
        <v>3830</v>
      </c>
      <c r="H1578" s="80" t="s">
        <v>5065</v>
      </c>
      <c r="I1578" s="81" t="s">
        <v>190</v>
      </c>
      <c r="J1578" s="81" t="s">
        <v>31</v>
      </c>
      <c r="K1578" s="81" t="s">
        <v>31</v>
      </c>
      <c r="L1578" s="81" t="s">
        <v>3890</v>
      </c>
      <c r="M1578" s="81" t="s">
        <v>31</v>
      </c>
      <c r="N1578" s="81" t="s">
        <v>31</v>
      </c>
      <c r="O1578" s="81" t="s">
        <v>32</v>
      </c>
      <c r="P1578" s="81"/>
      <c r="Q1578" s="41">
        <v>46050</v>
      </c>
      <c r="R1578" s="45" t="s">
        <v>3468</v>
      </c>
      <c r="S1578" s="45"/>
      <c r="T1578" s="45"/>
      <c r="U1578" s="45"/>
      <c r="V1578" s="45">
        <f>IF(OR(ISNUMBER(SEARCH("unable to locate acct",G1578)),ISNUMBER(SEARCH("unknown",G1578)),ISNUMBER(SEARCH("inactive",G1578)),H1578=""),0,1)</f>
        <v>1</v>
      </c>
    </row>
    <row r="1579" spans="1:22">
      <c r="A1579" s="74">
        <v>46043</v>
      </c>
      <c r="B1579" s="45" t="s">
        <v>3891</v>
      </c>
      <c r="C1579" s="45" t="s">
        <v>3892</v>
      </c>
      <c r="D1579" s="45" t="s">
        <v>57</v>
      </c>
      <c r="E1579" s="45">
        <v>85013</v>
      </c>
      <c r="F1579" s="45" t="s">
        <v>3893</v>
      </c>
      <c r="G1579" s="76" t="s">
        <v>3830</v>
      </c>
      <c r="H1579" s="80" t="s">
        <v>5066</v>
      </c>
      <c r="I1579" s="81" t="s">
        <v>190</v>
      </c>
      <c r="J1579" s="81" t="s">
        <v>31</v>
      </c>
      <c r="K1579" s="81" t="s">
        <v>31</v>
      </c>
      <c r="L1579" s="81" t="s">
        <v>3894</v>
      </c>
      <c r="M1579" s="81" t="s">
        <v>31</v>
      </c>
      <c r="N1579" s="81" t="s">
        <v>31</v>
      </c>
      <c r="O1579" s="81" t="s">
        <v>32</v>
      </c>
      <c r="P1579" s="81"/>
      <c r="Q1579" s="41">
        <v>46050</v>
      </c>
      <c r="R1579" s="45" t="s">
        <v>3468</v>
      </c>
      <c r="S1579" s="45"/>
      <c r="T1579" s="45"/>
      <c r="U1579" s="45"/>
      <c r="V1579" s="45">
        <f>IF(OR(ISNUMBER(SEARCH("unable to locate acct",G1579)),ISNUMBER(SEARCH("unknown",G1579)),ISNUMBER(SEARCH("inactive",G1579)),H1579=""),0,1)</f>
        <v>1</v>
      </c>
    </row>
    <row r="1580" spans="1:22">
      <c r="A1580" s="74">
        <v>46043</v>
      </c>
      <c r="B1580" s="45" t="s">
        <v>3895</v>
      </c>
      <c r="C1580" s="45" t="s">
        <v>375</v>
      </c>
      <c r="D1580" s="45" t="s">
        <v>57</v>
      </c>
      <c r="E1580" s="45">
        <v>85032</v>
      </c>
      <c r="F1580" s="45" t="s">
        <v>3896</v>
      </c>
      <c r="G1580" s="76" t="s">
        <v>3830</v>
      </c>
      <c r="H1580" s="80" t="s">
        <v>5403</v>
      </c>
      <c r="I1580" s="81" t="s">
        <v>190</v>
      </c>
      <c r="J1580" s="81" t="s">
        <v>31</v>
      </c>
      <c r="K1580" s="81" t="s">
        <v>31</v>
      </c>
      <c r="L1580" s="81" t="s">
        <v>32</v>
      </c>
      <c r="M1580" s="81" t="s">
        <v>31</v>
      </c>
      <c r="N1580" s="81" t="s">
        <v>31</v>
      </c>
      <c r="O1580" s="81" t="s">
        <v>32</v>
      </c>
      <c r="P1580" s="81" t="s">
        <v>33</v>
      </c>
      <c r="Q1580" s="33">
        <v>46050</v>
      </c>
      <c r="R1580" s="45"/>
      <c r="S1580" s="45"/>
      <c r="T1580" s="45"/>
      <c r="U1580" s="45"/>
      <c r="V1580" s="45">
        <f>IF(OR(ISNUMBER(SEARCH("unable to locate acct",G1580)),ISNUMBER(SEARCH("unknown",G1580)),ISNUMBER(SEARCH("inactive",G1580)),H1580=""),0,1)</f>
        <v>1</v>
      </c>
    </row>
    <row r="1581" spans="1:22">
      <c r="A1581" s="74">
        <v>46043</v>
      </c>
      <c r="B1581" s="45" t="s">
        <v>3897</v>
      </c>
      <c r="C1581" s="45" t="s">
        <v>314</v>
      </c>
      <c r="D1581" s="45" t="s">
        <v>119</v>
      </c>
      <c r="E1581" s="45">
        <v>85254</v>
      </c>
      <c r="F1581" s="45" t="s">
        <v>3898</v>
      </c>
      <c r="G1581" s="76" t="s">
        <v>3830</v>
      </c>
      <c r="H1581" s="80" t="s">
        <v>5067</v>
      </c>
      <c r="I1581" s="81" t="s">
        <v>30</v>
      </c>
      <c r="J1581" s="81" t="s">
        <v>31</v>
      </c>
      <c r="K1581" s="81" t="s">
        <v>31</v>
      </c>
      <c r="L1581" s="81" t="s">
        <v>3899</v>
      </c>
      <c r="M1581" s="81" t="s">
        <v>31</v>
      </c>
      <c r="N1581" s="81" t="s">
        <v>31</v>
      </c>
      <c r="O1581" s="81" t="s">
        <v>32</v>
      </c>
      <c r="P1581" s="81"/>
      <c r="Q1581" s="41">
        <v>46050</v>
      </c>
      <c r="R1581" s="45" t="s">
        <v>3900</v>
      </c>
      <c r="S1581" s="45"/>
      <c r="T1581" s="45"/>
      <c r="U1581" s="45"/>
      <c r="V1581" s="45">
        <f>IF(OR(ISNUMBER(SEARCH("unable to locate acct",G1581)),ISNUMBER(SEARCH("unknown",G1581)),ISNUMBER(SEARCH("inactive",G1581)),H1581=""),0,1)</f>
        <v>1</v>
      </c>
    </row>
    <row r="1582" spans="1:22">
      <c r="A1582" s="74">
        <v>46043</v>
      </c>
      <c r="B1582" s="45" t="s">
        <v>3901</v>
      </c>
      <c r="C1582" s="45" t="s">
        <v>125</v>
      </c>
      <c r="D1582" s="45" t="s">
        <v>57</v>
      </c>
      <c r="E1582" s="45">
        <v>85024</v>
      </c>
      <c r="F1582" s="45" t="s">
        <v>3902</v>
      </c>
      <c r="G1582" s="76" t="s">
        <v>3830</v>
      </c>
      <c r="H1582" s="80" t="s">
        <v>5404</v>
      </c>
      <c r="I1582" s="81" t="s">
        <v>67</v>
      </c>
      <c r="J1582" s="81" t="s">
        <v>31</v>
      </c>
      <c r="K1582" s="81" t="s">
        <v>31</v>
      </c>
      <c r="L1582" s="81" t="s">
        <v>32</v>
      </c>
      <c r="M1582" s="81" t="s">
        <v>31</v>
      </c>
      <c r="N1582" s="81" t="s">
        <v>31</v>
      </c>
      <c r="O1582" s="81" t="s">
        <v>32</v>
      </c>
      <c r="P1582" s="81" t="s">
        <v>33</v>
      </c>
      <c r="Q1582" s="33">
        <v>46050</v>
      </c>
      <c r="R1582" s="45"/>
      <c r="S1582" s="45"/>
      <c r="T1582" s="45"/>
      <c r="U1582" s="45"/>
      <c r="V1582" s="45">
        <f>IF(OR(ISNUMBER(SEARCH("unable to locate acct",G1582)),ISNUMBER(SEARCH("unknown",G1582)),ISNUMBER(SEARCH("inactive",G1582)),H1582=""),0,1)</f>
        <v>1</v>
      </c>
    </row>
    <row r="1583" spans="1:22">
      <c r="A1583" s="74">
        <v>46043</v>
      </c>
      <c r="B1583" s="45" t="s">
        <v>3903</v>
      </c>
      <c r="C1583" s="45" t="s">
        <v>3904</v>
      </c>
      <c r="D1583" s="45" t="s">
        <v>57</v>
      </c>
      <c r="E1583" s="45">
        <v>85029</v>
      </c>
      <c r="F1583" s="45" t="s">
        <v>3905</v>
      </c>
      <c r="G1583" s="76" t="s">
        <v>3830</v>
      </c>
      <c r="H1583" s="80" t="s">
        <v>5068</v>
      </c>
      <c r="I1583" s="81" t="s">
        <v>30</v>
      </c>
      <c r="J1583" s="81" t="s">
        <v>32</v>
      </c>
      <c r="K1583" s="81" t="s">
        <v>31</v>
      </c>
      <c r="L1583" s="81" t="s">
        <v>3906</v>
      </c>
      <c r="M1583" s="81" t="s">
        <v>31</v>
      </c>
      <c r="N1583" s="81" t="s">
        <v>31</v>
      </c>
      <c r="O1583" s="81" t="s">
        <v>32</v>
      </c>
      <c r="P1583" s="81" t="s">
        <v>33</v>
      </c>
      <c r="Q1583" s="33">
        <v>46050</v>
      </c>
      <c r="R1583" s="45"/>
      <c r="S1583" s="45"/>
      <c r="T1583" s="45"/>
      <c r="U1583" s="45"/>
      <c r="V1583" s="45">
        <f>IF(OR(ISNUMBER(SEARCH("unable to locate acct",G1583)),ISNUMBER(SEARCH("unknown",G1583)),ISNUMBER(SEARCH("inactive",G1583)),H1583=""),0,1)</f>
        <v>1</v>
      </c>
    </row>
    <row r="1584" spans="1:22">
      <c r="A1584" s="74">
        <v>46043</v>
      </c>
      <c r="B1584" s="45" t="s">
        <v>161</v>
      </c>
      <c r="C1584" s="45" t="s">
        <v>3907</v>
      </c>
      <c r="D1584" s="45" t="s">
        <v>106</v>
      </c>
      <c r="E1584" s="45">
        <v>85388</v>
      </c>
      <c r="F1584" s="45" t="s">
        <v>3908</v>
      </c>
      <c r="G1584" s="76" t="s">
        <v>3830</v>
      </c>
      <c r="H1584" s="80" t="s">
        <v>21</v>
      </c>
      <c r="I1584" s="81"/>
      <c r="J1584" s="81"/>
      <c r="K1584" s="81"/>
      <c r="L1584" s="81"/>
      <c r="M1584" s="81"/>
      <c r="N1584" s="81"/>
      <c r="O1584" s="81"/>
      <c r="P1584" s="81"/>
      <c r="Q1584" s="18"/>
      <c r="R1584" s="45"/>
      <c r="S1584" s="45"/>
      <c r="T1584" s="45"/>
      <c r="U1584" s="45"/>
      <c r="V1584" s="45">
        <f>IF(OR(ISNUMBER(SEARCH("unable to locate acct",G1584)),ISNUMBER(SEARCH("unknown",G1584)),ISNUMBER(SEARCH("inactive",G1584)),H1584=""),0,1)</f>
        <v>1</v>
      </c>
    </row>
    <row r="1585" spans="1:22">
      <c r="A1585" s="74">
        <v>46043</v>
      </c>
      <c r="B1585" s="45" t="s">
        <v>3909</v>
      </c>
      <c r="C1585" s="45" t="s">
        <v>3910</v>
      </c>
      <c r="D1585" s="45" t="s">
        <v>57</v>
      </c>
      <c r="E1585" s="45">
        <v>85014</v>
      </c>
      <c r="F1585" s="45" t="s">
        <v>3911</v>
      </c>
      <c r="G1585" s="76" t="s">
        <v>3830</v>
      </c>
      <c r="H1585" s="80" t="s">
        <v>5405</v>
      </c>
      <c r="I1585" s="81" t="s">
        <v>67</v>
      </c>
      <c r="J1585" s="81" t="s">
        <v>31</v>
      </c>
      <c r="K1585" s="81" t="s">
        <v>31</v>
      </c>
      <c r="L1585" s="81" t="s">
        <v>32</v>
      </c>
      <c r="M1585" s="81" t="s">
        <v>31</v>
      </c>
      <c r="N1585" s="81" t="s">
        <v>31</v>
      </c>
      <c r="O1585" s="81" t="s">
        <v>32</v>
      </c>
      <c r="P1585" s="81" t="s">
        <v>33</v>
      </c>
      <c r="Q1585" s="33">
        <v>46050</v>
      </c>
      <c r="R1585" s="45"/>
      <c r="S1585" s="45"/>
      <c r="T1585" s="45"/>
      <c r="U1585" s="45"/>
      <c r="V1585" s="45">
        <f>IF(OR(ISNUMBER(SEARCH("unable to locate acct",G1585)),ISNUMBER(SEARCH("unknown",G1585)),ISNUMBER(SEARCH("inactive",G1585)),H1585=""),0,1)</f>
        <v>1</v>
      </c>
    </row>
    <row r="1586" spans="1:22">
      <c r="A1586" s="74">
        <v>46043</v>
      </c>
      <c r="B1586" s="45" t="s">
        <v>3912</v>
      </c>
      <c r="C1586" s="45" t="s">
        <v>3913</v>
      </c>
      <c r="D1586" s="45" t="s">
        <v>689</v>
      </c>
      <c r="E1586" s="45">
        <v>85375</v>
      </c>
      <c r="F1586" s="45" t="s">
        <v>3914</v>
      </c>
      <c r="G1586" s="76" t="s">
        <v>3830</v>
      </c>
      <c r="H1586" s="80" t="s">
        <v>5406</v>
      </c>
      <c r="I1586" s="81" t="s">
        <v>67</v>
      </c>
      <c r="J1586" s="81" t="s">
        <v>31</v>
      </c>
      <c r="K1586" s="81" t="s">
        <v>31</v>
      </c>
      <c r="L1586" s="81" t="s">
        <v>32</v>
      </c>
      <c r="M1586" s="81" t="s">
        <v>31</v>
      </c>
      <c r="N1586" s="81" t="s">
        <v>31</v>
      </c>
      <c r="O1586" s="81" t="s">
        <v>32</v>
      </c>
      <c r="P1586" s="81" t="s">
        <v>33</v>
      </c>
      <c r="Q1586" s="33">
        <v>46050</v>
      </c>
      <c r="R1586" s="45"/>
      <c r="S1586" s="45"/>
      <c r="T1586" s="45"/>
      <c r="U1586" s="45"/>
      <c r="V1586" s="45">
        <f>IF(OR(ISNUMBER(SEARCH("unable to locate acct",G1586)),ISNUMBER(SEARCH("unknown",G1586)),ISNUMBER(SEARCH("inactive",G1586)),H1586=""),0,1)</f>
        <v>1</v>
      </c>
    </row>
    <row r="1587" spans="1:22">
      <c r="A1587" s="74">
        <v>46043</v>
      </c>
      <c r="B1587" s="45" t="s">
        <v>3915</v>
      </c>
      <c r="C1587" s="45" t="s">
        <v>3916</v>
      </c>
      <c r="D1587" s="45" t="s">
        <v>57</v>
      </c>
      <c r="E1587" s="45">
        <v>85028</v>
      </c>
      <c r="F1587" s="45" t="s">
        <v>3917</v>
      </c>
      <c r="G1587" s="76" t="s">
        <v>3830</v>
      </c>
      <c r="H1587" s="80" t="s">
        <v>5407</v>
      </c>
      <c r="I1587" s="81" t="s">
        <v>190</v>
      </c>
      <c r="J1587" s="81" t="s">
        <v>31</v>
      </c>
      <c r="K1587" s="81" t="s">
        <v>31</v>
      </c>
      <c r="L1587" s="81" t="s">
        <v>32</v>
      </c>
      <c r="M1587" s="81" t="s">
        <v>31</v>
      </c>
      <c r="N1587" s="81" t="s">
        <v>31</v>
      </c>
      <c r="O1587" s="81" t="s">
        <v>32</v>
      </c>
      <c r="P1587" s="81" t="s">
        <v>33</v>
      </c>
      <c r="Q1587" s="33">
        <v>46050</v>
      </c>
      <c r="R1587" s="45"/>
      <c r="S1587" s="45"/>
      <c r="T1587" s="45"/>
      <c r="U1587" s="45"/>
      <c r="V1587" s="45">
        <f>IF(OR(ISNUMBER(SEARCH("unable to locate acct",G1587)),ISNUMBER(SEARCH("unknown",G1587)),ISNUMBER(SEARCH("inactive",G1587)),H1587=""),0,1)</f>
        <v>1</v>
      </c>
    </row>
    <row r="1588" spans="1:22">
      <c r="A1588" s="74">
        <v>46043</v>
      </c>
      <c r="B1588" s="45" t="s">
        <v>3918</v>
      </c>
      <c r="C1588" s="45" t="s">
        <v>3919</v>
      </c>
      <c r="D1588" s="45" t="s">
        <v>18</v>
      </c>
      <c r="E1588" s="45">
        <v>85308</v>
      </c>
      <c r="F1588" s="45" t="s">
        <v>3920</v>
      </c>
      <c r="G1588" s="76" t="s">
        <v>3830</v>
      </c>
      <c r="H1588" s="80" t="s">
        <v>5408</v>
      </c>
      <c r="I1588" s="81" t="s">
        <v>40</v>
      </c>
      <c r="J1588" s="81" t="s">
        <v>31</v>
      </c>
      <c r="K1588" s="81" t="s">
        <v>31</v>
      </c>
      <c r="L1588" s="81" t="s">
        <v>32</v>
      </c>
      <c r="M1588" s="81" t="s">
        <v>31</v>
      </c>
      <c r="N1588" s="81" t="s">
        <v>31</v>
      </c>
      <c r="O1588" s="81" t="s">
        <v>32</v>
      </c>
      <c r="P1588" s="81" t="s">
        <v>33</v>
      </c>
      <c r="Q1588" s="33">
        <v>46050</v>
      </c>
      <c r="R1588" s="45"/>
      <c r="S1588" s="45"/>
      <c r="T1588" s="45"/>
      <c r="U1588" s="45"/>
      <c r="V1588" s="45">
        <f>IF(OR(ISNUMBER(SEARCH("unable to locate acct",G1588)),ISNUMBER(SEARCH("unknown",G1588)),ISNUMBER(SEARCH("inactive",G1588)),H1588=""),0,1)</f>
        <v>1</v>
      </c>
    </row>
    <row r="1589" spans="1:22">
      <c r="A1589" s="74">
        <v>46043</v>
      </c>
      <c r="B1589" s="45" t="s">
        <v>3921</v>
      </c>
      <c r="C1589" s="45" t="s">
        <v>1929</v>
      </c>
      <c r="D1589" s="45" t="s">
        <v>87</v>
      </c>
      <c r="E1589" s="45">
        <v>85351</v>
      </c>
      <c r="F1589" s="45" t="s">
        <v>3922</v>
      </c>
      <c r="G1589" s="76" t="s">
        <v>3830</v>
      </c>
      <c r="H1589" s="80" t="s">
        <v>5069</v>
      </c>
      <c r="I1589" s="81" t="s">
        <v>190</v>
      </c>
      <c r="J1589" s="81" t="s">
        <v>31</v>
      </c>
      <c r="K1589" s="81" t="s">
        <v>31</v>
      </c>
      <c r="L1589" s="81" t="s">
        <v>3923</v>
      </c>
      <c r="M1589" s="81" t="s">
        <v>31</v>
      </c>
      <c r="N1589" s="81" t="s">
        <v>31</v>
      </c>
      <c r="O1589" s="81" t="s">
        <v>32</v>
      </c>
      <c r="P1589" s="81"/>
      <c r="Q1589" s="41">
        <v>46050</v>
      </c>
      <c r="R1589" s="45" t="s">
        <v>3468</v>
      </c>
      <c r="S1589" s="45"/>
      <c r="T1589" s="45"/>
      <c r="U1589" s="45"/>
      <c r="V1589" s="45">
        <f>IF(OR(ISNUMBER(SEARCH("unable to locate acct",G1589)),ISNUMBER(SEARCH("unknown",G1589)),ISNUMBER(SEARCH("inactive",G1589)),H1589=""),0,1)</f>
        <v>1</v>
      </c>
    </row>
    <row r="1590" spans="1:22">
      <c r="A1590" s="74">
        <v>46043</v>
      </c>
      <c r="B1590" s="45" t="s">
        <v>3924</v>
      </c>
      <c r="C1590" s="45" t="s">
        <v>724</v>
      </c>
      <c r="D1590" s="45" t="s">
        <v>87</v>
      </c>
      <c r="E1590" s="45">
        <v>85373</v>
      </c>
      <c r="F1590" s="45" t="s">
        <v>3925</v>
      </c>
      <c r="G1590" s="76" t="s">
        <v>3830</v>
      </c>
      <c r="H1590" s="80" t="s">
        <v>5409</v>
      </c>
      <c r="I1590" s="81" t="s">
        <v>3676</v>
      </c>
      <c r="J1590" s="81" t="s">
        <v>31</v>
      </c>
      <c r="K1590" s="81" t="s">
        <v>31</v>
      </c>
      <c r="L1590" s="81" t="s">
        <v>381</v>
      </c>
      <c r="M1590" s="81" t="s">
        <v>31</v>
      </c>
      <c r="N1590" s="81" t="s">
        <v>31</v>
      </c>
      <c r="O1590" s="81" t="s">
        <v>32</v>
      </c>
      <c r="P1590" s="81" t="s">
        <v>33</v>
      </c>
      <c r="Q1590" s="33">
        <v>46050</v>
      </c>
      <c r="R1590" s="45"/>
      <c r="S1590" s="45"/>
      <c r="T1590" s="45"/>
      <c r="U1590" s="45"/>
      <c r="V1590" s="45">
        <f>IF(OR(ISNUMBER(SEARCH("unable to locate acct",G1590)),ISNUMBER(SEARCH("unknown",G1590)),ISNUMBER(SEARCH("inactive",G1590)),H1590=""),0,1)</f>
        <v>1</v>
      </c>
    </row>
    <row r="1591" spans="1:22">
      <c r="A1591" s="74">
        <v>46043</v>
      </c>
      <c r="B1591" s="45" t="s">
        <v>1092</v>
      </c>
      <c r="C1591" s="45" t="s">
        <v>1183</v>
      </c>
      <c r="D1591" s="45" t="s">
        <v>2046</v>
      </c>
      <c r="E1591" s="45">
        <v>85132</v>
      </c>
      <c r="F1591" s="45" t="s">
        <v>3772</v>
      </c>
      <c r="G1591" s="76" t="s">
        <v>3830</v>
      </c>
      <c r="H1591" s="80" t="s">
        <v>5410</v>
      </c>
      <c r="I1591" s="81" t="s">
        <v>3773</v>
      </c>
      <c r="J1591" s="81" t="s">
        <v>31</v>
      </c>
      <c r="K1591" s="81" t="s">
        <v>31</v>
      </c>
      <c r="L1591" s="81" t="s">
        <v>32</v>
      </c>
      <c r="M1591" s="81" t="s">
        <v>31</v>
      </c>
      <c r="N1591" s="81" t="s">
        <v>31</v>
      </c>
      <c r="O1591" s="81" t="s">
        <v>32</v>
      </c>
      <c r="P1591" s="81" t="s">
        <v>33</v>
      </c>
      <c r="Q1591" s="33">
        <v>46050</v>
      </c>
      <c r="R1591" s="45"/>
      <c r="S1591" s="45"/>
      <c r="T1591" s="45"/>
      <c r="U1591" s="45"/>
      <c r="V1591" s="45">
        <f>IF(OR(ISNUMBER(SEARCH("unable to locate acct",G1591)),ISNUMBER(SEARCH("unknown",G1591)),ISNUMBER(SEARCH("inactive",G1591)),H1591=""),0,1)</f>
        <v>1</v>
      </c>
    </row>
    <row r="1592" spans="1:22">
      <c r="A1592" s="74">
        <v>46043</v>
      </c>
      <c r="B1592" s="45" t="s">
        <v>3926</v>
      </c>
      <c r="C1592" s="45" t="s">
        <v>3927</v>
      </c>
      <c r="D1592" s="45" t="s">
        <v>1770</v>
      </c>
      <c r="E1592" s="45">
        <v>86333</v>
      </c>
      <c r="F1592" s="45" t="s">
        <v>3928</v>
      </c>
      <c r="G1592" s="76" t="s">
        <v>3830</v>
      </c>
      <c r="H1592" s="80" t="s">
        <v>21</v>
      </c>
      <c r="I1592" s="81"/>
      <c r="J1592" s="81"/>
      <c r="K1592" s="81"/>
      <c r="L1592" s="81"/>
      <c r="M1592" s="81"/>
      <c r="N1592" s="81"/>
      <c r="O1592" s="81"/>
      <c r="P1592" s="81"/>
      <c r="Q1592" s="18"/>
      <c r="R1592" s="45"/>
      <c r="S1592" s="45"/>
      <c r="T1592" s="45"/>
      <c r="U1592" s="45"/>
      <c r="V1592" s="45">
        <f>IF(OR(ISNUMBER(SEARCH("unable to locate acct",G1592)),ISNUMBER(SEARCH("unknown",G1592)),ISNUMBER(SEARCH("inactive",G1592)),H1592=""),0,1)</f>
        <v>1</v>
      </c>
    </row>
    <row r="1593" spans="1:22">
      <c r="A1593" s="74">
        <v>46043</v>
      </c>
      <c r="B1593" s="45" t="s">
        <v>3929</v>
      </c>
      <c r="C1593" s="45" t="s">
        <v>69</v>
      </c>
      <c r="D1593" s="45" t="s">
        <v>87</v>
      </c>
      <c r="E1593" s="45">
        <v>85351</v>
      </c>
      <c r="F1593" s="45" t="s">
        <v>3930</v>
      </c>
      <c r="G1593" s="76" t="s">
        <v>3830</v>
      </c>
      <c r="H1593" s="80" t="s">
        <v>21</v>
      </c>
      <c r="I1593" s="81"/>
      <c r="J1593" s="81"/>
      <c r="K1593" s="81"/>
      <c r="L1593" s="81"/>
      <c r="M1593" s="81"/>
      <c r="N1593" s="81"/>
      <c r="O1593" s="81"/>
      <c r="P1593" s="81"/>
      <c r="Q1593" s="18"/>
      <c r="R1593" s="45"/>
      <c r="S1593" s="45"/>
      <c r="T1593" s="45"/>
      <c r="U1593" s="45"/>
      <c r="V1593" s="45">
        <f>IF(OR(ISNUMBER(SEARCH("unable to locate acct",G1593)),ISNUMBER(SEARCH("unknown",G1593)),ISNUMBER(SEARCH("inactive",G1593)),H1593=""),0,1)</f>
        <v>1</v>
      </c>
    </row>
    <row r="1594" spans="1:22">
      <c r="A1594" s="74">
        <v>46043</v>
      </c>
      <c r="B1594" s="45" t="s">
        <v>1812</v>
      </c>
      <c r="C1594" s="45" t="s">
        <v>738</v>
      </c>
      <c r="D1594" s="45" t="s">
        <v>1813</v>
      </c>
      <c r="E1594" s="45">
        <v>86327</v>
      </c>
      <c r="F1594" s="45" t="s">
        <v>3931</v>
      </c>
      <c r="G1594" s="76" t="s">
        <v>3830</v>
      </c>
      <c r="H1594" s="80" t="s">
        <v>5070</v>
      </c>
      <c r="I1594" s="81" t="s">
        <v>120</v>
      </c>
      <c r="J1594" s="81" t="s">
        <v>31</v>
      </c>
      <c r="K1594" s="81" t="s">
        <v>31</v>
      </c>
      <c r="L1594" s="81" t="s">
        <v>3932</v>
      </c>
      <c r="M1594" s="81" t="s">
        <v>31</v>
      </c>
      <c r="N1594" s="81" t="s">
        <v>31</v>
      </c>
      <c r="O1594" s="81" t="s">
        <v>32</v>
      </c>
      <c r="P1594" s="81" t="s">
        <v>33</v>
      </c>
      <c r="Q1594" s="33">
        <v>46050</v>
      </c>
      <c r="R1594" s="45"/>
      <c r="S1594" s="45"/>
      <c r="T1594" s="45"/>
      <c r="U1594" s="45"/>
      <c r="V1594" s="45">
        <f>IF(OR(ISNUMBER(SEARCH("unable to locate acct",G1594)),ISNUMBER(SEARCH("unknown",G1594)),ISNUMBER(SEARCH("inactive",G1594)),H1594=""),0,1)</f>
        <v>1</v>
      </c>
    </row>
    <row r="1595" spans="1:22">
      <c r="A1595" s="74">
        <v>46043</v>
      </c>
      <c r="B1595" s="45" t="s">
        <v>3933</v>
      </c>
      <c r="C1595" s="45" t="s">
        <v>2937</v>
      </c>
      <c r="D1595" s="45" t="s">
        <v>57</v>
      </c>
      <c r="E1595" s="45">
        <v>85014</v>
      </c>
      <c r="F1595" s="45" t="s">
        <v>3934</v>
      </c>
      <c r="G1595" s="76" t="s">
        <v>3830</v>
      </c>
      <c r="H1595" s="80" t="s">
        <v>5411</v>
      </c>
      <c r="I1595" s="81" t="s">
        <v>3351</v>
      </c>
      <c r="J1595" s="81" t="s">
        <v>31</v>
      </c>
      <c r="K1595" s="81" t="s">
        <v>31</v>
      </c>
      <c r="L1595" s="81" t="s">
        <v>381</v>
      </c>
      <c r="M1595" s="81" t="s">
        <v>31</v>
      </c>
      <c r="N1595" s="81" t="s">
        <v>31</v>
      </c>
      <c r="O1595" s="81" t="s">
        <v>32</v>
      </c>
      <c r="P1595" s="81" t="s">
        <v>33</v>
      </c>
      <c r="Q1595" s="33">
        <v>46050</v>
      </c>
      <c r="R1595" s="45"/>
      <c r="S1595" s="45"/>
      <c r="T1595" s="45"/>
      <c r="U1595" s="45"/>
      <c r="V1595" s="45">
        <f>IF(OR(ISNUMBER(SEARCH("unable to locate acct",G1595)),ISNUMBER(SEARCH("unknown",G1595)),ISNUMBER(SEARCH("inactive",G1595)),H1595=""),0,1)</f>
        <v>1</v>
      </c>
    </row>
    <row r="1596" spans="1:22">
      <c r="A1596" s="74">
        <v>46043</v>
      </c>
      <c r="B1596" s="45" t="s">
        <v>3935</v>
      </c>
      <c r="C1596" s="45" t="s">
        <v>322</v>
      </c>
      <c r="D1596" s="45" t="s">
        <v>106</v>
      </c>
      <c r="E1596" s="45">
        <v>85379</v>
      </c>
      <c r="F1596" s="45" t="s">
        <v>3936</v>
      </c>
      <c r="G1596" s="76" t="s">
        <v>3830</v>
      </c>
      <c r="H1596" s="80" t="s">
        <v>5412</v>
      </c>
      <c r="I1596" s="81" t="s">
        <v>30</v>
      </c>
      <c r="J1596" s="81" t="s">
        <v>32</v>
      </c>
      <c r="K1596" s="81" t="s">
        <v>31</v>
      </c>
      <c r="L1596" s="81" t="s">
        <v>32</v>
      </c>
      <c r="M1596" s="81" t="s">
        <v>31</v>
      </c>
      <c r="N1596" s="81" t="s">
        <v>31</v>
      </c>
      <c r="O1596" s="81" t="s">
        <v>32</v>
      </c>
      <c r="P1596" s="81" t="s">
        <v>33</v>
      </c>
      <c r="Q1596" s="33">
        <v>46050</v>
      </c>
      <c r="R1596" s="45"/>
      <c r="S1596" s="45"/>
      <c r="T1596" s="45"/>
      <c r="U1596" s="45"/>
      <c r="V1596" s="45">
        <f>IF(OR(ISNUMBER(SEARCH("unable to locate acct",G1596)),ISNUMBER(SEARCH("unknown",G1596)),ISNUMBER(SEARCH("inactive",G1596)),H1596=""),0,1)</f>
        <v>1</v>
      </c>
    </row>
    <row r="1597" spans="1:22">
      <c r="A1597" s="74">
        <v>46043</v>
      </c>
      <c r="B1597" s="45" t="s">
        <v>3937</v>
      </c>
      <c r="C1597" s="45" t="s">
        <v>463</v>
      </c>
      <c r="D1597" s="45" t="s">
        <v>57</v>
      </c>
      <c r="E1597" s="45">
        <v>85029</v>
      </c>
      <c r="F1597" s="45" t="s">
        <v>3938</v>
      </c>
      <c r="G1597" s="76" t="s">
        <v>3830</v>
      </c>
      <c r="H1597" s="80" t="s">
        <v>5071</v>
      </c>
      <c r="I1597" s="81" t="s">
        <v>190</v>
      </c>
      <c r="J1597" s="81" t="s">
        <v>32</v>
      </c>
      <c r="K1597" s="81" t="s">
        <v>31</v>
      </c>
      <c r="L1597" s="81" t="s">
        <v>3939</v>
      </c>
      <c r="M1597" s="81" t="s">
        <v>31</v>
      </c>
      <c r="N1597" s="81" t="s">
        <v>31</v>
      </c>
      <c r="O1597" s="81" t="s">
        <v>32</v>
      </c>
      <c r="P1597" s="81" t="s">
        <v>33</v>
      </c>
      <c r="Q1597" s="33">
        <v>46050</v>
      </c>
      <c r="R1597" s="45"/>
      <c r="S1597" s="45"/>
      <c r="T1597" s="45"/>
      <c r="U1597" s="45"/>
      <c r="V1597" s="45">
        <f>IF(OR(ISNUMBER(SEARCH("unable to locate acct",G1597)),ISNUMBER(SEARCH("unknown",G1597)),ISNUMBER(SEARCH("inactive",G1597)),H1597=""),0,1)</f>
        <v>1</v>
      </c>
    </row>
    <row r="1598" spans="1:22">
      <c r="A1598" s="74">
        <v>46044</v>
      </c>
      <c r="B1598" s="45" t="s">
        <v>1924</v>
      </c>
      <c r="C1598" s="45" t="s">
        <v>1113</v>
      </c>
      <c r="D1598" s="45" t="s">
        <v>106</v>
      </c>
      <c r="E1598" s="45">
        <v>85387</v>
      </c>
      <c r="F1598" s="45" t="s">
        <v>3940</v>
      </c>
      <c r="G1598" s="76" t="s">
        <v>3941</v>
      </c>
      <c r="H1598" s="80" t="s">
        <v>21</v>
      </c>
      <c r="I1598" s="81"/>
      <c r="J1598" s="81"/>
      <c r="K1598" s="81"/>
      <c r="L1598" s="81"/>
      <c r="M1598" s="81"/>
      <c r="N1598" s="81"/>
      <c r="O1598" s="81"/>
      <c r="P1598" s="81"/>
      <c r="Q1598" s="18"/>
      <c r="R1598" s="45"/>
      <c r="S1598" s="45"/>
      <c r="T1598" s="45"/>
      <c r="U1598" s="45"/>
      <c r="V1598" s="45">
        <f>IF(OR(ISNUMBER(SEARCH("unable to locate acct",G1598)),ISNUMBER(SEARCH("unknown",G1598)),ISNUMBER(SEARCH("inactive",G1598)),H1598=""),0,1)</f>
        <v>1</v>
      </c>
    </row>
    <row r="1599" spans="1:22">
      <c r="A1599" s="74">
        <v>46044</v>
      </c>
      <c r="B1599" s="45" t="s">
        <v>3942</v>
      </c>
      <c r="C1599" s="45" t="s">
        <v>1601</v>
      </c>
      <c r="D1599" s="45" t="s">
        <v>626</v>
      </c>
      <c r="E1599" s="45">
        <v>85281</v>
      </c>
      <c r="F1599" s="45" t="s">
        <v>3943</v>
      </c>
      <c r="G1599" s="76" t="s">
        <v>3941</v>
      </c>
      <c r="H1599" s="80" t="s">
        <v>5413</v>
      </c>
      <c r="I1599" s="81" t="s">
        <v>30</v>
      </c>
      <c r="J1599" s="81" t="s">
        <v>31</v>
      </c>
      <c r="K1599" s="81" t="s">
        <v>31</v>
      </c>
      <c r="L1599" s="81" t="s">
        <v>32</v>
      </c>
      <c r="M1599" s="81" t="s">
        <v>31</v>
      </c>
      <c r="N1599" s="81" t="s">
        <v>31</v>
      </c>
      <c r="O1599" s="81" t="s">
        <v>32</v>
      </c>
      <c r="P1599" s="81" t="s">
        <v>33</v>
      </c>
      <c r="Q1599" s="33">
        <v>46050</v>
      </c>
      <c r="R1599" s="45"/>
      <c r="S1599" s="45"/>
      <c r="T1599" s="45"/>
      <c r="U1599" s="45"/>
      <c r="V1599" s="45">
        <f>IF(OR(ISNUMBER(SEARCH("unable to locate acct",G1599)),ISNUMBER(SEARCH("unknown",G1599)),ISNUMBER(SEARCH("inactive",G1599)),H1599=""),0,1)</f>
        <v>1</v>
      </c>
    </row>
    <row r="1600" spans="1:22">
      <c r="A1600" s="74">
        <v>46044</v>
      </c>
      <c r="B1600" s="45" t="s">
        <v>893</v>
      </c>
      <c r="C1600" s="45" t="s">
        <v>306</v>
      </c>
      <c r="D1600" s="45" t="s">
        <v>234</v>
      </c>
      <c r="E1600" s="45">
        <v>85340</v>
      </c>
      <c r="F1600" s="45" t="s">
        <v>3944</v>
      </c>
      <c r="G1600" s="76" t="s">
        <v>3941</v>
      </c>
      <c r="H1600" s="80" t="s">
        <v>21</v>
      </c>
      <c r="I1600" s="81"/>
      <c r="J1600" s="81"/>
      <c r="K1600" s="81"/>
      <c r="L1600" s="81"/>
      <c r="M1600" s="81"/>
      <c r="N1600" s="81"/>
      <c r="O1600" s="81"/>
      <c r="P1600" s="81"/>
      <c r="Q1600" s="18"/>
      <c r="R1600" s="45"/>
      <c r="S1600" s="45"/>
      <c r="T1600" s="45"/>
      <c r="U1600" s="45"/>
      <c r="V1600" s="45">
        <f>IF(OR(ISNUMBER(SEARCH("unable to locate acct",G1600)),ISNUMBER(SEARCH("unknown",G1600)),ISNUMBER(SEARCH("inactive",G1600)),H1600=""),0,1)</f>
        <v>1</v>
      </c>
    </row>
    <row r="1601" spans="1:22">
      <c r="A1601" s="74">
        <v>46044</v>
      </c>
      <c r="B1601" s="45" t="s">
        <v>3945</v>
      </c>
      <c r="C1601" s="45" t="s">
        <v>2160</v>
      </c>
      <c r="D1601" s="45" t="s">
        <v>119</v>
      </c>
      <c r="E1601" s="45">
        <v>85254</v>
      </c>
      <c r="F1601" s="45" t="s">
        <v>3946</v>
      </c>
      <c r="G1601" s="76" t="s">
        <v>3941</v>
      </c>
      <c r="H1601" s="80" t="s">
        <v>5414</v>
      </c>
      <c r="I1601" s="81" t="s">
        <v>3676</v>
      </c>
      <c r="J1601" s="81" t="s">
        <v>31</v>
      </c>
      <c r="K1601" s="81" t="s">
        <v>31</v>
      </c>
      <c r="L1601" s="81" t="s">
        <v>381</v>
      </c>
      <c r="M1601" s="81" t="s">
        <v>31</v>
      </c>
      <c r="N1601" s="81" t="s">
        <v>31</v>
      </c>
      <c r="O1601" s="81" t="s">
        <v>32</v>
      </c>
      <c r="P1601" s="81" t="s">
        <v>33</v>
      </c>
      <c r="Q1601" s="33">
        <v>46050</v>
      </c>
      <c r="R1601" s="45"/>
      <c r="S1601" s="45"/>
      <c r="T1601" s="45"/>
      <c r="U1601" s="45"/>
      <c r="V1601" s="45">
        <f>IF(OR(ISNUMBER(SEARCH("unable to locate acct",G1601)),ISNUMBER(SEARCH("unknown",G1601)),ISNUMBER(SEARCH("inactive",G1601)),H1601=""),0,1)</f>
        <v>1</v>
      </c>
    </row>
    <row r="1602" spans="1:22">
      <c r="A1602" s="74">
        <v>46045</v>
      </c>
      <c r="B1602" s="45" t="s">
        <v>3947</v>
      </c>
      <c r="C1602" s="45" t="s">
        <v>432</v>
      </c>
      <c r="D1602" s="45" t="s">
        <v>79</v>
      </c>
      <c r="E1602" s="45">
        <v>86323</v>
      </c>
      <c r="F1602" s="45" t="s">
        <v>3948</v>
      </c>
      <c r="G1602" s="76" t="s">
        <v>3949</v>
      </c>
      <c r="H1602" s="80" t="s">
        <v>21</v>
      </c>
      <c r="I1602" s="81"/>
      <c r="J1602" s="81"/>
      <c r="K1602" s="81"/>
      <c r="L1602" s="81"/>
      <c r="M1602" s="81"/>
      <c r="N1602" s="81"/>
      <c r="O1602" s="81"/>
      <c r="P1602" s="81"/>
      <c r="Q1602" s="18"/>
      <c r="R1602" s="45"/>
      <c r="S1602" s="45"/>
      <c r="T1602" s="45"/>
      <c r="U1602" s="45"/>
      <c r="V1602" s="45">
        <f>IF(OR(ISNUMBER(SEARCH("unable to locate acct",G1602)),ISNUMBER(SEARCH("unknown",G1602)),ISNUMBER(SEARCH("inactive",G1602)),H1602=""),0,1)</f>
        <v>1</v>
      </c>
    </row>
    <row r="1603" spans="1:22">
      <c r="A1603" s="74">
        <v>46045</v>
      </c>
      <c r="B1603" s="45" t="s">
        <v>3950</v>
      </c>
      <c r="C1603" s="45" t="s">
        <v>472</v>
      </c>
      <c r="D1603" s="45" t="s">
        <v>1770</v>
      </c>
      <c r="E1603" s="45">
        <v>86333</v>
      </c>
      <c r="F1603" s="45" t="s">
        <v>3951</v>
      </c>
      <c r="G1603" s="76" t="s">
        <v>3949</v>
      </c>
      <c r="H1603" s="80" t="s">
        <v>5415</v>
      </c>
      <c r="I1603" s="81" t="s">
        <v>67</v>
      </c>
      <c r="J1603" s="81" t="s">
        <v>31</v>
      </c>
      <c r="K1603" s="81" t="s">
        <v>31</v>
      </c>
      <c r="L1603" s="81" t="s">
        <v>32</v>
      </c>
      <c r="M1603" s="81" t="s">
        <v>31</v>
      </c>
      <c r="N1603" s="81" t="s">
        <v>31</v>
      </c>
      <c r="O1603" s="81" t="s">
        <v>32</v>
      </c>
      <c r="P1603" s="81" t="s">
        <v>33</v>
      </c>
      <c r="Q1603" s="33">
        <v>46050</v>
      </c>
      <c r="R1603" s="45"/>
      <c r="S1603" s="45"/>
      <c r="T1603" s="45"/>
      <c r="U1603" s="45"/>
      <c r="V1603" s="45">
        <f>IF(OR(ISNUMBER(SEARCH("unable to locate acct",G1603)),ISNUMBER(SEARCH("unknown",G1603)),ISNUMBER(SEARCH("inactive",G1603)),H1603=""),0,1)</f>
        <v>1</v>
      </c>
    </row>
    <row r="1604" spans="1:22">
      <c r="A1604" s="74">
        <v>46045</v>
      </c>
      <c r="B1604" s="45" t="s">
        <v>3952</v>
      </c>
      <c r="C1604" s="45" t="s">
        <v>278</v>
      </c>
      <c r="D1604" s="45" t="s">
        <v>626</v>
      </c>
      <c r="E1604" s="45">
        <v>85282</v>
      </c>
      <c r="F1604" s="45" t="s">
        <v>3953</v>
      </c>
      <c r="G1604" s="76" t="s">
        <v>3949</v>
      </c>
      <c r="H1604" s="80" t="s">
        <v>21</v>
      </c>
      <c r="I1604" s="81"/>
      <c r="J1604" s="81"/>
      <c r="K1604" s="81"/>
      <c r="L1604" s="81"/>
      <c r="M1604" s="81"/>
      <c r="N1604" s="81"/>
      <c r="O1604" s="81"/>
      <c r="P1604" s="81"/>
      <c r="Q1604" s="18"/>
      <c r="R1604" s="45"/>
      <c r="S1604" s="45"/>
      <c r="T1604" s="45"/>
      <c r="U1604" s="45"/>
      <c r="V1604" s="45">
        <f>IF(OR(ISNUMBER(SEARCH("unable to locate acct",G1604)),ISNUMBER(SEARCH("unknown",G1604)),ISNUMBER(SEARCH("inactive",G1604)),H1604=""),0,1)</f>
        <v>1</v>
      </c>
    </row>
    <row r="1605" spans="1:22">
      <c r="A1605" s="74">
        <v>46045</v>
      </c>
      <c r="B1605" s="45" t="s">
        <v>3954</v>
      </c>
      <c r="C1605" s="45" t="s">
        <v>1389</v>
      </c>
      <c r="D1605" s="45" t="s">
        <v>1770</v>
      </c>
      <c r="E1605" s="45">
        <v>86333</v>
      </c>
      <c r="F1605" s="45" t="s">
        <v>3951</v>
      </c>
      <c r="G1605" s="76" t="s">
        <v>3949</v>
      </c>
      <c r="H1605" s="80" t="s">
        <v>5415</v>
      </c>
      <c r="I1605" s="81" t="s">
        <v>67</v>
      </c>
      <c r="J1605" s="81" t="s">
        <v>31</v>
      </c>
      <c r="K1605" s="81" t="s">
        <v>31</v>
      </c>
      <c r="L1605" s="81" t="s">
        <v>32</v>
      </c>
      <c r="M1605" s="81" t="s">
        <v>31</v>
      </c>
      <c r="N1605" s="81" t="s">
        <v>31</v>
      </c>
      <c r="O1605" s="81" t="s">
        <v>32</v>
      </c>
      <c r="P1605" s="81" t="s">
        <v>33</v>
      </c>
      <c r="Q1605" s="33">
        <v>46050</v>
      </c>
      <c r="R1605" s="45"/>
      <c r="S1605" s="45"/>
      <c r="T1605" s="45"/>
      <c r="U1605" s="45"/>
      <c r="V1605" s="45">
        <f>IF(OR(ISNUMBER(SEARCH("unable to locate acct",G1605)),ISNUMBER(SEARCH("unknown",G1605)),ISNUMBER(SEARCH("inactive",G1605)),H1605=""),0,1)</f>
        <v>1</v>
      </c>
    </row>
    <row r="1606" spans="1:22">
      <c r="A1606" s="74">
        <v>46045</v>
      </c>
      <c r="B1606" s="45" t="s">
        <v>3955</v>
      </c>
      <c r="C1606" s="45" t="s">
        <v>127</v>
      </c>
      <c r="D1606" s="45" t="s">
        <v>2201</v>
      </c>
      <c r="E1606" s="45">
        <v>85087</v>
      </c>
      <c r="F1606" s="45" t="s">
        <v>3956</v>
      </c>
      <c r="G1606" s="76" t="s">
        <v>3957</v>
      </c>
      <c r="H1606" s="80" t="s">
        <v>5416</v>
      </c>
      <c r="I1606" s="81" t="s">
        <v>532</v>
      </c>
      <c r="J1606" s="81" t="s">
        <v>31</v>
      </c>
      <c r="K1606" s="81" t="s">
        <v>31</v>
      </c>
      <c r="L1606" s="81" t="s">
        <v>381</v>
      </c>
      <c r="M1606" s="81" t="s">
        <v>31</v>
      </c>
      <c r="N1606" s="81" t="s">
        <v>31</v>
      </c>
      <c r="O1606" s="81" t="s">
        <v>32</v>
      </c>
      <c r="P1606" s="81" t="s">
        <v>33</v>
      </c>
      <c r="Q1606" s="33">
        <v>46050</v>
      </c>
      <c r="R1606" s="45"/>
      <c r="S1606" s="45"/>
      <c r="T1606" s="45"/>
      <c r="U1606" s="45"/>
      <c r="V1606" s="45">
        <f>IF(OR(ISNUMBER(SEARCH("unable to locate acct",G1606)),ISNUMBER(SEARCH("unknown",G1606)),ISNUMBER(SEARCH("inactive",G1606)),H1606=""),0,1)</f>
        <v>1</v>
      </c>
    </row>
    <row r="1607" spans="1:22">
      <c r="A1607" s="74">
        <v>46045</v>
      </c>
      <c r="B1607" s="45" t="s">
        <v>3958</v>
      </c>
      <c r="C1607" s="45" t="s">
        <v>3959</v>
      </c>
      <c r="D1607" s="45" t="s">
        <v>57</v>
      </c>
      <c r="E1607" s="45">
        <v>85027</v>
      </c>
      <c r="F1607" s="45" t="s">
        <v>3960</v>
      </c>
      <c r="G1607" s="76" t="s">
        <v>3961</v>
      </c>
      <c r="H1607" s="80" t="s">
        <v>5417</v>
      </c>
      <c r="I1607" s="81" t="s">
        <v>532</v>
      </c>
      <c r="J1607" s="81" t="s">
        <v>32</v>
      </c>
      <c r="K1607" s="81" t="s">
        <v>31</v>
      </c>
      <c r="L1607" s="81" t="s">
        <v>381</v>
      </c>
      <c r="M1607" s="81" t="s">
        <v>31</v>
      </c>
      <c r="N1607" s="81" t="s">
        <v>31</v>
      </c>
      <c r="O1607" s="81" t="s">
        <v>32</v>
      </c>
      <c r="P1607" s="81" t="s">
        <v>33</v>
      </c>
      <c r="Q1607" s="33">
        <v>46050</v>
      </c>
      <c r="R1607" s="45"/>
      <c r="S1607" s="45"/>
      <c r="T1607" s="45"/>
      <c r="U1607" s="45"/>
      <c r="V1607" s="45">
        <f>IF(OR(ISNUMBER(SEARCH("unable to locate acct",G1607)),ISNUMBER(SEARCH("unknown",G1607)),ISNUMBER(SEARCH("inactive",G1607)),H1607=""),0,1)</f>
        <v>1</v>
      </c>
    </row>
    <row r="1608" spans="1:22">
      <c r="A1608" s="74">
        <v>46045</v>
      </c>
      <c r="B1608" s="45" t="s">
        <v>3962</v>
      </c>
      <c r="C1608" s="45" t="s">
        <v>285</v>
      </c>
      <c r="D1608" s="45" t="s">
        <v>119</v>
      </c>
      <c r="E1608" s="45">
        <v>85260</v>
      </c>
      <c r="F1608" s="45" t="s">
        <v>3963</v>
      </c>
      <c r="G1608" s="76" t="s">
        <v>3961</v>
      </c>
      <c r="H1608" s="80" t="s">
        <v>5418</v>
      </c>
      <c r="I1608" s="81" t="s">
        <v>67</v>
      </c>
      <c r="J1608" s="81" t="s">
        <v>31</v>
      </c>
      <c r="K1608" s="81" t="s">
        <v>31</v>
      </c>
      <c r="L1608" s="81" t="s">
        <v>32</v>
      </c>
      <c r="M1608" s="81" t="s">
        <v>31</v>
      </c>
      <c r="N1608" s="81" t="s">
        <v>31</v>
      </c>
      <c r="O1608" s="81" t="s">
        <v>32</v>
      </c>
      <c r="P1608" s="81" t="s">
        <v>33</v>
      </c>
      <c r="Q1608" s="33">
        <v>46050</v>
      </c>
      <c r="R1608" s="45"/>
      <c r="S1608" s="45"/>
      <c r="T1608" s="45"/>
      <c r="U1608" s="45"/>
      <c r="V1608" s="45">
        <f>IF(OR(ISNUMBER(SEARCH("unable to locate acct",G1608)),ISNUMBER(SEARCH("unknown",G1608)),ISNUMBER(SEARCH("inactive",G1608)),H1608=""),0,1)</f>
        <v>1</v>
      </c>
    </row>
    <row r="1609" spans="1:22">
      <c r="A1609" s="74">
        <v>46048</v>
      </c>
      <c r="B1609" s="45" t="s">
        <v>3964</v>
      </c>
      <c r="C1609" s="45" t="s">
        <v>482</v>
      </c>
      <c r="D1609" s="45" t="s">
        <v>255</v>
      </c>
      <c r="E1609" s="45">
        <v>86312</v>
      </c>
      <c r="F1609" s="45" t="s">
        <v>3965</v>
      </c>
      <c r="G1609" s="76" t="s">
        <v>3966</v>
      </c>
      <c r="H1609" s="80" t="s">
        <v>21</v>
      </c>
      <c r="I1609" s="81"/>
      <c r="J1609" s="81"/>
      <c r="K1609" s="81"/>
      <c r="L1609" s="81"/>
      <c r="M1609" s="81"/>
      <c r="N1609" s="81"/>
      <c r="O1609" s="81"/>
      <c r="P1609" s="81"/>
      <c r="Q1609" s="18"/>
      <c r="R1609" s="45"/>
      <c r="S1609" s="45"/>
      <c r="T1609" s="45"/>
      <c r="U1609" s="45"/>
      <c r="V1609" s="45">
        <f>IF(OR(ISNUMBER(SEARCH("unable to locate acct",G1609)),ISNUMBER(SEARCH("unknown",G1609)),ISNUMBER(SEARCH("inactive",G1609)),H1609=""),0,1)</f>
        <v>1</v>
      </c>
    </row>
    <row r="1610" spans="1:22">
      <c r="A1610" s="74">
        <v>46048</v>
      </c>
      <c r="B1610" s="45" t="s">
        <v>3967</v>
      </c>
      <c r="C1610" s="45" t="s">
        <v>2541</v>
      </c>
      <c r="D1610" s="45" t="s">
        <v>728</v>
      </c>
      <c r="E1610" s="45">
        <v>86326</v>
      </c>
      <c r="F1610" s="45" t="s">
        <v>3968</v>
      </c>
      <c r="G1610" s="76" t="s">
        <v>3966</v>
      </c>
      <c r="H1610" s="80" t="s">
        <v>5072</v>
      </c>
      <c r="I1610" s="81" t="s">
        <v>120</v>
      </c>
      <c r="J1610" s="81" t="s">
        <v>32</v>
      </c>
      <c r="K1610" s="81" t="s">
        <v>31</v>
      </c>
      <c r="L1610" s="81" t="s">
        <v>3969</v>
      </c>
      <c r="M1610" s="81" t="s">
        <v>31</v>
      </c>
      <c r="N1610" s="81" t="s">
        <v>31</v>
      </c>
      <c r="O1610" s="81" t="s">
        <v>32</v>
      </c>
      <c r="P1610" s="81"/>
      <c r="Q1610" s="18"/>
      <c r="R1610" s="45"/>
      <c r="S1610" s="45"/>
      <c r="T1610" s="45"/>
      <c r="U1610" s="45"/>
      <c r="V1610" s="45">
        <f>IF(OR(ISNUMBER(SEARCH("unable to locate acct",G1610)),ISNUMBER(SEARCH("unknown",G1610)),ISNUMBER(SEARCH("inactive",G1610)),H1610=""),0,1)</f>
        <v>1</v>
      </c>
    </row>
    <row r="1611" spans="1:22">
      <c r="A1611" s="74">
        <v>46048</v>
      </c>
      <c r="B1611" s="45" t="s">
        <v>3970</v>
      </c>
      <c r="C1611" s="45" t="s">
        <v>759</v>
      </c>
      <c r="D1611" s="45" t="s">
        <v>363</v>
      </c>
      <c r="E1611" s="45">
        <v>85226</v>
      </c>
      <c r="F1611" s="45" t="s">
        <v>3971</v>
      </c>
      <c r="G1611" s="76" t="s">
        <v>3966</v>
      </c>
      <c r="H1611" s="80" t="s">
        <v>21</v>
      </c>
      <c r="I1611" s="81"/>
      <c r="J1611" s="81"/>
      <c r="K1611" s="81"/>
      <c r="L1611" s="81"/>
      <c r="M1611" s="81"/>
      <c r="N1611" s="81"/>
      <c r="O1611" s="81"/>
      <c r="P1611" s="81"/>
      <c r="Q1611" s="18"/>
      <c r="R1611" s="45"/>
      <c r="S1611" s="45"/>
      <c r="T1611" s="45"/>
      <c r="U1611" s="45"/>
      <c r="V1611" s="45">
        <f>IF(OR(ISNUMBER(SEARCH("unable to locate acct",G1611)),ISNUMBER(SEARCH("unknown",G1611)),ISNUMBER(SEARCH("inactive",G1611)),H1611=""),0,1)</f>
        <v>1</v>
      </c>
    </row>
    <row r="1612" spans="1:22">
      <c r="A1612" s="74">
        <v>46048</v>
      </c>
      <c r="B1612" s="45" t="s">
        <v>3972</v>
      </c>
      <c r="C1612" s="45" t="s">
        <v>3973</v>
      </c>
      <c r="D1612" s="45" t="s">
        <v>801</v>
      </c>
      <c r="E1612" s="45">
        <v>86303</v>
      </c>
      <c r="F1612" s="45" t="s">
        <v>3974</v>
      </c>
      <c r="G1612" s="76" t="s">
        <v>3966</v>
      </c>
      <c r="H1612" s="80" t="s">
        <v>5419</v>
      </c>
      <c r="I1612" s="81" t="s">
        <v>120</v>
      </c>
      <c r="J1612" s="81" t="s">
        <v>31</v>
      </c>
      <c r="K1612" s="81" t="s">
        <v>31</v>
      </c>
      <c r="L1612" s="81" t="s">
        <v>32</v>
      </c>
      <c r="M1612" s="81" t="s">
        <v>31</v>
      </c>
      <c r="N1612" s="81" t="s">
        <v>31</v>
      </c>
      <c r="O1612" s="81" t="s">
        <v>32</v>
      </c>
      <c r="P1612" s="81" t="s">
        <v>33</v>
      </c>
      <c r="Q1612" s="33">
        <v>46050</v>
      </c>
      <c r="R1612" s="45"/>
      <c r="S1612" s="45"/>
      <c r="T1612" s="45"/>
      <c r="U1612" s="45"/>
      <c r="V1612" s="45">
        <f>IF(OR(ISNUMBER(SEARCH("unable to locate acct",G1612)),ISNUMBER(SEARCH("unknown",G1612)),ISNUMBER(SEARCH("inactive",G1612)),H1612=""),0,1)</f>
        <v>1</v>
      </c>
    </row>
    <row r="1613" spans="1:22">
      <c r="A1613" s="74">
        <v>46048</v>
      </c>
      <c r="B1613" s="45" t="s">
        <v>1657</v>
      </c>
      <c r="C1613" s="45" t="s">
        <v>1658</v>
      </c>
      <c r="D1613" s="45" t="s">
        <v>57</v>
      </c>
      <c r="E1613" s="45">
        <v>85024</v>
      </c>
      <c r="F1613" s="45" t="s">
        <v>3975</v>
      </c>
      <c r="G1613" s="76" t="s">
        <v>3966</v>
      </c>
      <c r="H1613" s="80" t="s">
        <v>5176</v>
      </c>
      <c r="I1613" s="81" t="s">
        <v>3773</v>
      </c>
      <c r="J1613" s="81" t="s">
        <v>31</v>
      </c>
      <c r="K1613" s="81" t="s">
        <v>31</v>
      </c>
      <c r="L1613" s="81" t="s">
        <v>32</v>
      </c>
      <c r="M1613" s="81" t="s">
        <v>31</v>
      </c>
      <c r="N1613" s="81" t="s">
        <v>31</v>
      </c>
      <c r="O1613" s="81" t="s">
        <v>32</v>
      </c>
      <c r="P1613" s="81" t="s">
        <v>33</v>
      </c>
      <c r="Q1613" s="33">
        <v>46050</v>
      </c>
      <c r="R1613" s="45"/>
      <c r="S1613" s="45"/>
      <c r="T1613" s="45"/>
      <c r="U1613" s="45"/>
      <c r="V1613" s="45">
        <f>IF(OR(ISNUMBER(SEARCH("unable to locate acct",G1613)),ISNUMBER(SEARCH("unknown",G1613)),ISNUMBER(SEARCH("inactive",G1613)),H1613=""),0,1)</f>
        <v>1</v>
      </c>
    </row>
    <row r="1614" spans="1:22">
      <c r="A1614" s="74">
        <v>46048</v>
      </c>
      <c r="B1614" s="45" t="s">
        <v>2275</v>
      </c>
      <c r="C1614" s="45" t="s">
        <v>615</v>
      </c>
      <c r="D1614" s="45" t="s">
        <v>18</v>
      </c>
      <c r="E1614" s="45">
        <v>85310</v>
      </c>
      <c r="F1614" s="45" t="s">
        <v>3976</v>
      </c>
      <c r="G1614" s="76" t="s">
        <v>3966</v>
      </c>
      <c r="H1614" s="80" t="s">
        <v>5032</v>
      </c>
      <c r="I1614" s="81" t="s">
        <v>30</v>
      </c>
      <c r="J1614" s="81" t="s">
        <v>31</v>
      </c>
      <c r="K1614" s="81" t="s">
        <v>31</v>
      </c>
      <c r="L1614" s="81" t="s">
        <v>32</v>
      </c>
      <c r="M1614" s="81" t="s">
        <v>31</v>
      </c>
      <c r="N1614" s="81" t="s">
        <v>31</v>
      </c>
      <c r="O1614" s="81" t="s">
        <v>32</v>
      </c>
      <c r="P1614" s="81" t="s">
        <v>33</v>
      </c>
      <c r="Q1614" s="33">
        <v>46050</v>
      </c>
      <c r="R1614" s="45"/>
      <c r="S1614" s="45"/>
      <c r="T1614" s="45"/>
      <c r="U1614" s="45"/>
      <c r="V1614" s="45">
        <f>IF(OR(ISNUMBER(SEARCH("unable to locate acct",G1614)),ISNUMBER(SEARCH("unknown",G1614)),ISNUMBER(SEARCH("inactive",G1614)),H1614=""),0,1)</f>
        <v>1</v>
      </c>
    </row>
    <row r="1615" spans="1:22">
      <c r="A1615" s="74">
        <v>46048</v>
      </c>
      <c r="B1615" s="45" t="s">
        <v>360</v>
      </c>
      <c r="C1615" s="45" t="s">
        <v>3977</v>
      </c>
      <c r="D1615" s="45" t="s">
        <v>57</v>
      </c>
      <c r="E1615" s="45">
        <v>85043</v>
      </c>
      <c r="F1615" s="45" t="s">
        <v>3978</v>
      </c>
      <c r="G1615" s="76" t="s">
        <v>3979</v>
      </c>
      <c r="H1615" s="80" t="s">
        <v>21</v>
      </c>
      <c r="I1615" s="81"/>
      <c r="J1615" s="81"/>
      <c r="K1615" s="81"/>
      <c r="L1615" s="81"/>
      <c r="M1615" s="81"/>
      <c r="N1615" s="81"/>
      <c r="O1615" s="81"/>
      <c r="P1615" s="81"/>
      <c r="Q1615" s="18"/>
      <c r="R1615" s="45"/>
      <c r="S1615" s="45"/>
      <c r="T1615" s="45"/>
      <c r="U1615" s="45"/>
      <c r="V1615" s="45">
        <f>IF(OR(ISNUMBER(SEARCH("unable to locate acct",G1615)),ISNUMBER(SEARCH("unknown",G1615)),ISNUMBER(SEARCH("inactive",G1615)),H1615=""),0,1)</f>
        <v>1</v>
      </c>
    </row>
    <row r="1616" spans="1:22">
      <c r="A1616" s="74">
        <v>46048</v>
      </c>
      <c r="B1616" s="45" t="s">
        <v>3980</v>
      </c>
      <c r="C1616" s="45" t="s">
        <v>927</v>
      </c>
      <c r="D1616" s="45" t="s">
        <v>62</v>
      </c>
      <c r="E1616" s="45">
        <v>85331</v>
      </c>
      <c r="F1616" s="45" t="s">
        <v>3981</v>
      </c>
      <c r="G1616" s="76" t="s">
        <v>3979</v>
      </c>
      <c r="H1616" s="80" t="s">
        <v>5420</v>
      </c>
      <c r="I1616" s="81" t="s">
        <v>532</v>
      </c>
      <c r="J1616" s="81" t="s">
        <v>31</v>
      </c>
      <c r="K1616" s="81" t="s">
        <v>31</v>
      </c>
      <c r="L1616" s="81" t="s">
        <v>381</v>
      </c>
      <c r="M1616" s="81" t="s">
        <v>31</v>
      </c>
      <c r="N1616" s="81" t="s">
        <v>31</v>
      </c>
      <c r="O1616" s="81" t="s">
        <v>32</v>
      </c>
      <c r="P1616" s="81" t="s">
        <v>33</v>
      </c>
      <c r="Q1616" s="33">
        <v>46050</v>
      </c>
      <c r="R1616" s="45"/>
      <c r="S1616" s="45"/>
      <c r="T1616" s="45"/>
      <c r="U1616" s="45"/>
      <c r="V1616" s="45">
        <f>IF(OR(ISNUMBER(SEARCH("unable to locate acct",G1616)),ISNUMBER(SEARCH("unknown",G1616)),ISNUMBER(SEARCH("inactive",G1616)),H1616=""),0,1)</f>
        <v>1</v>
      </c>
    </row>
    <row r="1617" spans="1:23">
      <c r="A1617" s="74">
        <v>46048</v>
      </c>
      <c r="B1617" s="45" t="s">
        <v>3982</v>
      </c>
      <c r="C1617" s="45" t="s">
        <v>264</v>
      </c>
      <c r="D1617" s="45" t="s">
        <v>3626</v>
      </c>
      <c r="E1617" s="45">
        <v>85029</v>
      </c>
      <c r="F1617" s="45" t="s">
        <v>3983</v>
      </c>
      <c r="G1617" s="76" t="s">
        <v>3979</v>
      </c>
      <c r="H1617" s="80" t="s">
        <v>267</v>
      </c>
      <c r="I1617" s="81" t="s">
        <v>67</v>
      </c>
      <c r="J1617" s="81" t="s">
        <v>31</v>
      </c>
      <c r="K1617" s="81" t="s">
        <v>31</v>
      </c>
      <c r="L1617" s="81" t="s">
        <v>32</v>
      </c>
      <c r="M1617" s="81" t="s">
        <v>31</v>
      </c>
      <c r="N1617" s="81" t="s">
        <v>31</v>
      </c>
      <c r="O1617" s="81" t="s">
        <v>32</v>
      </c>
      <c r="P1617" s="81" t="s">
        <v>33</v>
      </c>
      <c r="Q1617" s="33">
        <v>46050</v>
      </c>
      <c r="R1617" s="45" t="s">
        <v>3984</v>
      </c>
      <c r="S1617" s="45"/>
      <c r="T1617" s="45"/>
      <c r="U1617" s="45"/>
      <c r="V1617" s="45">
        <f>IF(OR(ISNUMBER(SEARCH("unable to locate acct",G1617)),ISNUMBER(SEARCH("unknown",G1617)),ISNUMBER(SEARCH("inactive",G1617)),H1617=""),0,1)</f>
        <v>1</v>
      </c>
    </row>
    <row r="1618" spans="1:23">
      <c r="A1618" s="74">
        <v>46049</v>
      </c>
      <c r="B1618" s="45" t="s">
        <v>3985</v>
      </c>
      <c r="C1618" s="45" t="s">
        <v>539</v>
      </c>
      <c r="D1618" s="45" t="s">
        <v>57</v>
      </c>
      <c r="E1618" s="45">
        <v>85003</v>
      </c>
      <c r="F1618" s="45" t="s">
        <v>3986</v>
      </c>
      <c r="G1618" s="76" t="s">
        <v>3987</v>
      </c>
      <c r="H1618" s="80" t="s">
        <v>5073</v>
      </c>
      <c r="I1618" s="81" t="s">
        <v>190</v>
      </c>
      <c r="J1618" s="81" t="s">
        <v>31</v>
      </c>
      <c r="K1618" s="81" t="s">
        <v>31</v>
      </c>
      <c r="L1618" s="81" t="s">
        <v>3881</v>
      </c>
      <c r="M1618" s="81" t="s">
        <v>31</v>
      </c>
      <c r="N1618" s="81" t="s">
        <v>31</v>
      </c>
      <c r="O1618" s="81" t="s">
        <v>32</v>
      </c>
      <c r="P1618" s="81" t="s">
        <v>33</v>
      </c>
      <c r="Q1618" s="33">
        <v>46050</v>
      </c>
      <c r="R1618" s="45"/>
      <c r="S1618" s="45"/>
      <c r="T1618" s="45"/>
      <c r="U1618" s="45"/>
      <c r="V1618" s="45">
        <f>IF(OR(ISNUMBER(SEARCH("unable to locate acct",G1618)),ISNUMBER(SEARCH("unknown",G1618)),ISNUMBER(SEARCH("inactive",G1618)),H1618=""),0,1)</f>
        <v>1</v>
      </c>
    </row>
    <row r="1619" spans="1:23">
      <c r="A1619" s="74">
        <v>46049</v>
      </c>
      <c r="B1619" s="45" t="s">
        <v>3988</v>
      </c>
      <c r="C1619" s="45" t="s">
        <v>2160</v>
      </c>
      <c r="D1619" s="45" t="s">
        <v>2201</v>
      </c>
      <c r="E1619" s="45">
        <v>85087</v>
      </c>
      <c r="F1619" s="45" t="s">
        <v>3989</v>
      </c>
      <c r="G1619" s="76" t="s">
        <v>3987</v>
      </c>
      <c r="H1619" s="80" t="s">
        <v>3990</v>
      </c>
      <c r="I1619" s="81" t="s">
        <v>67</v>
      </c>
      <c r="J1619" s="81" t="s">
        <v>31</v>
      </c>
      <c r="K1619" s="81" t="s">
        <v>31</v>
      </c>
      <c r="L1619" s="81" t="s">
        <v>32</v>
      </c>
      <c r="M1619" s="81" t="s">
        <v>31</v>
      </c>
      <c r="N1619" s="81" t="s">
        <v>31</v>
      </c>
      <c r="O1619" s="81" t="s">
        <v>32</v>
      </c>
      <c r="P1619" s="81" t="s">
        <v>33</v>
      </c>
      <c r="Q1619" s="33">
        <v>46050</v>
      </c>
      <c r="R1619" s="45"/>
      <c r="S1619" s="45"/>
      <c r="T1619" s="45"/>
      <c r="U1619" s="45"/>
      <c r="V1619" s="45">
        <f>IF(OR(ISNUMBER(SEARCH("unable to locate acct",G1619)),ISNUMBER(SEARCH("unknown",G1619)),ISNUMBER(SEARCH("inactive",G1619)),H1619=""),0,1)</f>
        <v>1</v>
      </c>
    </row>
    <row r="1620" spans="1:23">
      <c r="A1620" s="74">
        <v>46049</v>
      </c>
      <c r="B1620" s="45" t="s">
        <v>1764</v>
      </c>
      <c r="C1620" s="45" t="s">
        <v>1853</v>
      </c>
      <c r="D1620" s="45" t="s">
        <v>255</v>
      </c>
      <c r="E1620" s="45">
        <v>86315</v>
      </c>
      <c r="F1620" s="45" t="s">
        <v>3991</v>
      </c>
      <c r="G1620" s="76" t="s">
        <v>3987</v>
      </c>
      <c r="H1620" s="80" t="s">
        <v>5074</v>
      </c>
      <c r="I1620" s="81" t="s">
        <v>51</v>
      </c>
      <c r="J1620" s="81" t="s">
        <v>31</v>
      </c>
      <c r="K1620" s="81" t="s">
        <v>31</v>
      </c>
      <c r="L1620" s="81" t="s">
        <v>3881</v>
      </c>
      <c r="M1620" s="81" t="s">
        <v>31</v>
      </c>
      <c r="N1620" s="81" t="s">
        <v>31</v>
      </c>
      <c r="O1620" s="81" t="s">
        <v>32</v>
      </c>
      <c r="P1620" s="81" t="s">
        <v>33</v>
      </c>
      <c r="Q1620" s="41">
        <v>46050</v>
      </c>
      <c r="R1620" s="45" t="s">
        <v>3992</v>
      </c>
      <c r="S1620" s="45"/>
      <c r="T1620" s="45"/>
      <c r="U1620" s="45"/>
      <c r="V1620" s="45">
        <f>IF(OR(ISNUMBER(SEARCH("unable to locate acct",G1620)),ISNUMBER(SEARCH("unknown",G1620)),ISNUMBER(SEARCH("inactive",G1620)),H1620=""),0,1)</f>
        <v>1</v>
      </c>
    </row>
    <row r="1621" spans="1:23">
      <c r="A1621" s="74">
        <v>46049</v>
      </c>
      <c r="B1621" s="45" t="s">
        <v>3993</v>
      </c>
      <c r="C1621" s="45" t="s">
        <v>1596</v>
      </c>
      <c r="D1621" s="45" t="s">
        <v>57</v>
      </c>
      <c r="E1621" s="45">
        <v>85034</v>
      </c>
      <c r="F1621" s="45" t="s">
        <v>3994</v>
      </c>
      <c r="G1621" s="76" t="s">
        <v>3995</v>
      </c>
      <c r="H1621" s="80" t="s">
        <v>5421</v>
      </c>
      <c r="I1621" s="81" t="s">
        <v>120</v>
      </c>
      <c r="J1621" s="81" t="s">
        <v>32</v>
      </c>
      <c r="K1621" s="81" t="s">
        <v>31</v>
      </c>
      <c r="L1621" s="81" t="s">
        <v>32</v>
      </c>
      <c r="M1621" s="81" t="s">
        <v>31</v>
      </c>
      <c r="N1621" s="81" t="s">
        <v>31</v>
      </c>
      <c r="O1621" s="81" t="s">
        <v>32</v>
      </c>
      <c r="P1621" s="81"/>
      <c r="Q1621" s="41">
        <v>46050</v>
      </c>
      <c r="R1621" s="45" t="s">
        <v>3996</v>
      </c>
      <c r="S1621" s="45"/>
      <c r="T1621" s="45"/>
      <c r="U1621" s="45"/>
      <c r="V1621" s="45">
        <f>IF(OR(ISNUMBER(SEARCH("unable to locate acct",G1621)),ISNUMBER(SEARCH("unknown",G1621)),ISNUMBER(SEARCH("inactive",G1621)),H1621=""),0,1)</f>
        <v>1</v>
      </c>
    </row>
    <row r="1622" spans="1:23">
      <c r="A1622" s="74">
        <v>46049</v>
      </c>
      <c r="B1622" s="45" t="s">
        <v>3250</v>
      </c>
      <c r="C1622" s="45" t="s">
        <v>224</v>
      </c>
      <c r="D1622" s="45" t="s">
        <v>57</v>
      </c>
      <c r="E1622" s="45">
        <v>85029</v>
      </c>
      <c r="F1622" s="45" t="s">
        <v>3997</v>
      </c>
      <c r="G1622" s="76"/>
      <c r="H1622" s="80" t="s">
        <v>3252</v>
      </c>
      <c r="I1622" s="81" t="s">
        <v>120</v>
      </c>
      <c r="J1622" s="81" t="s">
        <v>31</v>
      </c>
      <c r="K1622" s="81" t="s">
        <v>31</v>
      </c>
      <c r="L1622" s="81" t="s">
        <v>32</v>
      </c>
      <c r="M1622" s="81" t="s">
        <v>31</v>
      </c>
      <c r="N1622" s="81" t="s">
        <v>31</v>
      </c>
      <c r="O1622" s="81" t="s">
        <v>32</v>
      </c>
      <c r="P1622" s="81" t="s">
        <v>33</v>
      </c>
      <c r="Q1622" s="33">
        <v>46050</v>
      </c>
      <c r="R1622" s="45"/>
      <c r="S1622" s="45"/>
      <c r="T1622" s="45"/>
      <c r="U1622" s="45"/>
      <c r="V1622" s="45">
        <f>IF(OR(ISNUMBER(SEARCH("unable to locate acct",G1622)),ISNUMBER(SEARCH("unknown",G1622)),ISNUMBER(SEARCH("inactive",G1622)),H1622=""),0,1)</f>
        <v>1</v>
      </c>
    </row>
    <row r="1623" spans="1:23">
      <c r="A1623" s="74">
        <v>46049</v>
      </c>
      <c r="B1623" s="45" t="s">
        <v>1602</v>
      </c>
      <c r="C1623" s="45" t="s">
        <v>150</v>
      </c>
      <c r="D1623" s="45" t="s">
        <v>24</v>
      </c>
      <c r="E1623" s="45" t="s">
        <v>3998</v>
      </c>
      <c r="F1623" s="45" t="s">
        <v>3999</v>
      </c>
      <c r="G1623" s="76" t="s">
        <v>4000</v>
      </c>
      <c r="H1623" s="80" t="s">
        <v>21</v>
      </c>
      <c r="I1623" s="81"/>
      <c r="J1623" s="81"/>
      <c r="K1623" s="81"/>
      <c r="L1623" s="81"/>
      <c r="M1623" s="81"/>
      <c r="N1623" s="81"/>
      <c r="O1623" s="81"/>
      <c r="P1623" s="81"/>
      <c r="Q1623" s="18"/>
      <c r="R1623" s="45" t="s">
        <v>3701</v>
      </c>
      <c r="S1623" s="45"/>
      <c r="T1623" s="45"/>
      <c r="U1623" s="45"/>
      <c r="V1623" s="45">
        <f>IF(OR(ISNUMBER(SEARCH("unable to locate acct",G1623)),ISNUMBER(SEARCH("unknown",G1623)),ISNUMBER(SEARCH("inactive",G1623)),H1623=""),0,1)</f>
        <v>1</v>
      </c>
    </row>
    <row r="1624" spans="1:23">
      <c r="A1624" s="74">
        <v>46049</v>
      </c>
      <c r="B1624" s="45" t="s">
        <v>2974</v>
      </c>
      <c r="C1624" s="45" t="s">
        <v>414</v>
      </c>
      <c r="D1624" s="45" t="s">
        <v>24</v>
      </c>
      <c r="E1624" s="45" t="s">
        <v>3998</v>
      </c>
      <c r="F1624" s="45" t="s">
        <v>3999</v>
      </c>
      <c r="G1624" s="76" t="s">
        <v>4000</v>
      </c>
      <c r="H1624" s="80" t="s">
        <v>21</v>
      </c>
      <c r="I1624" s="81"/>
      <c r="J1624" s="81"/>
      <c r="K1624" s="81"/>
      <c r="L1624" s="81"/>
      <c r="M1624" s="81"/>
      <c r="N1624" s="81"/>
      <c r="O1624" s="81"/>
      <c r="P1624" s="81"/>
      <c r="Q1624" s="18"/>
      <c r="R1624" s="45" t="s">
        <v>3701</v>
      </c>
      <c r="S1624" s="45"/>
      <c r="T1624" s="45"/>
      <c r="U1624" s="45"/>
      <c r="V1624" s="45">
        <f>IF(OR(ISNUMBER(SEARCH("unable to locate acct",G1624)),ISNUMBER(SEARCH("unknown",G1624)),ISNUMBER(SEARCH("inactive",G1624)),H1624=""),0,1)</f>
        <v>1</v>
      </c>
    </row>
    <row r="1625" spans="1:23">
      <c r="A1625" s="74">
        <v>46050</v>
      </c>
      <c r="B1625" s="45" t="s">
        <v>1033</v>
      </c>
      <c r="C1625" s="45" t="s">
        <v>4001</v>
      </c>
      <c r="D1625" s="45" t="s">
        <v>196</v>
      </c>
      <c r="E1625" s="45">
        <v>85345</v>
      </c>
      <c r="F1625" s="45" t="s">
        <v>4002</v>
      </c>
      <c r="G1625" s="76" t="s">
        <v>4003</v>
      </c>
      <c r="H1625" s="80" t="s">
        <v>4004</v>
      </c>
      <c r="I1625" s="81" t="s">
        <v>190</v>
      </c>
      <c r="J1625" s="81" t="s">
        <v>31</v>
      </c>
      <c r="K1625" s="81" t="s">
        <v>31</v>
      </c>
      <c r="L1625" s="81" t="s">
        <v>4005</v>
      </c>
      <c r="M1625" s="81" t="s">
        <v>31</v>
      </c>
      <c r="N1625" s="81" t="s">
        <v>31</v>
      </c>
      <c r="O1625" s="81" t="s">
        <v>32</v>
      </c>
      <c r="P1625" s="81"/>
      <c r="Q1625" s="41">
        <v>46051</v>
      </c>
      <c r="R1625" s="45" t="s">
        <v>4006</v>
      </c>
      <c r="S1625" s="45"/>
      <c r="T1625" s="45"/>
      <c r="U1625" s="45"/>
      <c r="V1625" s="45">
        <f>IF(OR(ISNUMBER(SEARCH("unable to locate acct",G1625)),ISNUMBER(SEARCH("unknown",G1625)),ISNUMBER(SEARCH("inactive",G1625)),H1625=""),0,1)</f>
        <v>1</v>
      </c>
      <c r="W1625" s="32"/>
    </row>
    <row r="1626" spans="1:23">
      <c r="A1626" s="74">
        <v>46050</v>
      </c>
      <c r="B1626" s="45" t="s">
        <v>4007</v>
      </c>
      <c r="C1626" s="45" t="s">
        <v>2458</v>
      </c>
      <c r="D1626" s="45" t="s">
        <v>610</v>
      </c>
      <c r="E1626" s="45">
        <v>85364</v>
      </c>
      <c r="F1626" s="45" t="s">
        <v>3329</v>
      </c>
      <c r="G1626" s="76" t="s">
        <v>4008</v>
      </c>
      <c r="H1626" s="80" t="s">
        <v>4009</v>
      </c>
      <c r="I1626" s="81" t="s">
        <v>190</v>
      </c>
      <c r="J1626" s="81" t="s">
        <v>31</v>
      </c>
      <c r="K1626" s="81" t="s">
        <v>31</v>
      </c>
      <c r="L1626" s="81" t="s">
        <v>4010</v>
      </c>
      <c r="M1626" s="81" t="s">
        <v>31</v>
      </c>
      <c r="N1626" s="81" t="s">
        <v>31</v>
      </c>
      <c r="O1626" s="81" t="s">
        <v>32</v>
      </c>
      <c r="P1626" s="81"/>
      <c r="Q1626" s="2">
        <v>46051</v>
      </c>
      <c r="R1626" s="45"/>
      <c r="S1626" s="45"/>
      <c r="T1626" s="45"/>
      <c r="U1626" s="45"/>
      <c r="V1626" s="45">
        <f>IF(OR(ISNUMBER(SEARCH("unable to locate acct",G1626)),ISNUMBER(SEARCH("unknown",G1626)),ISNUMBER(SEARCH("inactive",G1626)),H1626=""),0,1)</f>
        <v>1</v>
      </c>
    </row>
    <row r="1627" spans="1:23">
      <c r="A1627" s="74">
        <v>46050</v>
      </c>
      <c r="B1627" s="45" t="s">
        <v>3729</v>
      </c>
      <c r="C1627" s="45" t="s">
        <v>127</v>
      </c>
      <c r="D1627" s="45" t="s">
        <v>24</v>
      </c>
      <c r="E1627" s="45" t="s">
        <v>24</v>
      </c>
      <c r="F1627" s="45" t="s">
        <v>4011</v>
      </c>
      <c r="G1627" s="76" t="s">
        <v>4008</v>
      </c>
      <c r="H1627" s="80" t="s">
        <v>21</v>
      </c>
      <c r="I1627" s="81"/>
      <c r="J1627" s="81"/>
      <c r="K1627" s="81"/>
      <c r="L1627" s="81"/>
      <c r="M1627" s="81"/>
      <c r="N1627" s="81"/>
      <c r="O1627" s="81"/>
      <c r="P1627" s="81"/>
      <c r="R1627" s="45"/>
      <c r="S1627" s="45"/>
      <c r="T1627" s="45"/>
      <c r="U1627" s="45"/>
      <c r="V1627" s="45">
        <f>IF(OR(ISNUMBER(SEARCH("unable to locate acct",G1627)),ISNUMBER(SEARCH("unknown",G1627)),ISNUMBER(SEARCH("inactive",G1627)),H1627=""),0,1)</f>
        <v>1</v>
      </c>
    </row>
    <row r="1628" spans="1:23">
      <c r="A1628" s="74">
        <v>46050</v>
      </c>
      <c r="B1628" s="45" t="s">
        <v>4012</v>
      </c>
      <c r="C1628" s="45" t="s">
        <v>2937</v>
      </c>
      <c r="D1628" s="45" t="s">
        <v>801</v>
      </c>
      <c r="E1628" s="45">
        <v>86301</v>
      </c>
      <c r="F1628" s="45" t="s">
        <v>4013</v>
      </c>
      <c r="G1628" s="76" t="s">
        <v>4014</v>
      </c>
      <c r="H1628" s="80" t="s">
        <v>5422</v>
      </c>
      <c r="I1628" s="81" t="s">
        <v>67</v>
      </c>
      <c r="J1628" s="81" t="s">
        <v>31</v>
      </c>
      <c r="K1628" s="81" t="s">
        <v>31</v>
      </c>
      <c r="L1628" s="81" t="s">
        <v>32</v>
      </c>
      <c r="M1628" s="81" t="s">
        <v>31</v>
      </c>
      <c r="N1628" s="81" t="s">
        <v>31</v>
      </c>
      <c r="O1628" s="81" t="s">
        <v>32</v>
      </c>
      <c r="P1628" s="81" t="s">
        <v>33</v>
      </c>
      <c r="Q1628" s="2">
        <v>46051</v>
      </c>
      <c r="R1628" s="45" t="s">
        <v>3984</v>
      </c>
      <c r="S1628" s="45"/>
      <c r="T1628" s="45"/>
      <c r="U1628" s="45"/>
      <c r="V1628" s="45">
        <f>IF(OR(ISNUMBER(SEARCH("unable to locate acct",G1628)),ISNUMBER(SEARCH("unknown",G1628)),ISNUMBER(SEARCH("inactive",G1628)),H1628=""),0,1)</f>
        <v>1</v>
      </c>
    </row>
    <row r="1629" spans="1:23">
      <c r="A1629" s="74">
        <v>46050</v>
      </c>
      <c r="B1629" s="45" t="s">
        <v>4015</v>
      </c>
      <c r="C1629" s="45" t="s">
        <v>127</v>
      </c>
      <c r="D1629" s="45" t="s">
        <v>1167</v>
      </c>
      <c r="E1629" s="45">
        <v>85390</v>
      </c>
      <c r="F1629" s="45" t="s">
        <v>4016</v>
      </c>
      <c r="G1629" s="76" t="s">
        <v>4014</v>
      </c>
      <c r="H1629" s="80" t="s">
        <v>4017</v>
      </c>
      <c r="I1629" s="81" t="s">
        <v>67</v>
      </c>
      <c r="J1629" s="81" t="s">
        <v>31</v>
      </c>
      <c r="K1629" s="81" t="s">
        <v>31</v>
      </c>
      <c r="L1629" s="81" t="s">
        <v>32</v>
      </c>
      <c r="M1629" s="81" t="s">
        <v>31</v>
      </c>
      <c r="N1629" s="81" t="s">
        <v>31</v>
      </c>
      <c r="O1629" s="81" t="s">
        <v>32</v>
      </c>
      <c r="P1629" s="81" t="s">
        <v>33</v>
      </c>
      <c r="Q1629" s="2">
        <v>46051</v>
      </c>
      <c r="R1629" s="45"/>
      <c r="S1629" s="45"/>
      <c r="T1629" s="45"/>
      <c r="U1629" s="45"/>
      <c r="V1629" s="45">
        <f>IF(OR(ISNUMBER(SEARCH("unable to locate acct",G1629)),ISNUMBER(SEARCH("unknown",G1629)),ISNUMBER(SEARCH("inactive",G1629)),H1629=""),0,1)</f>
        <v>1</v>
      </c>
    </row>
    <row r="1630" spans="1:23">
      <c r="A1630" s="74">
        <v>46050</v>
      </c>
      <c r="B1630" s="45" t="s">
        <v>4018</v>
      </c>
      <c r="C1630" s="45" t="s">
        <v>219</v>
      </c>
      <c r="D1630" s="45" t="s">
        <v>1167</v>
      </c>
      <c r="E1630" s="45">
        <v>85390</v>
      </c>
      <c r="F1630" s="45" t="s">
        <v>4019</v>
      </c>
      <c r="G1630" s="76" t="s">
        <v>4014</v>
      </c>
      <c r="H1630" s="80" t="s">
        <v>4020</v>
      </c>
      <c r="I1630" s="81" t="s">
        <v>190</v>
      </c>
      <c r="J1630" s="81" t="s">
        <v>31</v>
      </c>
      <c r="K1630" s="81" t="s">
        <v>31</v>
      </c>
      <c r="L1630" s="81" t="s">
        <v>4010</v>
      </c>
      <c r="M1630" s="81" t="s">
        <v>31</v>
      </c>
      <c r="N1630" s="81" t="s">
        <v>31</v>
      </c>
      <c r="O1630" s="81" t="s">
        <v>32</v>
      </c>
      <c r="P1630" s="81" t="s">
        <v>33</v>
      </c>
      <c r="Q1630" s="2">
        <v>46051</v>
      </c>
      <c r="R1630" s="45"/>
      <c r="S1630" s="45"/>
      <c r="T1630" s="45"/>
      <c r="U1630" s="45"/>
      <c r="V1630" s="45">
        <f>IF(OR(ISNUMBER(SEARCH("unable to locate acct",G1630)),ISNUMBER(SEARCH("unknown",G1630)),ISNUMBER(SEARCH("inactive",G1630)),H1630=""),0,1)</f>
        <v>1</v>
      </c>
    </row>
    <row r="1631" spans="1:23">
      <c r="A1631" s="74">
        <v>46050</v>
      </c>
      <c r="B1631" s="45" t="s">
        <v>4021</v>
      </c>
      <c r="C1631" s="45" t="s">
        <v>816</v>
      </c>
      <c r="D1631" s="45" t="s">
        <v>57</v>
      </c>
      <c r="E1631" s="45">
        <v>85040</v>
      </c>
      <c r="F1631" s="45" t="s">
        <v>4022</v>
      </c>
      <c r="G1631" s="76" t="s">
        <v>4014</v>
      </c>
      <c r="H1631" s="80" t="s">
        <v>21</v>
      </c>
      <c r="I1631" s="81"/>
      <c r="J1631" s="81"/>
      <c r="K1631" s="81"/>
      <c r="L1631" s="81"/>
      <c r="M1631" s="81"/>
      <c r="N1631" s="81"/>
      <c r="O1631" s="81"/>
      <c r="P1631" s="81"/>
      <c r="R1631" s="45"/>
      <c r="S1631" s="45"/>
      <c r="T1631" s="45"/>
      <c r="U1631" s="45"/>
      <c r="V1631" s="45">
        <f>IF(OR(ISNUMBER(SEARCH("unable to locate acct",G1631)),ISNUMBER(SEARCH("unknown",G1631)),ISNUMBER(SEARCH("inactive",G1631)),H1631=""),0,1)</f>
        <v>1</v>
      </c>
    </row>
    <row r="1632" spans="1:23">
      <c r="A1632" s="74">
        <v>46050</v>
      </c>
      <c r="B1632" s="45" t="s">
        <v>885</v>
      </c>
      <c r="C1632" s="45" t="s">
        <v>4023</v>
      </c>
      <c r="D1632" s="45" t="s">
        <v>689</v>
      </c>
      <c r="E1632" s="45">
        <v>85375</v>
      </c>
      <c r="F1632" s="45" t="s">
        <v>4024</v>
      </c>
      <c r="G1632" s="76" t="s">
        <v>4014</v>
      </c>
      <c r="H1632" s="80" t="s">
        <v>21</v>
      </c>
      <c r="I1632" s="81"/>
      <c r="J1632" s="81"/>
      <c r="K1632" s="81"/>
      <c r="L1632" s="81"/>
      <c r="M1632" s="81"/>
      <c r="N1632" s="81"/>
      <c r="O1632" s="81"/>
      <c r="P1632" s="81"/>
      <c r="R1632" s="45"/>
      <c r="S1632" s="45"/>
      <c r="T1632" s="45"/>
      <c r="U1632" s="45"/>
      <c r="V1632" s="45">
        <f>IF(OR(ISNUMBER(SEARCH("unable to locate acct",G1632)),ISNUMBER(SEARCH("unknown",G1632)),ISNUMBER(SEARCH("inactive",G1632)),H1632=""),0,1)</f>
        <v>1</v>
      </c>
    </row>
    <row r="1633" spans="1:23">
      <c r="A1633" s="74">
        <v>46050</v>
      </c>
      <c r="B1633" s="45" t="s">
        <v>677</v>
      </c>
      <c r="C1633" s="45" t="s">
        <v>4025</v>
      </c>
      <c r="D1633" s="45" t="s">
        <v>1167</v>
      </c>
      <c r="E1633" s="45">
        <v>85390</v>
      </c>
      <c r="F1633" s="45" t="s">
        <v>4026</v>
      </c>
      <c r="G1633" s="76" t="s">
        <v>4014</v>
      </c>
      <c r="H1633" s="80" t="s">
        <v>4027</v>
      </c>
      <c r="I1633" s="81" t="s">
        <v>30</v>
      </c>
      <c r="J1633" s="81" t="s">
        <v>31</v>
      </c>
      <c r="K1633" s="81" t="s">
        <v>31</v>
      </c>
      <c r="L1633" s="81" t="s">
        <v>32</v>
      </c>
      <c r="M1633" s="81" t="s">
        <v>31</v>
      </c>
      <c r="N1633" s="81" t="s">
        <v>31</v>
      </c>
      <c r="O1633" s="81" t="s">
        <v>32</v>
      </c>
      <c r="P1633" s="81" t="s">
        <v>33</v>
      </c>
      <c r="Q1633" s="2">
        <v>46051</v>
      </c>
      <c r="R1633" s="45"/>
      <c r="S1633" s="45"/>
      <c r="T1633" s="45"/>
      <c r="U1633" s="45"/>
      <c r="V1633" s="45">
        <f>IF(OR(ISNUMBER(SEARCH("unable to locate acct",G1633)),ISNUMBER(SEARCH("unknown",G1633)),ISNUMBER(SEARCH("inactive",G1633)),H1633=""),0,1)</f>
        <v>1</v>
      </c>
    </row>
    <row r="1634" spans="1:23">
      <c r="A1634" s="74">
        <v>46050</v>
      </c>
      <c r="B1634" s="45" t="s">
        <v>4028</v>
      </c>
      <c r="C1634" s="45" t="s">
        <v>472</v>
      </c>
      <c r="D1634" s="45" t="s">
        <v>255</v>
      </c>
      <c r="E1634" s="45">
        <v>86314</v>
      </c>
      <c r="F1634" s="45" t="s">
        <v>4029</v>
      </c>
      <c r="G1634" s="76" t="s">
        <v>4014</v>
      </c>
      <c r="H1634" s="80" t="s">
        <v>4030</v>
      </c>
      <c r="I1634" s="81" t="s">
        <v>244</v>
      </c>
      <c r="J1634" s="81" t="s">
        <v>32</v>
      </c>
      <c r="K1634" s="81" t="s">
        <v>31</v>
      </c>
      <c r="L1634" s="81" t="s">
        <v>4031</v>
      </c>
      <c r="M1634" s="81" t="s">
        <v>31</v>
      </c>
      <c r="N1634" s="81" t="s">
        <v>31</v>
      </c>
      <c r="O1634" s="81" t="s">
        <v>32</v>
      </c>
      <c r="P1634" s="81"/>
      <c r="Q1634" s="41">
        <v>46051</v>
      </c>
      <c r="R1634" s="45" t="s">
        <v>3468</v>
      </c>
      <c r="S1634" s="45"/>
      <c r="T1634" s="45"/>
      <c r="U1634" s="45"/>
      <c r="V1634" s="45">
        <f>IF(OR(ISNUMBER(SEARCH("unable to locate acct",G1634)),ISNUMBER(SEARCH("unknown",G1634)),ISNUMBER(SEARCH("inactive",G1634)),H1634=""),0,1)</f>
        <v>1</v>
      </c>
      <c r="W1634" s="32"/>
    </row>
    <row r="1635" spans="1:23">
      <c r="A1635" s="74">
        <v>46050</v>
      </c>
      <c r="B1635" s="45" t="s">
        <v>4032</v>
      </c>
      <c r="C1635" s="45" t="s">
        <v>3904</v>
      </c>
      <c r="D1635" s="45" t="s">
        <v>57</v>
      </c>
      <c r="E1635" s="45">
        <v>85020</v>
      </c>
      <c r="F1635" s="45" t="s">
        <v>4033</v>
      </c>
      <c r="G1635" s="76" t="s">
        <v>4014</v>
      </c>
      <c r="H1635" s="80" t="s">
        <v>4034</v>
      </c>
      <c r="I1635" s="81" t="s">
        <v>4035</v>
      </c>
      <c r="J1635" s="81" t="s">
        <v>31</v>
      </c>
      <c r="K1635" s="81" t="s">
        <v>31</v>
      </c>
      <c r="L1635" s="81" t="s">
        <v>4036</v>
      </c>
      <c r="M1635" s="81" t="s">
        <v>31</v>
      </c>
      <c r="N1635" s="81" t="s">
        <v>31</v>
      </c>
      <c r="O1635" s="81" t="s">
        <v>32</v>
      </c>
      <c r="P1635" s="81"/>
      <c r="Q1635" s="41">
        <v>46051</v>
      </c>
      <c r="R1635" s="45" t="s">
        <v>3468</v>
      </c>
      <c r="S1635" s="45"/>
      <c r="T1635" s="45"/>
      <c r="U1635" s="45"/>
      <c r="V1635" s="45">
        <f>IF(OR(ISNUMBER(SEARCH("unable to locate acct",G1635)),ISNUMBER(SEARCH("unknown",G1635)),ISNUMBER(SEARCH("inactive",G1635)),H1635=""),0,1)</f>
        <v>1</v>
      </c>
      <c r="W1635" s="32"/>
    </row>
    <row r="1636" spans="1:23">
      <c r="A1636" s="74">
        <v>46051</v>
      </c>
      <c r="B1636" s="45" t="s">
        <v>4037</v>
      </c>
      <c r="C1636" s="45" t="s">
        <v>1699</v>
      </c>
      <c r="D1636" s="45" t="s">
        <v>87</v>
      </c>
      <c r="E1636" s="45">
        <v>85351</v>
      </c>
      <c r="F1636" s="45" t="s">
        <v>4038</v>
      </c>
      <c r="G1636" s="76" t="s">
        <v>4039</v>
      </c>
      <c r="H1636" s="80" t="s">
        <v>4040</v>
      </c>
      <c r="I1636" s="81" t="s">
        <v>30</v>
      </c>
      <c r="J1636" s="81" t="s">
        <v>31</v>
      </c>
      <c r="K1636" s="81" t="s">
        <v>31</v>
      </c>
      <c r="L1636" s="81" t="s">
        <v>32</v>
      </c>
      <c r="M1636" s="81" t="s">
        <v>31</v>
      </c>
      <c r="N1636" s="81" t="s">
        <v>31</v>
      </c>
      <c r="O1636" s="81" t="s">
        <v>32</v>
      </c>
      <c r="P1636" s="81" t="s">
        <v>33</v>
      </c>
      <c r="Q1636" s="2">
        <v>46052</v>
      </c>
      <c r="R1636" s="45"/>
      <c r="S1636" s="45"/>
      <c r="T1636" s="45"/>
      <c r="U1636" s="45"/>
      <c r="V1636" s="45">
        <f>IF(OR(ISNUMBER(SEARCH("unable to locate acct",G1636)),ISNUMBER(SEARCH("unknown",G1636)),ISNUMBER(SEARCH("inactive",G1636)),H1636=""),0,1)</f>
        <v>1</v>
      </c>
    </row>
    <row r="1637" spans="1:23">
      <c r="A1637" s="74">
        <v>46051</v>
      </c>
      <c r="B1637" s="45" t="s">
        <v>4041</v>
      </c>
      <c r="C1637" s="45" t="s">
        <v>4042</v>
      </c>
      <c r="D1637" s="45" t="s">
        <v>255</v>
      </c>
      <c r="E1637" s="45">
        <v>86314</v>
      </c>
      <c r="F1637" s="45" t="s">
        <v>4043</v>
      </c>
      <c r="G1637" s="76" t="s">
        <v>4039</v>
      </c>
      <c r="H1637" s="80" t="s">
        <v>4044</v>
      </c>
      <c r="I1637" s="81" t="s">
        <v>3773</v>
      </c>
      <c r="J1637" s="81" t="s">
        <v>31</v>
      </c>
      <c r="K1637" s="81" t="s">
        <v>31</v>
      </c>
      <c r="L1637" s="81" t="s">
        <v>32</v>
      </c>
      <c r="M1637" s="81" t="s">
        <v>31</v>
      </c>
      <c r="N1637" s="81" t="s">
        <v>31</v>
      </c>
      <c r="O1637" s="81" t="s">
        <v>32</v>
      </c>
      <c r="P1637" s="81" t="s">
        <v>33</v>
      </c>
      <c r="Q1637" s="2">
        <v>46052</v>
      </c>
      <c r="R1637" s="45"/>
      <c r="S1637" s="45"/>
      <c r="T1637" s="45"/>
      <c r="U1637" s="45"/>
      <c r="V1637" s="45">
        <f>IF(OR(ISNUMBER(SEARCH("unable to locate acct",G1637)),ISNUMBER(SEARCH("unknown",G1637)),ISNUMBER(SEARCH("inactive",G1637)),H1637=""),0,1)</f>
        <v>1</v>
      </c>
    </row>
    <row r="1638" spans="1:23">
      <c r="A1638" s="74">
        <v>46051</v>
      </c>
      <c r="B1638" s="45" t="s">
        <v>221</v>
      </c>
      <c r="C1638" s="45" t="s">
        <v>4045</v>
      </c>
      <c r="D1638" s="45" t="s">
        <v>196</v>
      </c>
      <c r="E1638" s="45">
        <v>85383</v>
      </c>
      <c r="F1638" s="45" t="s">
        <v>4046</v>
      </c>
      <c r="G1638" s="76" t="s">
        <v>4039</v>
      </c>
      <c r="H1638" s="80" t="s">
        <v>4047</v>
      </c>
      <c r="I1638" s="81" t="s">
        <v>30</v>
      </c>
      <c r="J1638" s="81" t="s">
        <v>31</v>
      </c>
      <c r="K1638" s="81" t="s">
        <v>31</v>
      </c>
      <c r="L1638" s="81" t="s">
        <v>32</v>
      </c>
      <c r="M1638" s="81" t="s">
        <v>31</v>
      </c>
      <c r="N1638" s="81" t="s">
        <v>31</v>
      </c>
      <c r="O1638" s="81" t="s">
        <v>32</v>
      </c>
      <c r="P1638" s="81"/>
      <c r="Q1638" s="41">
        <v>46052</v>
      </c>
      <c r="R1638" s="45" t="s">
        <v>3996</v>
      </c>
      <c r="S1638" s="45"/>
      <c r="T1638" s="45"/>
      <c r="U1638" s="45"/>
      <c r="V1638" s="45">
        <f>IF(OR(ISNUMBER(SEARCH("unable to locate acct",G1638)),ISNUMBER(SEARCH("unknown",G1638)),ISNUMBER(SEARCH("inactive",G1638)),H1638=""),0,1)</f>
        <v>1</v>
      </c>
      <c r="W1638" s="32"/>
    </row>
    <row r="1639" spans="1:23">
      <c r="A1639" s="74">
        <v>46051</v>
      </c>
      <c r="B1639" s="45" t="s">
        <v>4048</v>
      </c>
      <c r="C1639" s="45" t="s">
        <v>4049</v>
      </c>
      <c r="D1639" s="45" t="s">
        <v>57</v>
      </c>
      <c r="E1639" s="45">
        <v>85053</v>
      </c>
      <c r="F1639" s="45" t="s">
        <v>4050</v>
      </c>
      <c r="G1639" s="76" t="s">
        <v>4039</v>
      </c>
      <c r="H1639" s="80" t="s">
        <v>4051</v>
      </c>
      <c r="I1639" s="81" t="s">
        <v>30</v>
      </c>
      <c r="J1639" s="81" t="s">
        <v>32</v>
      </c>
      <c r="K1639" s="81" t="s">
        <v>31</v>
      </c>
      <c r="L1639" s="81" t="s">
        <v>32</v>
      </c>
      <c r="M1639" s="81" t="s">
        <v>32</v>
      </c>
      <c r="N1639" s="83">
        <v>2316.81</v>
      </c>
      <c r="O1639" s="81" t="s">
        <v>32</v>
      </c>
      <c r="P1639" s="81"/>
      <c r="Q1639" s="41">
        <v>46052</v>
      </c>
      <c r="R1639" s="45" t="s">
        <v>3996</v>
      </c>
      <c r="S1639" s="45"/>
      <c r="T1639" s="45"/>
      <c r="U1639" s="45"/>
      <c r="V1639" s="45">
        <f>IF(OR(ISNUMBER(SEARCH("unable to locate acct",G1639)),ISNUMBER(SEARCH("unknown",G1639)),ISNUMBER(SEARCH("inactive",G1639)),H1639=""),0,1)</f>
        <v>1</v>
      </c>
      <c r="W1639" s="32"/>
    </row>
    <row r="1640" spans="1:23">
      <c r="A1640" s="74">
        <v>46051</v>
      </c>
      <c r="B1640" s="45" t="s">
        <v>4052</v>
      </c>
      <c r="C1640" s="45" t="s">
        <v>1699</v>
      </c>
      <c r="D1640" s="45" t="s">
        <v>119</v>
      </c>
      <c r="E1640" s="45">
        <v>85254</v>
      </c>
      <c r="F1640" s="45" t="s">
        <v>4053</v>
      </c>
      <c r="G1640" s="76" t="s">
        <v>4054</v>
      </c>
      <c r="H1640" s="80" t="s">
        <v>4055</v>
      </c>
      <c r="I1640" s="81" t="s">
        <v>30</v>
      </c>
      <c r="J1640" s="81" t="s">
        <v>31</v>
      </c>
      <c r="K1640" s="81" t="s">
        <v>31</v>
      </c>
      <c r="L1640" s="81" t="s">
        <v>32</v>
      </c>
      <c r="M1640" s="81" t="s">
        <v>31</v>
      </c>
      <c r="N1640" s="81" t="s">
        <v>31</v>
      </c>
      <c r="O1640" s="81" t="s">
        <v>32</v>
      </c>
      <c r="P1640" s="81" t="s">
        <v>33</v>
      </c>
      <c r="Q1640" s="2">
        <v>46052</v>
      </c>
      <c r="R1640" s="45"/>
      <c r="S1640" s="45"/>
      <c r="T1640" s="45"/>
      <c r="U1640" s="45"/>
      <c r="V1640" s="45">
        <f>IF(OR(ISNUMBER(SEARCH("unable to locate acct",G1640)),ISNUMBER(SEARCH("unknown",G1640)),ISNUMBER(SEARCH("inactive",G1640)),H1640=""),0,1)</f>
        <v>1</v>
      </c>
    </row>
    <row r="1641" spans="1:23">
      <c r="A1641" s="74">
        <v>46051</v>
      </c>
      <c r="B1641" s="45" t="s">
        <v>4056</v>
      </c>
      <c r="C1641" s="45" t="s">
        <v>1109</v>
      </c>
      <c r="D1641" s="45" t="s">
        <v>57</v>
      </c>
      <c r="E1641" s="45">
        <v>85032</v>
      </c>
      <c r="F1641" s="45" t="s">
        <v>4057</v>
      </c>
      <c r="G1641" s="76" t="s">
        <v>4054</v>
      </c>
      <c r="H1641" s="80" t="s">
        <v>5075</v>
      </c>
      <c r="I1641" s="81" t="s">
        <v>120</v>
      </c>
      <c r="J1641" s="81" t="s">
        <v>31</v>
      </c>
      <c r="K1641" s="81" t="s">
        <v>31</v>
      </c>
      <c r="L1641" s="81" t="s">
        <v>4010</v>
      </c>
      <c r="M1641" s="81" t="s">
        <v>31</v>
      </c>
      <c r="N1641" s="81" t="s">
        <v>31</v>
      </c>
      <c r="O1641" s="81" t="s">
        <v>32</v>
      </c>
      <c r="P1641" s="81"/>
      <c r="Q1641" s="2">
        <v>46052</v>
      </c>
      <c r="R1641" s="45" t="s">
        <v>4058</v>
      </c>
      <c r="S1641" s="45"/>
      <c r="T1641" s="45"/>
      <c r="U1641" s="45"/>
      <c r="V1641" s="45">
        <f>IF(OR(ISNUMBER(SEARCH("unable to locate acct",G1641)),ISNUMBER(SEARCH("unknown",G1641)),ISNUMBER(SEARCH("inactive",G1641)),H1641=""),0,1)</f>
        <v>1</v>
      </c>
    </row>
    <row r="1642" spans="1:23">
      <c r="A1642" s="74">
        <v>46051</v>
      </c>
      <c r="B1642" s="45" t="s">
        <v>4059</v>
      </c>
      <c r="C1642" s="45" t="s">
        <v>1950</v>
      </c>
      <c r="D1642" s="45" t="s">
        <v>18</v>
      </c>
      <c r="E1642" s="45">
        <v>85308</v>
      </c>
      <c r="F1642" s="45" t="s">
        <v>4060</v>
      </c>
      <c r="G1642" s="76" t="s">
        <v>4054</v>
      </c>
      <c r="H1642" s="80" t="s">
        <v>84</v>
      </c>
      <c r="I1642" s="81"/>
      <c r="J1642" s="81"/>
      <c r="K1642" s="81"/>
      <c r="L1642" s="81"/>
      <c r="M1642" s="81"/>
      <c r="N1642" s="81"/>
      <c r="O1642" s="81"/>
      <c r="P1642" s="81"/>
      <c r="R1642" s="45"/>
      <c r="S1642" s="45"/>
      <c r="T1642" s="45"/>
      <c r="U1642" s="45"/>
      <c r="V1642" s="45">
        <f>IF(OR(ISNUMBER(SEARCH("unable to locate acct",G1642)),ISNUMBER(SEARCH("unknown",G1642)),ISNUMBER(SEARCH("inactive",G1642)),H1642=""),0,1)</f>
        <v>1</v>
      </c>
    </row>
    <row r="1643" spans="1:23">
      <c r="A1643" s="74">
        <v>46052</v>
      </c>
      <c r="B1643" s="45" t="s">
        <v>4061</v>
      </c>
      <c r="C1643" s="45" t="s">
        <v>4062</v>
      </c>
      <c r="D1643" s="45" t="s">
        <v>119</v>
      </c>
      <c r="E1643" s="45">
        <v>85254</v>
      </c>
      <c r="F1643" s="45" t="s">
        <v>4063</v>
      </c>
      <c r="G1643" s="76" t="s">
        <v>4064</v>
      </c>
      <c r="H1643" s="80" t="s">
        <v>4065</v>
      </c>
      <c r="I1643" s="81" t="s">
        <v>30</v>
      </c>
      <c r="J1643" s="81" t="s">
        <v>31</v>
      </c>
      <c r="K1643" s="81" t="s">
        <v>31</v>
      </c>
      <c r="L1643" s="81" t="s">
        <v>32</v>
      </c>
      <c r="M1643" s="81" t="s">
        <v>31</v>
      </c>
      <c r="N1643" s="81" t="s">
        <v>31</v>
      </c>
      <c r="O1643" s="81" t="s">
        <v>32</v>
      </c>
      <c r="P1643" s="81" t="s">
        <v>33</v>
      </c>
      <c r="Q1643" s="2">
        <v>46057</v>
      </c>
      <c r="R1643" s="45"/>
      <c r="S1643" s="45"/>
      <c r="T1643" s="45"/>
      <c r="U1643" s="45"/>
      <c r="V1643" s="45">
        <f>IF(OR(ISNUMBER(SEARCH("unable to locate acct",G1643)),ISNUMBER(SEARCH("unknown",G1643)),ISNUMBER(SEARCH("inactive",G1643)),H1643=""),0,1)</f>
        <v>1</v>
      </c>
    </row>
    <row r="1644" spans="1:23">
      <c r="A1644" s="74">
        <v>46052</v>
      </c>
      <c r="B1644" s="45" t="s">
        <v>4066</v>
      </c>
      <c r="C1644" s="45" t="s">
        <v>1832</v>
      </c>
      <c r="D1644" s="45" t="s">
        <v>689</v>
      </c>
      <c r="E1644" s="45">
        <v>85375</v>
      </c>
      <c r="F1644" s="45" t="s">
        <v>4067</v>
      </c>
      <c r="G1644" s="76" t="s">
        <v>4064</v>
      </c>
      <c r="H1644" s="80" t="s">
        <v>4068</v>
      </c>
      <c r="I1644" s="81" t="s">
        <v>40</v>
      </c>
      <c r="J1644" s="81" t="s">
        <v>31</v>
      </c>
      <c r="K1644" s="81" t="s">
        <v>31</v>
      </c>
      <c r="L1644" s="81" t="s">
        <v>32</v>
      </c>
      <c r="M1644" s="81" t="s">
        <v>32</v>
      </c>
      <c r="N1644" s="82">
        <v>72.2</v>
      </c>
      <c r="O1644" s="81" t="s">
        <v>32</v>
      </c>
      <c r="P1644" s="81" t="s">
        <v>33</v>
      </c>
      <c r="Q1644" s="2">
        <v>46057</v>
      </c>
      <c r="R1644" s="45"/>
      <c r="S1644" s="45"/>
      <c r="T1644" s="45"/>
      <c r="U1644" s="45"/>
      <c r="V1644" s="45">
        <f>IF(OR(ISNUMBER(SEARCH("unable to locate acct",G1644)),ISNUMBER(SEARCH("unknown",G1644)),ISNUMBER(SEARCH("inactive",G1644)),H1644=""),0,1)</f>
        <v>1</v>
      </c>
    </row>
    <row r="1645" spans="1:23">
      <c r="A1645" s="74">
        <v>46049</v>
      </c>
      <c r="B1645" s="45" t="s">
        <v>558</v>
      </c>
      <c r="C1645" s="45" t="s">
        <v>4069</v>
      </c>
      <c r="D1645" s="45" t="s">
        <v>440</v>
      </c>
      <c r="E1645" s="45">
        <v>85361</v>
      </c>
      <c r="F1645" s="45" t="s">
        <v>4070</v>
      </c>
      <c r="G1645" s="76" t="s">
        <v>4071</v>
      </c>
      <c r="H1645" s="80" t="s">
        <v>21</v>
      </c>
      <c r="I1645" s="81"/>
      <c r="J1645" s="81"/>
      <c r="K1645" s="81"/>
      <c r="L1645" s="81"/>
      <c r="M1645" s="81"/>
      <c r="N1645" s="81"/>
      <c r="O1645" s="81"/>
      <c r="P1645" s="81"/>
      <c r="R1645" s="45"/>
      <c r="S1645" s="45"/>
      <c r="T1645" s="45"/>
      <c r="U1645" s="45"/>
      <c r="V1645" s="45">
        <f>IF(OR(ISNUMBER(SEARCH("unable to locate acct",G1645)),ISNUMBER(SEARCH("unknown",G1645)),ISNUMBER(SEARCH("inactive",G1645)),H1645=""),0,1)</f>
        <v>1</v>
      </c>
    </row>
    <row r="1646" spans="1:23">
      <c r="A1646" s="74">
        <v>46049</v>
      </c>
      <c r="B1646" s="45" t="s">
        <v>4072</v>
      </c>
      <c r="C1646" s="45" t="s">
        <v>4073</v>
      </c>
      <c r="D1646" s="45" t="s">
        <v>57</v>
      </c>
      <c r="E1646" s="45">
        <v>85083</v>
      </c>
      <c r="F1646" s="45" t="s">
        <v>4074</v>
      </c>
      <c r="G1646" s="76" t="s">
        <v>4071</v>
      </c>
      <c r="H1646" s="80" t="s">
        <v>4075</v>
      </c>
      <c r="I1646" s="81" t="s">
        <v>30</v>
      </c>
      <c r="J1646" s="81" t="s">
        <v>31</v>
      </c>
      <c r="K1646" s="81" t="s">
        <v>31</v>
      </c>
      <c r="L1646" s="81" t="s">
        <v>32</v>
      </c>
      <c r="M1646" s="81" t="s">
        <v>31</v>
      </c>
      <c r="N1646" s="81" t="s">
        <v>31</v>
      </c>
      <c r="O1646" s="81" t="s">
        <v>32</v>
      </c>
      <c r="P1646" s="81" t="s">
        <v>33</v>
      </c>
      <c r="Q1646" s="2">
        <v>46057</v>
      </c>
      <c r="R1646" s="45"/>
      <c r="S1646" s="45"/>
      <c r="T1646" s="45"/>
      <c r="U1646" s="45"/>
      <c r="V1646" s="45">
        <f>IF(OR(ISNUMBER(SEARCH("unable to locate acct",G1646)),ISNUMBER(SEARCH("unknown",G1646)),ISNUMBER(SEARCH("inactive",G1646)),H1646=""),0,1)</f>
        <v>1</v>
      </c>
    </row>
    <row r="1647" spans="1:23">
      <c r="A1647" s="74">
        <v>46049</v>
      </c>
      <c r="B1647" s="45" t="s">
        <v>4076</v>
      </c>
      <c r="C1647" s="45" t="s">
        <v>463</v>
      </c>
      <c r="D1647" s="45" t="s">
        <v>255</v>
      </c>
      <c r="E1647" s="45">
        <v>86314</v>
      </c>
      <c r="F1647" s="45" t="s">
        <v>4077</v>
      </c>
      <c r="G1647" s="76" t="s">
        <v>4071</v>
      </c>
      <c r="H1647" s="80" t="s">
        <v>4078</v>
      </c>
      <c r="I1647" s="81" t="s">
        <v>120</v>
      </c>
      <c r="J1647" s="81" t="s">
        <v>31</v>
      </c>
      <c r="K1647" s="81" t="s">
        <v>31</v>
      </c>
      <c r="L1647" s="81" t="s">
        <v>32</v>
      </c>
      <c r="M1647" s="81" t="s">
        <v>31</v>
      </c>
      <c r="N1647" s="81" t="s">
        <v>31</v>
      </c>
      <c r="O1647" s="81" t="s">
        <v>32</v>
      </c>
      <c r="P1647" s="81" t="s">
        <v>33</v>
      </c>
      <c r="Q1647" s="2">
        <v>46057</v>
      </c>
      <c r="R1647" s="45"/>
      <c r="S1647" s="45"/>
      <c r="T1647" s="45"/>
      <c r="U1647" s="45"/>
      <c r="V1647" s="45">
        <f>IF(OR(ISNUMBER(SEARCH("unable to locate acct",G1647)),ISNUMBER(SEARCH("unknown",G1647)),ISNUMBER(SEARCH("inactive",G1647)),H1647=""),0,1)</f>
        <v>1</v>
      </c>
    </row>
    <row r="1648" spans="1:23">
      <c r="A1648" s="74">
        <v>46049</v>
      </c>
      <c r="B1648" s="45" t="s">
        <v>4079</v>
      </c>
      <c r="C1648" s="45" t="s">
        <v>4080</v>
      </c>
      <c r="D1648" s="45" t="s">
        <v>610</v>
      </c>
      <c r="E1648" s="45">
        <v>85364</v>
      </c>
      <c r="F1648" s="45" t="s">
        <v>4081</v>
      </c>
      <c r="G1648" s="76" t="s">
        <v>4071</v>
      </c>
      <c r="H1648" s="80" t="s">
        <v>21</v>
      </c>
      <c r="I1648" s="81"/>
      <c r="J1648" s="81"/>
      <c r="K1648" s="81"/>
      <c r="L1648" s="81"/>
      <c r="M1648" s="81"/>
      <c r="N1648" s="81"/>
      <c r="O1648" s="81"/>
      <c r="P1648" s="81"/>
      <c r="R1648" s="45"/>
      <c r="S1648" s="45"/>
      <c r="T1648" s="45"/>
      <c r="U1648" s="45"/>
      <c r="V1648" s="45">
        <f>IF(OR(ISNUMBER(SEARCH("unable to locate acct",G1648)),ISNUMBER(SEARCH("unknown",G1648)),ISNUMBER(SEARCH("inactive",G1648)),H1648=""),0,1)</f>
        <v>1</v>
      </c>
    </row>
    <row r="1649" spans="1:23">
      <c r="A1649" s="74">
        <v>46049</v>
      </c>
      <c r="B1649" s="45" t="s">
        <v>4082</v>
      </c>
      <c r="C1649" s="45" t="s">
        <v>306</v>
      </c>
      <c r="D1649" s="45" t="s">
        <v>404</v>
      </c>
      <c r="E1649" s="45">
        <v>85123</v>
      </c>
      <c r="F1649" s="45" t="s">
        <v>4083</v>
      </c>
      <c r="G1649" s="76" t="s">
        <v>4071</v>
      </c>
      <c r="H1649" s="80" t="s">
        <v>4084</v>
      </c>
      <c r="I1649" s="81" t="s">
        <v>30</v>
      </c>
      <c r="J1649" s="81" t="s">
        <v>31</v>
      </c>
      <c r="K1649" s="81" t="s">
        <v>31</v>
      </c>
      <c r="L1649" s="81" t="s">
        <v>32</v>
      </c>
      <c r="M1649" s="81" t="s">
        <v>32</v>
      </c>
      <c r="N1649" s="82">
        <v>309.8</v>
      </c>
      <c r="O1649" s="81" t="s">
        <v>32</v>
      </c>
      <c r="P1649" s="81"/>
      <c r="Q1649" s="41">
        <v>46057</v>
      </c>
      <c r="R1649" s="45" t="s">
        <v>3996</v>
      </c>
      <c r="S1649" s="45"/>
      <c r="T1649" s="45"/>
      <c r="U1649" s="45"/>
      <c r="V1649" s="45">
        <f>IF(OR(ISNUMBER(SEARCH("unable to locate acct",G1649)),ISNUMBER(SEARCH("unknown",G1649)),ISNUMBER(SEARCH("inactive",G1649)),H1649=""),0,1)</f>
        <v>1</v>
      </c>
      <c r="W1649" s="32"/>
    </row>
    <row r="1650" spans="1:23">
      <c r="A1650" s="74">
        <v>46049</v>
      </c>
      <c r="B1650" s="45" t="s">
        <v>3316</v>
      </c>
      <c r="C1650" s="45" t="s">
        <v>4085</v>
      </c>
      <c r="D1650" s="45" t="s">
        <v>57</v>
      </c>
      <c r="E1650" s="45">
        <v>85023</v>
      </c>
      <c r="F1650" s="45" t="s">
        <v>4086</v>
      </c>
      <c r="G1650" s="76" t="s">
        <v>4071</v>
      </c>
      <c r="H1650" s="80" t="s">
        <v>4087</v>
      </c>
      <c r="I1650" s="81" t="s">
        <v>67</v>
      </c>
      <c r="J1650" s="81" t="s">
        <v>31</v>
      </c>
      <c r="K1650" s="81" t="s">
        <v>31</v>
      </c>
      <c r="L1650" s="81" t="s">
        <v>32</v>
      </c>
      <c r="M1650" s="81" t="s">
        <v>32</v>
      </c>
      <c r="N1650" s="82">
        <v>202.33</v>
      </c>
      <c r="O1650" s="81" t="s">
        <v>32</v>
      </c>
      <c r="P1650" s="81"/>
      <c r="Q1650" s="41">
        <v>46057</v>
      </c>
      <c r="R1650" s="45" t="s">
        <v>3996</v>
      </c>
      <c r="S1650" s="45"/>
      <c r="T1650" s="45"/>
      <c r="U1650" s="45"/>
      <c r="V1650" s="45">
        <f>IF(OR(ISNUMBER(SEARCH("unable to locate acct",G1650)),ISNUMBER(SEARCH("unknown",G1650)),ISNUMBER(SEARCH("inactive",G1650)),H1650=""),0,1)</f>
        <v>1</v>
      </c>
      <c r="W1650" s="32"/>
    </row>
    <row r="1651" spans="1:23">
      <c r="A1651" s="74">
        <v>46049</v>
      </c>
      <c r="B1651" s="45" t="s">
        <v>4088</v>
      </c>
      <c r="C1651" s="45" t="s">
        <v>4089</v>
      </c>
      <c r="D1651" s="45" t="s">
        <v>57</v>
      </c>
      <c r="E1651" s="45">
        <v>85023</v>
      </c>
      <c r="F1651" s="45" t="s">
        <v>4090</v>
      </c>
      <c r="G1651" s="76" t="s">
        <v>4071</v>
      </c>
      <c r="H1651" s="80" t="s">
        <v>4091</v>
      </c>
      <c r="I1651" s="81" t="s">
        <v>40</v>
      </c>
      <c r="J1651" s="81" t="s">
        <v>31</v>
      </c>
      <c r="K1651" s="81" t="s">
        <v>31</v>
      </c>
      <c r="L1651" s="81" t="s">
        <v>32</v>
      </c>
      <c r="M1651" s="81" t="s">
        <v>31</v>
      </c>
      <c r="N1651" s="81" t="s">
        <v>31</v>
      </c>
      <c r="O1651" s="81" t="s">
        <v>32</v>
      </c>
      <c r="P1651" s="81" t="s">
        <v>33</v>
      </c>
      <c r="Q1651" s="2">
        <v>46057</v>
      </c>
      <c r="R1651" s="45" t="s">
        <v>4092</v>
      </c>
      <c r="S1651" s="45"/>
      <c r="T1651" s="45"/>
      <c r="U1651" s="45"/>
      <c r="V1651" s="45">
        <f>IF(OR(ISNUMBER(SEARCH("unable to locate acct",G1651)),ISNUMBER(SEARCH("unknown",G1651)),ISNUMBER(SEARCH("inactive",G1651)),H1651=""),0,1)</f>
        <v>1</v>
      </c>
    </row>
    <row r="1652" spans="1:23">
      <c r="A1652" s="74">
        <v>46049</v>
      </c>
      <c r="B1652" s="45" t="s">
        <v>327</v>
      </c>
      <c r="C1652" s="45" t="s">
        <v>3696</v>
      </c>
      <c r="D1652" s="45" t="s">
        <v>106</v>
      </c>
      <c r="E1652" s="45">
        <v>85374</v>
      </c>
      <c r="F1652" s="45" t="s">
        <v>4093</v>
      </c>
      <c r="G1652" s="76" t="s">
        <v>4071</v>
      </c>
      <c r="H1652" s="80" t="s">
        <v>4094</v>
      </c>
      <c r="I1652" s="81" t="s">
        <v>67</v>
      </c>
      <c r="J1652" s="81" t="s">
        <v>32</v>
      </c>
      <c r="K1652" s="81" t="s">
        <v>31</v>
      </c>
      <c r="L1652" s="81" t="s">
        <v>32</v>
      </c>
      <c r="M1652" s="81" t="s">
        <v>31</v>
      </c>
      <c r="N1652" s="81" t="s">
        <v>31</v>
      </c>
      <c r="O1652" s="81" t="s">
        <v>32</v>
      </c>
      <c r="P1652" s="81" t="s">
        <v>33</v>
      </c>
      <c r="Q1652" s="2">
        <v>46057</v>
      </c>
      <c r="R1652" s="45"/>
      <c r="S1652" s="45"/>
      <c r="T1652" s="45"/>
      <c r="U1652" s="45"/>
      <c r="V1652" s="45">
        <f>IF(OR(ISNUMBER(SEARCH("unable to locate acct",G1652)),ISNUMBER(SEARCH("unknown",G1652)),ISNUMBER(SEARCH("inactive",G1652)),H1652=""),0,1)</f>
        <v>1</v>
      </c>
    </row>
    <row r="1653" spans="1:23">
      <c r="A1653" s="74">
        <v>46049</v>
      </c>
      <c r="B1653" s="45" t="s">
        <v>4095</v>
      </c>
      <c r="C1653" s="45" t="s">
        <v>4096</v>
      </c>
      <c r="D1653" s="45" t="s">
        <v>610</v>
      </c>
      <c r="E1653" s="45">
        <v>85364</v>
      </c>
      <c r="F1653" s="45" t="s">
        <v>4097</v>
      </c>
      <c r="G1653" s="76" t="s">
        <v>4071</v>
      </c>
      <c r="H1653" s="80" t="s">
        <v>21</v>
      </c>
      <c r="I1653" s="81"/>
      <c r="J1653" s="81"/>
      <c r="K1653" s="81"/>
      <c r="L1653" s="81"/>
      <c r="M1653" s="81"/>
      <c r="N1653" s="81"/>
      <c r="O1653" s="81"/>
      <c r="P1653" s="81"/>
      <c r="R1653" s="45"/>
      <c r="S1653" s="45"/>
      <c r="T1653" s="45"/>
      <c r="U1653" s="45"/>
      <c r="V1653" s="45">
        <f>IF(OR(ISNUMBER(SEARCH("unable to locate acct",G1653)),ISNUMBER(SEARCH("unknown",G1653)),ISNUMBER(SEARCH("inactive",G1653)),H1653=""),0,1)</f>
        <v>1</v>
      </c>
    </row>
    <row r="1654" spans="1:23">
      <c r="A1654" s="74">
        <v>46049</v>
      </c>
      <c r="B1654" s="45" t="s">
        <v>161</v>
      </c>
      <c r="C1654" s="45" t="s">
        <v>4098</v>
      </c>
      <c r="D1654" s="45" t="s">
        <v>196</v>
      </c>
      <c r="E1654" s="45">
        <v>85345</v>
      </c>
      <c r="F1654" s="45" t="s">
        <v>4099</v>
      </c>
      <c r="G1654" s="76" t="s">
        <v>4071</v>
      </c>
      <c r="H1654" s="80" t="s">
        <v>4100</v>
      </c>
      <c r="I1654" s="81" t="s">
        <v>120</v>
      </c>
      <c r="J1654" s="81" t="s">
        <v>31</v>
      </c>
      <c r="K1654" s="81" t="s">
        <v>31</v>
      </c>
      <c r="L1654" s="81" t="s">
        <v>32</v>
      </c>
      <c r="M1654" s="81" t="s">
        <v>31</v>
      </c>
      <c r="N1654" s="81" t="s">
        <v>31</v>
      </c>
      <c r="O1654" s="81" t="s">
        <v>32</v>
      </c>
      <c r="P1654" s="81" t="s">
        <v>33</v>
      </c>
      <c r="Q1654" s="2">
        <v>46057</v>
      </c>
      <c r="R1654" s="45"/>
      <c r="S1654" s="45"/>
      <c r="T1654" s="45"/>
      <c r="U1654" s="45"/>
      <c r="V1654" s="45">
        <f>IF(OR(ISNUMBER(SEARCH("unable to locate acct",G1654)),ISNUMBER(SEARCH("unknown",G1654)),ISNUMBER(SEARCH("inactive",G1654)),H1654=""),0,1)</f>
        <v>1</v>
      </c>
    </row>
    <row r="1655" spans="1:23">
      <c r="A1655" s="74">
        <v>46049</v>
      </c>
      <c r="B1655" s="45" t="s">
        <v>4101</v>
      </c>
      <c r="C1655" s="45" t="s">
        <v>4102</v>
      </c>
      <c r="D1655" s="45" t="s">
        <v>404</v>
      </c>
      <c r="E1655" s="45">
        <v>85123</v>
      </c>
      <c r="F1655" s="45" t="s">
        <v>4103</v>
      </c>
      <c r="G1655" s="76" t="s">
        <v>4071</v>
      </c>
      <c r="H1655" s="80" t="s">
        <v>4104</v>
      </c>
      <c r="I1655" s="81" t="s">
        <v>3773</v>
      </c>
      <c r="J1655" s="81" t="s">
        <v>31</v>
      </c>
      <c r="K1655" s="81" t="s">
        <v>31</v>
      </c>
      <c r="L1655" s="81" t="s">
        <v>32</v>
      </c>
      <c r="M1655" s="81" t="s">
        <v>31</v>
      </c>
      <c r="N1655" s="81" t="s">
        <v>31</v>
      </c>
      <c r="O1655" s="81" t="s">
        <v>32</v>
      </c>
      <c r="P1655" s="81" t="s">
        <v>33</v>
      </c>
      <c r="Q1655" s="2">
        <v>46057</v>
      </c>
      <c r="R1655" s="45"/>
      <c r="S1655" s="45"/>
      <c r="T1655" s="45"/>
      <c r="U1655" s="45"/>
      <c r="V1655" s="45">
        <f>IF(OR(ISNUMBER(SEARCH("unable to locate acct",G1655)),ISNUMBER(SEARCH("unknown",G1655)),ISNUMBER(SEARCH("inactive",G1655)),H1655=""),0,1)</f>
        <v>1</v>
      </c>
    </row>
    <row r="1656" spans="1:23">
      <c r="A1656" s="74">
        <v>46049</v>
      </c>
      <c r="B1656" s="45" t="s">
        <v>4105</v>
      </c>
      <c r="C1656" s="45" t="s">
        <v>4106</v>
      </c>
      <c r="D1656" s="45" t="s">
        <v>234</v>
      </c>
      <c r="E1656" s="45">
        <v>85340</v>
      </c>
      <c r="F1656" s="45" t="s">
        <v>4107</v>
      </c>
      <c r="G1656" s="76" t="s">
        <v>4071</v>
      </c>
      <c r="H1656" s="80" t="s">
        <v>4108</v>
      </c>
      <c r="I1656" s="81" t="s">
        <v>4109</v>
      </c>
      <c r="J1656" s="81" t="s">
        <v>31</v>
      </c>
      <c r="K1656" s="81" t="s">
        <v>31</v>
      </c>
      <c r="L1656" s="81" t="s">
        <v>3543</v>
      </c>
      <c r="M1656" s="81" t="s">
        <v>31</v>
      </c>
      <c r="N1656" s="81" t="s">
        <v>31</v>
      </c>
      <c r="O1656" s="81" t="s">
        <v>32</v>
      </c>
      <c r="P1656" s="81" t="s">
        <v>33</v>
      </c>
      <c r="Q1656" s="2">
        <v>46057</v>
      </c>
      <c r="R1656" s="45"/>
      <c r="S1656" s="45"/>
      <c r="T1656" s="45"/>
      <c r="U1656" s="45"/>
      <c r="V1656" s="45">
        <f>IF(OR(ISNUMBER(SEARCH("unable to locate acct",G1656)),ISNUMBER(SEARCH("unknown",G1656)),ISNUMBER(SEARCH("inactive",G1656)),H1656=""),0,1)</f>
        <v>1</v>
      </c>
    </row>
    <row r="1657" spans="1:23">
      <c r="A1657" s="74">
        <v>46049</v>
      </c>
      <c r="B1657" s="45" t="s">
        <v>4110</v>
      </c>
      <c r="C1657" s="45" t="s">
        <v>1995</v>
      </c>
      <c r="D1657" s="45" t="s">
        <v>57</v>
      </c>
      <c r="E1657" s="45">
        <v>85029</v>
      </c>
      <c r="F1657" s="45" t="s">
        <v>4111</v>
      </c>
      <c r="G1657" s="76" t="s">
        <v>4071</v>
      </c>
      <c r="H1657" s="80" t="s">
        <v>4112</v>
      </c>
      <c r="I1657" s="81" t="s">
        <v>532</v>
      </c>
      <c r="J1657" s="81" t="s">
        <v>31</v>
      </c>
      <c r="K1657" s="81" t="s">
        <v>31</v>
      </c>
      <c r="L1657" s="81" t="s">
        <v>3543</v>
      </c>
      <c r="M1657" s="81" t="s">
        <v>32</v>
      </c>
      <c r="N1657" s="82">
        <v>125.36</v>
      </c>
      <c r="O1657" s="81" t="s">
        <v>32</v>
      </c>
      <c r="P1657" s="81" t="s">
        <v>33</v>
      </c>
      <c r="Q1657" s="2">
        <v>46057</v>
      </c>
      <c r="R1657" s="45"/>
      <c r="S1657" s="45"/>
      <c r="T1657" s="45"/>
      <c r="U1657" s="45"/>
      <c r="V1657" s="45">
        <f>IF(OR(ISNUMBER(SEARCH("unable to locate acct",G1657)),ISNUMBER(SEARCH("unknown",G1657)),ISNUMBER(SEARCH("inactive",G1657)),H1657=""),0,1)</f>
        <v>1</v>
      </c>
    </row>
    <row r="1658" spans="1:23">
      <c r="A1658" s="74">
        <v>46049</v>
      </c>
      <c r="B1658" s="45" t="s">
        <v>4113</v>
      </c>
      <c r="C1658" s="45" t="s">
        <v>306</v>
      </c>
      <c r="D1658" s="45" t="s">
        <v>106</v>
      </c>
      <c r="E1658" s="45">
        <v>85379</v>
      </c>
      <c r="F1658" s="45" t="s">
        <v>4114</v>
      </c>
      <c r="G1658" s="76" t="s">
        <v>4071</v>
      </c>
      <c r="H1658" s="80" t="s">
        <v>4115</v>
      </c>
      <c r="I1658" s="81" t="s">
        <v>190</v>
      </c>
      <c r="J1658" s="81" t="s">
        <v>32</v>
      </c>
      <c r="K1658" s="81" t="s">
        <v>31</v>
      </c>
      <c r="L1658" s="81" t="s">
        <v>32</v>
      </c>
      <c r="M1658" s="81" t="s">
        <v>31</v>
      </c>
      <c r="N1658" s="81" t="s">
        <v>31</v>
      </c>
      <c r="O1658" s="81" t="s">
        <v>32</v>
      </c>
      <c r="P1658" s="81" t="s">
        <v>33</v>
      </c>
      <c r="Q1658" s="2">
        <v>46057</v>
      </c>
      <c r="R1658" s="45"/>
      <c r="S1658" s="45"/>
      <c r="T1658" s="45"/>
      <c r="U1658" s="45"/>
      <c r="V1658" s="45">
        <f>IF(OR(ISNUMBER(SEARCH("unable to locate acct",G1658)),ISNUMBER(SEARCH("unknown",G1658)),ISNUMBER(SEARCH("inactive",G1658)),H1658=""),0,1)</f>
        <v>1</v>
      </c>
    </row>
    <row r="1659" spans="1:23">
      <c r="A1659" s="74">
        <v>46049</v>
      </c>
      <c r="B1659" s="45" t="s">
        <v>4116</v>
      </c>
      <c r="C1659" s="45" t="s">
        <v>4117</v>
      </c>
      <c r="D1659" s="45" t="s">
        <v>57</v>
      </c>
      <c r="E1659" s="45">
        <v>85006</v>
      </c>
      <c r="F1659" s="45" t="s">
        <v>4118</v>
      </c>
      <c r="G1659" s="76" t="s">
        <v>4071</v>
      </c>
      <c r="H1659" s="80" t="s">
        <v>4119</v>
      </c>
      <c r="I1659" s="81" t="s">
        <v>190</v>
      </c>
      <c r="J1659" s="81" t="s">
        <v>31</v>
      </c>
      <c r="K1659" s="81" t="s">
        <v>31</v>
      </c>
      <c r="L1659" s="81" t="s">
        <v>32</v>
      </c>
      <c r="M1659" s="81" t="s">
        <v>31</v>
      </c>
      <c r="N1659" s="81" t="s">
        <v>31</v>
      </c>
      <c r="O1659" s="81" t="s">
        <v>32</v>
      </c>
      <c r="P1659" s="81" t="s">
        <v>33</v>
      </c>
      <c r="Q1659" s="2">
        <v>46057</v>
      </c>
      <c r="R1659" s="45"/>
      <c r="S1659" s="45"/>
      <c r="T1659" s="45"/>
      <c r="U1659" s="45"/>
      <c r="V1659" s="45">
        <f>IF(OR(ISNUMBER(SEARCH("unable to locate acct",G1659)),ISNUMBER(SEARCH("unknown",G1659)),ISNUMBER(SEARCH("inactive",G1659)),H1659=""),0,1)</f>
        <v>1</v>
      </c>
    </row>
    <row r="1660" spans="1:23">
      <c r="A1660" s="74">
        <v>46049</v>
      </c>
      <c r="B1660" s="45" t="s">
        <v>519</v>
      </c>
      <c r="C1660" s="45" t="s">
        <v>4120</v>
      </c>
      <c r="D1660" s="45" t="s">
        <v>4121</v>
      </c>
      <c r="E1660" s="45">
        <v>85339</v>
      </c>
      <c r="F1660" s="45" t="s">
        <v>4122</v>
      </c>
      <c r="G1660" s="76" t="s">
        <v>4071</v>
      </c>
      <c r="H1660" s="80" t="s">
        <v>21</v>
      </c>
      <c r="I1660" s="81"/>
      <c r="J1660" s="81"/>
      <c r="K1660" s="81"/>
      <c r="L1660" s="81"/>
      <c r="M1660" s="81"/>
      <c r="N1660" s="81"/>
      <c r="O1660" s="81"/>
      <c r="P1660" s="81"/>
      <c r="R1660" s="45"/>
      <c r="S1660" s="45"/>
      <c r="T1660" s="45"/>
      <c r="U1660" s="45"/>
      <c r="V1660" s="45">
        <f>IF(OR(ISNUMBER(SEARCH("unable to locate acct",G1660)),ISNUMBER(SEARCH("unknown",G1660)),ISNUMBER(SEARCH("inactive",G1660)),H1660=""),0,1)</f>
        <v>1</v>
      </c>
    </row>
    <row r="1661" spans="1:23">
      <c r="A1661" s="74">
        <v>46049</v>
      </c>
      <c r="B1661" s="45" t="s">
        <v>3331</v>
      </c>
      <c r="C1661" s="45" t="s">
        <v>4123</v>
      </c>
      <c r="D1661" s="45" t="s">
        <v>1813</v>
      </c>
      <c r="E1661" s="45">
        <v>86327</v>
      </c>
      <c r="F1661" s="45" t="s">
        <v>4124</v>
      </c>
      <c r="G1661" s="76" t="s">
        <v>4071</v>
      </c>
      <c r="H1661" s="80" t="s">
        <v>21</v>
      </c>
      <c r="I1661" s="81"/>
      <c r="J1661" s="81"/>
      <c r="K1661" s="81"/>
      <c r="L1661" s="81"/>
      <c r="M1661" s="81"/>
      <c r="N1661" s="81"/>
      <c r="O1661" s="81"/>
      <c r="P1661" s="81"/>
      <c r="R1661" s="45"/>
      <c r="S1661" s="45"/>
      <c r="T1661" s="45"/>
      <c r="U1661" s="45"/>
      <c r="V1661" s="45">
        <f>IF(OR(ISNUMBER(SEARCH("unable to locate acct",G1661)),ISNUMBER(SEARCH("unknown",G1661)),ISNUMBER(SEARCH("inactive",G1661)),H1661=""),0,1)</f>
        <v>1</v>
      </c>
    </row>
    <row r="1662" spans="1:23">
      <c r="A1662" s="74">
        <v>46049</v>
      </c>
      <c r="B1662" s="45" t="s">
        <v>4125</v>
      </c>
      <c r="C1662" s="45" t="s">
        <v>4126</v>
      </c>
      <c r="D1662" s="45" t="s">
        <v>1092</v>
      </c>
      <c r="E1662" s="45">
        <v>85355</v>
      </c>
      <c r="F1662" s="45" t="s">
        <v>4127</v>
      </c>
      <c r="G1662" s="76" t="s">
        <v>4071</v>
      </c>
      <c r="H1662" s="80" t="s">
        <v>4128</v>
      </c>
      <c r="I1662" s="81" t="s">
        <v>30</v>
      </c>
      <c r="J1662" s="81" t="s">
        <v>31</v>
      </c>
      <c r="K1662" s="81" t="s">
        <v>31</v>
      </c>
      <c r="L1662" s="81" t="s">
        <v>32</v>
      </c>
      <c r="M1662" s="81" t="s">
        <v>31</v>
      </c>
      <c r="N1662" s="81" t="s">
        <v>31</v>
      </c>
      <c r="O1662" s="81" t="s">
        <v>32</v>
      </c>
      <c r="P1662" s="81" t="s">
        <v>33</v>
      </c>
      <c r="Q1662" s="2">
        <v>46057</v>
      </c>
      <c r="R1662" s="45"/>
      <c r="S1662" s="45"/>
      <c r="T1662" s="45"/>
      <c r="U1662" s="45"/>
      <c r="V1662" s="45">
        <f>IF(OR(ISNUMBER(SEARCH("unable to locate acct",G1662)),ISNUMBER(SEARCH("unknown",G1662)),ISNUMBER(SEARCH("inactive",G1662)),H1662=""),0,1)</f>
        <v>1</v>
      </c>
    </row>
    <row r="1663" spans="1:23">
      <c r="A1663" s="74">
        <v>46049</v>
      </c>
      <c r="B1663" s="45" t="s">
        <v>1020</v>
      </c>
      <c r="C1663" s="45" t="s">
        <v>4129</v>
      </c>
      <c r="D1663" s="45" t="s">
        <v>57</v>
      </c>
      <c r="E1663" s="45">
        <v>85023</v>
      </c>
      <c r="F1663" s="45" t="s">
        <v>4130</v>
      </c>
      <c r="G1663" s="76" t="s">
        <v>4071</v>
      </c>
      <c r="H1663" s="80" t="s">
        <v>4131</v>
      </c>
      <c r="I1663" s="81" t="s">
        <v>67</v>
      </c>
      <c r="J1663" s="81" t="s">
        <v>31</v>
      </c>
      <c r="K1663" s="81" t="s">
        <v>31</v>
      </c>
      <c r="L1663" s="81" t="s">
        <v>32</v>
      </c>
      <c r="M1663" s="81"/>
      <c r="N1663" s="81"/>
      <c r="O1663" s="81"/>
      <c r="P1663" s="81"/>
      <c r="R1663" s="45"/>
      <c r="S1663" s="45"/>
      <c r="T1663" s="45"/>
      <c r="U1663" s="45"/>
      <c r="V1663" s="45">
        <f>IF(OR(ISNUMBER(SEARCH("unable to locate acct",G1663)),ISNUMBER(SEARCH("unknown",G1663)),ISNUMBER(SEARCH("inactive",G1663)),H1663=""),0,1)</f>
        <v>1</v>
      </c>
    </row>
    <row r="1664" spans="1:23">
      <c r="A1664" s="74">
        <v>46049</v>
      </c>
      <c r="B1664" s="45" t="s">
        <v>4132</v>
      </c>
      <c r="C1664" s="45" t="s">
        <v>2213</v>
      </c>
      <c r="D1664" s="45" t="s">
        <v>57</v>
      </c>
      <c r="E1664" s="45">
        <v>85013</v>
      </c>
      <c r="F1664" s="45" t="s">
        <v>4133</v>
      </c>
      <c r="G1664" s="76" t="s">
        <v>4071</v>
      </c>
      <c r="H1664" s="80" t="s">
        <v>4134</v>
      </c>
      <c r="I1664" s="81" t="s">
        <v>30</v>
      </c>
      <c r="J1664" s="81" t="s">
        <v>32</v>
      </c>
      <c r="K1664" s="81" t="s">
        <v>31</v>
      </c>
      <c r="L1664" s="81" t="s">
        <v>32</v>
      </c>
      <c r="M1664" s="81" t="s">
        <v>31</v>
      </c>
      <c r="N1664" s="81" t="s">
        <v>31</v>
      </c>
      <c r="O1664" s="81" t="s">
        <v>32</v>
      </c>
      <c r="P1664" s="81" t="s">
        <v>33</v>
      </c>
      <c r="Q1664" s="2">
        <v>46057</v>
      </c>
      <c r="R1664" s="45"/>
      <c r="S1664" s="45"/>
      <c r="T1664" s="45"/>
      <c r="U1664" s="45"/>
      <c r="V1664" s="45">
        <f>IF(OR(ISNUMBER(SEARCH("unable to locate acct",G1664)),ISNUMBER(SEARCH("unknown",G1664)),ISNUMBER(SEARCH("inactive",G1664)),H1664=""),0,1)</f>
        <v>1</v>
      </c>
    </row>
    <row r="1665" spans="1:23">
      <c r="A1665" s="74">
        <v>46049</v>
      </c>
      <c r="B1665" s="45" t="s">
        <v>4135</v>
      </c>
      <c r="C1665" s="45" t="s">
        <v>301</v>
      </c>
      <c r="D1665" s="45" t="s">
        <v>196</v>
      </c>
      <c r="E1665" s="45">
        <v>85345</v>
      </c>
      <c r="F1665" s="45" t="s">
        <v>4136</v>
      </c>
      <c r="G1665" s="76" t="s">
        <v>4071</v>
      </c>
      <c r="H1665" s="80" t="s">
        <v>4137</v>
      </c>
      <c r="I1665" s="81" t="s">
        <v>30</v>
      </c>
      <c r="J1665" s="81" t="s">
        <v>31</v>
      </c>
      <c r="K1665" s="81" t="s">
        <v>31</v>
      </c>
      <c r="L1665" s="81" t="s">
        <v>32</v>
      </c>
      <c r="M1665" s="81" t="s">
        <v>31</v>
      </c>
      <c r="N1665" s="81" t="s">
        <v>31</v>
      </c>
      <c r="O1665" s="81" t="s">
        <v>32</v>
      </c>
      <c r="P1665" s="81" t="s">
        <v>33</v>
      </c>
      <c r="Q1665" s="2">
        <v>46057</v>
      </c>
      <c r="R1665" s="45"/>
      <c r="S1665" s="45"/>
      <c r="T1665" s="45"/>
      <c r="U1665" s="45"/>
      <c r="V1665" s="45">
        <f>IF(OR(ISNUMBER(SEARCH("unable to locate acct",G1665)),ISNUMBER(SEARCH("unknown",G1665)),ISNUMBER(SEARCH("inactive",G1665)),H1665=""),0,1)</f>
        <v>1</v>
      </c>
    </row>
    <row r="1666" spans="1:23">
      <c r="A1666" s="74">
        <v>46049</v>
      </c>
      <c r="B1666" s="45" t="s">
        <v>4138</v>
      </c>
      <c r="C1666" s="45" t="s">
        <v>4139</v>
      </c>
      <c r="D1666" s="45" t="s">
        <v>57</v>
      </c>
      <c r="E1666" s="45">
        <v>85053</v>
      </c>
      <c r="F1666" s="45" t="s">
        <v>4140</v>
      </c>
      <c r="G1666" s="76" t="s">
        <v>4071</v>
      </c>
      <c r="H1666" s="80" t="s">
        <v>4141</v>
      </c>
      <c r="I1666" s="81" t="s">
        <v>30</v>
      </c>
      <c r="J1666" s="81" t="s">
        <v>31</v>
      </c>
      <c r="K1666" s="81" t="s">
        <v>31</v>
      </c>
      <c r="L1666" s="81" t="s">
        <v>32</v>
      </c>
      <c r="M1666" s="81" t="s">
        <v>31</v>
      </c>
      <c r="N1666" s="81" t="s">
        <v>31</v>
      </c>
      <c r="O1666" s="81" t="s">
        <v>32</v>
      </c>
      <c r="P1666" s="81" t="s">
        <v>33</v>
      </c>
      <c r="Q1666" s="2">
        <v>46057</v>
      </c>
      <c r="R1666" s="45"/>
      <c r="S1666" s="45"/>
      <c r="T1666" s="45"/>
      <c r="U1666" s="45"/>
      <c r="V1666" s="45">
        <f>IF(OR(ISNUMBER(SEARCH("unable to locate acct",G1666)),ISNUMBER(SEARCH("unknown",G1666)),ISNUMBER(SEARCH("inactive",G1666)),H1666=""),0,1)</f>
        <v>1</v>
      </c>
    </row>
    <row r="1667" spans="1:23">
      <c r="A1667" s="74">
        <v>46049</v>
      </c>
      <c r="B1667" s="45" t="s">
        <v>4142</v>
      </c>
      <c r="C1667" s="45" t="s">
        <v>1321</v>
      </c>
      <c r="D1667" s="45" t="s">
        <v>18</v>
      </c>
      <c r="E1667" s="45">
        <v>85307</v>
      </c>
      <c r="F1667" s="75" t="s">
        <v>4143</v>
      </c>
      <c r="G1667" s="76" t="s">
        <v>4071</v>
      </c>
      <c r="H1667" s="80" t="s">
        <v>21</v>
      </c>
      <c r="I1667" s="81"/>
      <c r="J1667" s="81"/>
      <c r="K1667" s="81"/>
      <c r="L1667" s="81"/>
      <c r="M1667" s="81"/>
      <c r="N1667" s="81"/>
      <c r="O1667" s="81"/>
      <c r="P1667" s="81"/>
      <c r="R1667" s="45" t="s">
        <v>4144</v>
      </c>
      <c r="S1667" s="45"/>
      <c r="T1667" s="45"/>
      <c r="U1667" s="45"/>
      <c r="V1667" s="45">
        <f>IF(OR(ISNUMBER(SEARCH("unable to locate acct",G1667)),ISNUMBER(SEARCH("unknown",G1667)),ISNUMBER(SEARCH("inactive",G1667)),H1667=""),0,1)</f>
        <v>1</v>
      </c>
    </row>
    <row r="1668" spans="1:23">
      <c r="A1668" s="74">
        <v>46049</v>
      </c>
      <c r="B1668" s="45" t="s">
        <v>4145</v>
      </c>
      <c r="C1668" s="45" t="s">
        <v>4146</v>
      </c>
      <c r="D1668" s="45" t="s">
        <v>57</v>
      </c>
      <c r="E1668" s="45">
        <v>85050</v>
      </c>
      <c r="F1668" s="45" t="s">
        <v>4147</v>
      </c>
      <c r="G1668" s="76" t="s">
        <v>4071</v>
      </c>
      <c r="H1668" s="80" t="s">
        <v>21</v>
      </c>
      <c r="I1668" s="81"/>
      <c r="J1668" s="81"/>
      <c r="K1668" s="81"/>
      <c r="L1668" s="81"/>
      <c r="M1668" s="81"/>
      <c r="N1668" s="81"/>
      <c r="O1668" s="81"/>
      <c r="P1668" s="81"/>
      <c r="R1668" s="45"/>
      <c r="S1668" s="45"/>
      <c r="T1668" s="45"/>
      <c r="U1668" s="45"/>
      <c r="V1668" s="45">
        <f>IF(OR(ISNUMBER(SEARCH("unable to locate acct",G1668)),ISNUMBER(SEARCH("unknown",G1668)),ISNUMBER(SEARCH("inactive",G1668)),H1668=""),0,1)</f>
        <v>1</v>
      </c>
    </row>
    <row r="1669" spans="1:23">
      <c r="A1669" s="74">
        <v>46049</v>
      </c>
      <c r="B1669" s="45" t="s">
        <v>4148</v>
      </c>
      <c r="C1669" s="45" t="s">
        <v>3612</v>
      </c>
      <c r="D1669" s="45" t="s">
        <v>689</v>
      </c>
      <c r="E1669" s="45">
        <v>85375</v>
      </c>
      <c r="F1669" s="45" t="s">
        <v>4149</v>
      </c>
      <c r="G1669" s="76" t="s">
        <v>4071</v>
      </c>
      <c r="H1669" s="80" t="s">
        <v>4150</v>
      </c>
      <c r="I1669" s="81" t="s">
        <v>51</v>
      </c>
      <c r="J1669" s="81" t="s">
        <v>31</v>
      </c>
      <c r="K1669" s="81" t="s">
        <v>31</v>
      </c>
      <c r="L1669" s="81" t="s">
        <v>4151</v>
      </c>
      <c r="M1669" s="81" t="s">
        <v>31</v>
      </c>
      <c r="N1669" s="81" t="s">
        <v>31</v>
      </c>
      <c r="O1669" s="81" t="s">
        <v>32</v>
      </c>
      <c r="P1669" s="81"/>
      <c r="Q1669" s="41">
        <v>46057</v>
      </c>
      <c r="R1669" s="45" t="s">
        <v>3468</v>
      </c>
      <c r="S1669" s="45"/>
      <c r="T1669" s="45"/>
      <c r="U1669" s="45"/>
      <c r="V1669" s="45">
        <f>IF(OR(ISNUMBER(SEARCH("unable to locate acct",G1669)),ISNUMBER(SEARCH("unknown",G1669)),ISNUMBER(SEARCH("inactive",G1669)),H1669=""),0,1)</f>
        <v>1</v>
      </c>
      <c r="W1669" s="32"/>
    </row>
    <row r="1670" spans="1:23">
      <c r="A1670" s="74">
        <v>46049</v>
      </c>
      <c r="B1670" s="45" t="s">
        <v>4152</v>
      </c>
      <c r="C1670" s="45" t="s">
        <v>2532</v>
      </c>
      <c r="D1670" s="45" t="s">
        <v>196</v>
      </c>
      <c r="E1670" s="45">
        <v>85345</v>
      </c>
      <c r="F1670" s="45" t="s">
        <v>4153</v>
      </c>
      <c r="G1670" s="76" t="s">
        <v>4071</v>
      </c>
      <c r="H1670" s="80" t="s">
        <v>4154</v>
      </c>
      <c r="I1670" s="81" t="s">
        <v>67</v>
      </c>
      <c r="J1670" s="81" t="s">
        <v>32</v>
      </c>
      <c r="K1670" s="81" t="s">
        <v>31</v>
      </c>
      <c r="L1670" s="81" t="s">
        <v>32</v>
      </c>
      <c r="M1670" s="81" t="s">
        <v>31</v>
      </c>
      <c r="N1670" s="81" t="s">
        <v>31</v>
      </c>
      <c r="O1670" s="81" t="s">
        <v>32</v>
      </c>
      <c r="P1670" s="81" t="s">
        <v>33</v>
      </c>
      <c r="Q1670" s="2">
        <v>46057</v>
      </c>
      <c r="R1670" s="45"/>
      <c r="S1670" s="45"/>
      <c r="T1670" s="45"/>
      <c r="U1670" s="45"/>
      <c r="V1670" s="45">
        <f>IF(OR(ISNUMBER(SEARCH("unable to locate acct",G1670)),ISNUMBER(SEARCH("unknown",G1670)),ISNUMBER(SEARCH("inactive",G1670)),H1670=""),0,1)</f>
        <v>1</v>
      </c>
    </row>
    <row r="1671" spans="1:23">
      <c r="A1671" s="74">
        <v>46049</v>
      </c>
      <c r="B1671" s="45" t="s">
        <v>4155</v>
      </c>
      <c r="C1671" s="45" t="s">
        <v>4156</v>
      </c>
      <c r="D1671" s="45" t="s">
        <v>2046</v>
      </c>
      <c r="E1671" s="45">
        <v>85132</v>
      </c>
      <c r="F1671" s="45" t="s">
        <v>4157</v>
      </c>
      <c r="G1671" s="76" t="s">
        <v>4071</v>
      </c>
      <c r="H1671" s="80" t="s">
        <v>21</v>
      </c>
      <c r="I1671" s="81"/>
      <c r="J1671" s="81"/>
      <c r="K1671" s="81"/>
      <c r="L1671" s="81"/>
      <c r="M1671" s="81"/>
      <c r="N1671" s="81"/>
      <c r="O1671" s="81"/>
      <c r="P1671" s="81"/>
      <c r="R1671" s="45"/>
      <c r="S1671" s="45"/>
      <c r="T1671" s="45"/>
      <c r="U1671" s="45"/>
      <c r="V1671" s="45">
        <f>IF(OR(ISNUMBER(SEARCH("unable to locate acct",G1671)),ISNUMBER(SEARCH("unknown",G1671)),ISNUMBER(SEARCH("inactive",G1671)),H1671=""),0,1)</f>
        <v>1</v>
      </c>
    </row>
    <row r="1672" spans="1:23">
      <c r="A1672" s="74">
        <v>46049</v>
      </c>
      <c r="B1672" s="45" t="s">
        <v>4158</v>
      </c>
      <c r="C1672" s="45" t="s">
        <v>375</v>
      </c>
      <c r="D1672" s="45" t="s">
        <v>4159</v>
      </c>
      <c r="E1672" s="45">
        <v>85332</v>
      </c>
      <c r="F1672" s="45" t="s">
        <v>4160</v>
      </c>
      <c r="G1672" s="76" t="s">
        <v>4071</v>
      </c>
      <c r="H1672" s="80" t="s">
        <v>4161</v>
      </c>
      <c r="I1672" s="81" t="s">
        <v>40</v>
      </c>
      <c r="J1672" s="81" t="s">
        <v>31</v>
      </c>
      <c r="K1672" s="81" t="s">
        <v>31</v>
      </c>
      <c r="L1672" s="81" t="s">
        <v>32</v>
      </c>
      <c r="M1672" s="81" t="s">
        <v>32</v>
      </c>
      <c r="N1672" s="82">
        <v>472.66</v>
      </c>
      <c r="O1672" s="81" t="s">
        <v>32</v>
      </c>
      <c r="P1672" s="81"/>
      <c r="Q1672" s="41">
        <v>46057</v>
      </c>
      <c r="R1672" s="45" t="s">
        <v>3996</v>
      </c>
      <c r="S1672" s="45"/>
      <c r="T1672" s="45"/>
      <c r="U1672" s="45"/>
      <c r="V1672" s="45">
        <f>IF(OR(ISNUMBER(SEARCH("unable to locate acct",G1672)),ISNUMBER(SEARCH("unknown",G1672)),ISNUMBER(SEARCH("inactive",G1672)),H1672=""),0,1)</f>
        <v>1</v>
      </c>
      <c r="W1672" s="32"/>
    </row>
    <row r="1673" spans="1:23">
      <c r="A1673" s="74">
        <v>46049</v>
      </c>
      <c r="B1673" s="45" t="s">
        <v>43</v>
      </c>
      <c r="C1673" s="45" t="s">
        <v>306</v>
      </c>
      <c r="D1673" s="45" t="s">
        <v>57</v>
      </c>
      <c r="E1673" s="45">
        <v>85086</v>
      </c>
      <c r="F1673" s="45" t="s">
        <v>4162</v>
      </c>
      <c r="G1673" s="76" t="s">
        <v>4071</v>
      </c>
      <c r="H1673" s="80" t="s">
        <v>21</v>
      </c>
      <c r="I1673" s="81"/>
      <c r="J1673" s="81"/>
      <c r="K1673" s="81"/>
      <c r="L1673" s="81"/>
      <c r="M1673" s="81"/>
      <c r="N1673" s="81"/>
      <c r="O1673" s="81"/>
      <c r="P1673" s="81"/>
      <c r="R1673" s="45"/>
      <c r="S1673" s="45"/>
      <c r="T1673" s="45"/>
      <c r="U1673" s="45"/>
      <c r="V1673" s="45">
        <f>IF(OR(ISNUMBER(SEARCH("unable to locate acct",G1673)),ISNUMBER(SEARCH("unknown",G1673)),ISNUMBER(SEARCH("inactive",G1673)),H1673=""),0,1)</f>
        <v>1</v>
      </c>
    </row>
    <row r="1674" spans="1:23">
      <c r="A1674" s="74">
        <v>46049</v>
      </c>
      <c r="B1674" s="45" t="s">
        <v>4163</v>
      </c>
      <c r="C1674" s="45" t="s">
        <v>219</v>
      </c>
      <c r="D1674" s="45" t="s">
        <v>87</v>
      </c>
      <c r="E1674" s="45">
        <v>85373</v>
      </c>
      <c r="F1674" s="45" t="s">
        <v>4164</v>
      </c>
      <c r="G1674" s="76" t="s">
        <v>4071</v>
      </c>
      <c r="H1674" s="80" t="s">
        <v>4165</v>
      </c>
      <c r="I1674" s="81" t="s">
        <v>120</v>
      </c>
      <c r="J1674" s="81" t="s">
        <v>32</v>
      </c>
      <c r="K1674" s="81" t="s">
        <v>31</v>
      </c>
      <c r="L1674" s="81" t="s">
        <v>4010</v>
      </c>
      <c r="M1674" s="81" t="s">
        <v>31</v>
      </c>
      <c r="N1674" s="81" t="s">
        <v>31</v>
      </c>
      <c r="O1674" s="81" t="s">
        <v>32</v>
      </c>
      <c r="P1674" s="81"/>
      <c r="Q1674" s="2">
        <v>46057</v>
      </c>
      <c r="R1674" s="45"/>
      <c r="S1674" s="45"/>
      <c r="T1674" s="45"/>
      <c r="U1674" s="45"/>
      <c r="V1674" s="45">
        <f>IF(OR(ISNUMBER(SEARCH("unable to locate acct",G1674)),ISNUMBER(SEARCH("unknown",G1674)),ISNUMBER(SEARCH("inactive",G1674)),H1674=""),0,1)</f>
        <v>1</v>
      </c>
    </row>
    <row r="1675" spans="1:23">
      <c r="A1675" s="74">
        <v>46049</v>
      </c>
      <c r="B1675" s="45" t="s">
        <v>2538</v>
      </c>
      <c r="C1675" s="45" t="s">
        <v>4166</v>
      </c>
      <c r="D1675" s="45" t="s">
        <v>2854</v>
      </c>
      <c r="E1675" s="45">
        <v>86322</v>
      </c>
      <c r="F1675" s="45" t="s">
        <v>4167</v>
      </c>
      <c r="G1675" s="76" t="s">
        <v>4071</v>
      </c>
      <c r="H1675" s="80" t="s">
        <v>4168</v>
      </c>
      <c r="I1675" s="81" t="s">
        <v>40</v>
      </c>
      <c r="J1675" s="81" t="s">
        <v>32</v>
      </c>
      <c r="K1675" s="81" t="s">
        <v>31</v>
      </c>
      <c r="L1675" s="81" t="s">
        <v>32</v>
      </c>
      <c r="M1675" s="81" t="s">
        <v>31</v>
      </c>
      <c r="N1675" s="81" t="s">
        <v>31</v>
      </c>
      <c r="O1675" s="81" t="s">
        <v>32</v>
      </c>
      <c r="P1675" s="81" t="s">
        <v>33</v>
      </c>
      <c r="Q1675" s="2">
        <v>46057</v>
      </c>
      <c r="R1675" s="45"/>
      <c r="S1675" s="45"/>
      <c r="T1675" s="45"/>
      <c r="U1675" s="45"/>
      <c r="V1675" s="45">
        <f>IF(OR(ISNUMBER(SEARCH("unable to locate acct",G1675)),ISNUMBER(SEARCH("unknown",G1675)),ISNUMBER(SEARCH("inactive",G1675)),H1675=""),0,1)</f>
        <v>1</v>
      </c>
    </row>
    <row r="1676" spans="1:23">
      <c r="A1676" s="74">
        <v>46049</v>
      </c>
      <c r="B1676" s="45" t="s">
        <v>4169</v>
      </c>
      <c r="C1676" s="45" t="s">
        <v>4170</v>
      </c>
      <c r="D1676" s="45" t="s">
        <v>404</v>
      </c>
      <c r="E1676" s="45">
        <v>85124</v>
      </c>
      <c r="F1676" s="45" t="s">
        <v>4171</v>
      </c>
      <c r="G1676" s="76" t="s">
        <v>4071</v>
      </c>
      <c r="H1676" s="80" t="s">
        <v>21</v>
      </c>
      <c r="I1676" s="81"/>
      <c r="J1676" s="81"/>
      <c r="K1676" s="81"/>
      <c r="L1676" s="81"/>
      <c r="M1676" s="81"/>
      <c r="N1676" s="81"/>
      <c r="O1676" s="81"/>
      <c r="P1676" s="81"/>
      <c r="R1676" s="45"/>
      <c r="S1676" s="45"/>
      <c r="T1676" s="45"/>
      <c r="U1676" s="45"/>
      <c r="V1676" s="45">
        <f>IF(OR(ISNUMBER(SEARCH("unable to locate acct",G1676)),ISNUMBER(SEARCH("unknown",G1676)),ISNUMBER(SEARCH("inactive",G1676)),H1676=""),0,1)</f>
        <v>1</v>
      </c>
    </row>
    <row r="1677" spans="1:23">
      <c r="A1677" s="74">
        <v>46049</v>
      </c>
      <c r="B1677" s="45" t="s">
        <v>4172</v>
      </c>
      <c r="C1677" s="45" t="s">
        <v>877</v>
      </c>
      <c r="D1677" s="45" t="s">
        <v>57</v>
      </c>
      <c r="E1677" s="45">
        <v>85020</v>
      </c>
      <c r="F1677" s="45" t="s">
        <v>4173</v>
      </c>
      <c r="G1677" s="76" t="s">
        <v>4071</v>
      </c>
      <c r="H1677" s="80" t="s">
        <v>4174</v>
      </c>
      <c r="I1677" s="81" t="s">
        <v>30</v>
      </c>
      <c r="J1677" s="81" t="s">
        <v>31</v>
      </c>
      <c r="K1677" s="81" t="s">
        <v>31</v>
      </c>
      <c r="L1677" s="81" t="s">
        <v>32</v>
      </c>
      <c r="M1677" s="81" t="s">
        <v>32</v>
      </c>
      <c r="N1677" s="82">
        <v>178.5</v>
      </c>
      <c r="O1677" s="81" t="s">
        <v>32</v>
      </c>
      <c r="P1677" s="81"/>
      <c r="Q1677" s="41">
        <v>46057</v>
      </c>
      <c r="R1677" s="45" t="s">
        <v>3996</v>
      </c>
      <c r="S1677" s="45"/>
      <c r="T1677" s="45"/>
      <c r="U1677" s="45"/>
      <c r="V1677" s="45">
        <f>IF(OR(ISNUMBER(SEARCH("unable to locate acct",G1677)),ISNUMBER(SEARCH("unknown",G1677)),ISNUMBER(SEARCH("inactive",G1677)),H1677=""),0,1)</f>
        <v>1</v>
      </c>
      <c r="W1677" s="32"/>
    </row>
    <row r="1678" spans="1:23">
      <c r="A1678" s="74">
        <v>46049</v>
      </c>
      <c r="B1678" s="45" t="s">
        <v>4175</v>
      </c>
      <c r="C1678" s="45" t="s">
        <v>470</v>
      </c>
      <c r="D1678" s="45" t="s">
        <v>57</v>
      </c>
      <c r="E1678" s="45">
        <v>85032</v>
      </c>
      <c r="F1678" s="45" t="s">
        <v>4176</v>
      </c>
      <c r="G1678" s="76" t="s">
        <v>4071</v>
      </c>
      <c r="H1678" s="80" t="s">
        <v>4177</v>
      </c>
      <c r="I1678" s="81" t="s">
        <v>3676</v>
      </c>
      <c r="J1678" s="81" t="s">
        <v>31</v>
      </c>
      <c r="K1678" s="81" t="s">
        <v>31</v>
      </c>
      <c r="L1678" s="81" t="s">
        <v>3543</v>
      </c>
      <c r="M1678" s="81" t="s">
        <v>31</v>
      </c>
      <c r="N1678" s="81" t="s">
        <v>31</v>
      </c>
      <c r="O1678" s="81" t="s">
        <v>32</v>
      </c>
      <c r="P1678" s="81" t="s">
        <v>33</v>
      </c>
      <c r="Q1678" s="2">
        <v>46057</v>
      </c>
      <c r="R1678" s="45"/>
      <c r="S1678" s="45"/>
      <c r="T1678" s="45"/>
      <c r="U1678" s="45"/>
      <c r="V1678" s="45">
        <f>IF(OR(ISNUMBER(SEARCH("unable to locate acct",G1678)),ISNUMBER(SEARCH("unknown",G1678)),ISNUMBER(SEARCH("inactive",G1678)),H1678=""),0,1)</f>
        <v>1</v>
      </c>
    </row>
    <row r="1679" spans="1:23">
      <c r="A1679" s="74">
        <v>46049</v>
      </c>
      <c r="B1679" s="45" t="s">
        <v>1033</v>
      </c>
      <c r="C1679" s="45" t="s">
        <v>4178</v>
      </c>
      <c r="D1679" s="45" t="s">
        <v>87</v>
      </c>
      <c r="E1679" s="45">
        <v>85351</v>
      </c>
      <c r="F1679" s="45" t="s">
        <v>4179</v>
      </c>
      <c r="G1679" s="76" t="s">
        <v>4071</v>
      </c>
      <c r="H1679" s="80" t="s">
        <v>4180</v>
      </c>
      <c r="I1679" s="81" t="s">
        <v>40</v>
      </c>
      <c r="J1679" s="81" t="s">
        <v>32</v>
      </c>
      <c r="K1679" s="81" t="s">
        <v>31</v>
      </c>
      <c r="L1679" s="81" t="s">
        <v>4181</v>
      </c>
      <c r="M1679" s="81" t="s">
        <v>31</v>
      </c>
      <c r="N1679" s="81" t="s">
        <v>31</v>
      </c>
      <c r="O1679" s="81" t="s">
        <v>32</v>
      </c>
      <c r="P1679" s="81" t="s">
        <v>33</v>
      </c>
      <c r="Q1679" s="2">
        <v>46057</v>
      </c>
      <c r="R1679" s="45"/>
      <c r="S1679" s="45"/>
      <c r="T1679" s="45"/>
      <c r="U1679" s="45"/>
      <c r="V1679" s="45">
        <f>IF(OR(ISNUMBER(SEARCH("unable to locate acct",G1679)),ISNUMBER(SEARCH("unknown",G1679)),ISNUMBER(SEARCH("inactive",G1679)),H1679=""),0,1)</f>
        <v>1</v>
      </c>
    </row>
    <row r="1680" spans="1:23">
      <c r="A1680" s="74">
        <v>46049</v>
      </c>
      <c r="B1680" s="45" t="s">
        <v>4182</v>
      </c>
      <c r="C1680" s="45" t="s">
        <v>472</v>
      </c>
      <c r="D1680" s="45" t="s">
        <v>57</v>
      </c>
      <c r="E1680" s="45">
        <v>85027</v>
      </c>
      <c r="F1680" s="45" t="s">
        <v>4183</v>
      </c>
      <c r="G1680" s="76" t="s">
        <v>4071</v>
      </c>
      <c r="H1680" s="80" t="s">
        <v>84</v>
      </c>
      <c r="I1680" s="81"/>
      <c r="J1680" s="81"/>
      <c r="K1680" s="81"/>
      <c r="L1680" s="81"/>
      <c r="M1680" s="81"/>
      <c r="N1680" s="81"/>
      <c r="O1680" s="81"/>
      <c r="P1680" s="81"/>
      <c r="R1680" s="45"/>
      <c r="S1680" s="45"/>
      <c r="T1680" s="45"/>
      <c r="U1680" s="45"/>
      <c r="V1680" s="45">
        <f>IF(OR(ISNUMBER(SEARCH("unable to locate acct",G1680)),ISNUMBER(SEARCH("unknown",G1680)),ISNUMBER(SEARCH("inactive",G1680)),H1680=""),0,1)</f>
        <v>1</v>
      </c>
    </row>
    <row r="1681" spans="1:23">
      <c r="A1681" s="74">
        <v>46049</v>
      </c>
      <c r="B1681" s="45" t="s">
        <v>4184</v>
      </c>
      <c r="C1681" s="45" t="s">
        <v>2753</v>
      </c>
      <c r="D1681" s="45" t="s">
        <v>689</v>
      </c>
      <c r="E1681" s="45">
        <v>85375</v>
      </c>
      <c r="F1681" s="45" t="s">
        <v>4185</v>
      </c>
      <c r="G1681" s="76" t="s">
        <v>4071</v>
      </c>
      <c r="H1681" s="80" t="s">
        <v>21</v>
      </c>
      <c r="I1681" s="81"/>
      <c r="J1681" s="81"/>
      <c r="K1681" s="81"/>
      <c r="L1681" s="81"/>
      <c r="M1681" s="81"/>
      <c r="N1681" s="81"/>
      <c r="O1681" s="81"/>
      <c r="P1681" s="81"/>
      <c r="R1681" s="45"/>
      <c r="S1681" s="45"/>
      <c r="T1681" s="45"/>
      <c r="U1681" s="45"/>
      <c r="V1681" s="45">
        <f>IF(OR(ISNUMBER(SEARCH("unable to locate acct",G1681)),ISNUMBER(SEARCH("unknown",G1681)),ISNUMBER(SEARCH("inactive",G1681)),H1681=""),0,1)</f>
        <v>1</v>
      </c>
    </row>
    <row r="1682" spans="1:23">
      <c r="A1682" s="74">
        <v>46049</v>
      </c>
      <c r="B1682" s="45" t="s">
        <v>4186</v>
      </c>
      <c r="C1682" s="45" t="s">
        <v>3579</v>
      </c>
      <c r="D1682" s="45" t="s">
        <v>57</v>
      </c>
      <c r="E1682" s="45">
        <v>85015</v>
      </c>
      <c r="F1682" s="45" t="s">
        <v>4187</v>
      </c>
      <c r="G1682" s="76" t="s">
        <v>4071</v>
      </c>
      <c r="H1682" s="80" t="s">
        <v>21</v>
      </c>
      <c r="I1682" s="81"/>
      <c r="J1682" s="81"/>
      <c r="K1682" s="81"/>
      <c r="L1682" s="81"/>
      <c r="M1682" s="81"/>
      <c r="N1682" s="81"/>
      <c r="O1682" s="81"/>
      <c r="P1682" s="81"/>
      <c r="R1682" s="45"/>
      <c r="S1682" s="45"/>
      <c r="T1682" s="45"/>
      <c r="U1682" s="45"/>
      <c r="V1682" s="45">
        <f>IF(OR(ISNUMBER(SEARCH("unable to locate acct",G1682)),ISNUMBER(SEARCH("unknown",G1682)),ISNUMBER(SEARCH("inactive",G1682)),H1682=""),0,1)</f>
        <v>1</v>
      </c>
    </row>
    <row r="1683" spans="1:23">
      <c r="A1683" s="74">
        <v>46049</v>
      </c>
      <c r="B1683" s="45" t="s">
        <v>4188</v>
      </c>
      <c r="C1683" s="45" t="s">
        <v>871</v>
      </c>
      <c r="D1683" s="45" t="s">
        <v>57</v>
      </c>
      <c r="E1683" s="45">
        <v>85009</v>
      </c>
      <c r="F1683" s="45" t="s">
        <v>4189</v>
      </c>
      <c r="G1683" s="76" t="s">
        <v>4071</v>
      </c>
      <c r="H1683" s="80" t="s">
        <v>4190</v>
      </c>
      <c r="I1683" s="81" t="s">
        <v>30</v>
      </c>
      <c r="J1683" s="81" t="s">
        <v>31</v>
      </c>
      <c r="K1683" s="81" t="s">
        <v>31</v>
      </c>
      <c r="L1683" s="81" t="s">
        <v>32</v>
      </c>
      <c r="M1683" s="81" t="s">
        <v>31</v>
      </c>
      <c r="N1683" s="81" t="s">
        <v>31</v>
      </c>
      <c r="O1683" s="81" t="s">
        <v>32</v>
      </c>
      <c r="P1683" s="81" t="s">
        <v>33</v>
      </c>
      <c r="Q1683" s="2">
        <v>46057</v>
      </c>
      <c r="R1683" s="45"/>
      <c r="S1683" s="45"/>
      <c r="T1683" s="45"/>
      <c r="U1683" s="45"/>
      <c r="V1683" s="45">
        <f>IF(OR(ISNUMBER(SEARCH("unable to locate acct",G1683)),ISNUMBER(SEARCH("unknown",G1683)),ISNUMBER(SEARCH("inactive",G1683)),H1683=""),0,1)</f>
        <v>1</v>
      </c>
    </row>
    <row r="1684" spans="1:23">
      <c r="A1684" s="74">
        <v>46049</v>
      </c>
      <c r="B1684" s="45" t="s">
        <v>4191</v>
      </c>
      <c r="C1684" s="45" t="s">
        <v>4192</v>
      </c>
      <c r="D1684" s="45" t="s">
        <v>57</v>
      </c>
      <c r="E1684" s="45">
        <v>85022</v>
      </c>
      <c r="F1684" s="45" t="s">
        <v>4193</v>
      </c>
      <c r="G1684" s="76" t="s">
        <v>4071</v>
      </c>
      <c r="H1684" s="80" t="s">
        <v>21</v>
      </c>
      <c r="I1684" s="81"/>
      <c r="J1684" s="81"/>
      <c r="K1684" s="81"/>
      <c r="L1684" s="81"/>
      <c r="M1684" s="81"/>
      <c r="N1684" s="81"/>
      <c r="O1684" s="81"/>
      <c r="P1684" s="81"/>
      <c r="R1684" s="45"/>
      <c r="S1684" s="45"/>
      <c r="T1684" s="45"/>
      <c r="U1684" s="45"/>
      <c r="V1684" s="45">
        <f>IF(OR(ISNUMBER(SEARCH("unable to locate acct",G1684)),ISNUMBER(SEARCH("unknown",G1684)),ISNUMBER(SEARCH("inactive",G1684)),H1684=""),0,1)</f>
        <v>1</v>
      </c>
    </row>
    <row r="1685" spans="1:23">
      <c r="A1685" s="74">
        <v>46049</v>
      </c>
      <c r="B1685" s="45" t="s">
        <v>2082</v>
      </c>
      <c r="C1685" s="45" t="s">
        <v>139</v>
      </c>
      <c r="D1685" s="45" t="s">
        <v>106</v>
      </c>
      <c r="E1685" s="45">
        <v>85374</v>
      </c>
      <c r="F1685" s="45" t="s">
        <v>4194</v>
      </c>
      <c r="G1685" s="76" t="s">
        <v>4071</v>
      </c>
      <c r="H1685" s="80" t="s">
        <v>4195</v>
      </c>
      <c r="I1685" s="81" t="s">
        <v>67</v>
      </c>
      <c r="J1685" s="81" t="s">
        <v>32</v>
      </c>
      <c r="K1685" s="81" t="s">
        <v>31</v>
      </c>
      <c r="L1685" s="81" t="s">
        <v>32</v>
      </c>
      <c r="M1685" s="81" t="s">
        <v>31</v>
      </c>
      <c r="N1685" s="81" t="s">
        <v>31</v>
      </c>
      <c r="O1685" s="81" t="s">
        <v>32</v>
      </c>
      <c r="P1685" s="81" t="s">
        <v>33</v>
      </c>
      <c r="Q1685" s="2">
        <v>46057</v>
      </c>
      <c r="R1685" s="45"/>
      <c r="S1685" s="45"/>
      <c r="T1685" s="45"/>
      <c r="U1685" s="45"/>
      <c r="V1685" s="45">
        <f>IF(OR(ISNUMBER(SEARCH("unable to locate acct",G1685)),ISNUMBER(SEARCH("unknown",G1685)),ISNUMBER(SEARCH("inactive",G1685)),H1685=""),0,1)</f>
        <v>1</v>
      </c>
    </row>
    <row r="1686" spans="1:23">
      <c r="A1686" s="74">
        <v>46049</v>
      </c>
      <c r="B1686" s="45" t="s">
        <v>800</v>
      </c>
      <c r="C1686" s="45" t="s">
        <v>1000</v>
      </c>
      <c r="D1686" s="45" t="s">
        <v>106</v>
      </c>
      <c r="E1686" s="45">
        <v>85379</v>
      </c>
      <c r="F1686" s="45" t="s">
        <v>4196</v>
      </c>
      <c r="G1686" s="76" t="s">
        <v>4071</v>
      </c>
      <c r="H1686" s="80" t="s">
        <v>21</v>
      </c>
      <c r="I1686" s="81"/>
      <c r="J1686" s="81"/>
      <c r="K1686" s="81"/>
      <c r="L1686" s="81"/>
      <c r="M1686" s="81"/>
      <c r="N1686" s="81"/>
      <c r="O1686" s="81"/>
      <c r="P1686" s="81"/>
      <c r="R1686" s="45"/>
      <c r="S1686" s="45"/>
      <c r="T1686" s="45"/>
      <c r="U1686" s="45"/>
      <c r="V1686" s="45">
        <f>IF(OR(ISNUMBER(SEARCH("unable to locate acct",G1686)),ISNUMBER(SEARCH("unknown",G1686)),ISNUMBER(SEARCH("inactive",G1686)),H1686=""),0,1)</f>
        <v>1</v>
      </c>
    </row>
    <row r="1687" spans="1:23">
      <c r="A1687" s="74">
        <v>46049</v>
      </c>
      <c r="B1687" s="45" t="s">
        <v>1219</v>
      </c>
      <c r="C1687" s="45" t="s">
        <v>356</v>
      </c>
      <c r="D1687" s="45" t="s">
        <v>57</v>
      </c>
      <c r="E1687" s="45">
        <v>85044</v>
      </c>
      <c r="F1687" s="45" t="s">
        <v>4197</v>
      </c>
      <c r="G1687" s="76" t="s">
        <v>4071</v>
      </c>
      <c r="H1687" s="80" t="s">
        <v>21</v>
      </c>
      <c r="I1687" s="81"/>
      <c r="J1687" s="81"/>
      <c r="K1687" s="81"/>
      <c r="L1687" s="81"/>
      <c r="M1687" s="81"/>
      <c r="N1687" s="81"/>
      <c r="O1687" s="81"/>
      <c r="P1687" s="81"/>
      <c r="R1687" s="45"/>
      <c r="S1687" s="45"/>
      <c r="T1687" s="45"/>
      <c r="U1687" s="45"/>
      <c r="V1687" s="45">
        <f>IF(OR(ISNUMBER(SEARCH("unable to locate acct",G1687)),ISNUMBER(SEARCH("unknown",G1687)),ISNUMBER(SEARCH("inactive",G1687)),H1687=""),0,1)</f>
        <v>1</v>
      </c>
    </row>
    <row r="1688" spans="1:23">
      <c r="A1688" s="74">
        <v>46049</v>
      </c>
      <c r="B1688" s="45" t="s">
        <v>4198</v>
      </c>
      <c r="C1688" s="45" t="s">
        <v>4199</v>
      </c>
      <c r="D1688" s="45" t="s">
        <v>3067</v>
      </c>
      <c r="E1688" s="45">
        <v>86337</v>
      </c>
      <c r="F1688" s="45" t="s">
        <v>4200</v>
      </c>
      <c r="G1688" s="76" t="s">
        <v>4071</v>
      </c>
      <c r="H1688" s="80" t="s">
        <v>4201</v>
      </c>
      <c r="I1688" s="81" t="s">
        <v>30</v>
      </c>
      <c r="J1688" s="81" t="s">
        <v>31</v>
      </c>
      <c r="K1688" s="81" t="s">
        <v>31</v>
      </c>
      <c r="L1688" s="81" t="s">
        <v>32</v>
      </c>
      <c r="M1688" s="81" t="s">
        <v>31</v>
      </c>
      <c r="N1688" s="81" t="s">
        <v>31</v>
      </c>
      <c r="O1688" s="81" t="s">
        <v>32</v>
      </c>
      <c r="P1688" s="81" t="s">
        <v>33</v>
      </c>
      <c r="Q1688" s="2">
        <v>46057</v>
      </c>
      <c r="R1688" s="45"/>
      <c r="S1688" s="45"/>
      <c r="T1688" s="45"/>
      <c r="U1688" s="45"/>
      <c r="V1688" s="45">
        <f>IF(OR(ISNUMBER(SEARCH("unable to locate acct",G1688)),ISNUMBER(SEARCH("unknown",G1688)),ISNUMBER(SEARCH("inactive",G1688)),H1688=""),0,1)</f>
        <v>1</v>
      </c>
    </row>
    <row r="1689" spans="1:23">
      <c r="A1689" s="74">
        <v>46049</v>
      </c>
      <c r="B1689" s="45" t="s">
        <v>4202</v>
      </c>
      <c r="C1689" s="45" t="s">
        <v>301</v>
      </c>
      <c r="D1689" s="45" t="s">
        <v>1996</v>
      </c>
      <c r="E1689" s="45">
        <v>86335</v>
      </c>
      <c r="F1689" s="45" t="s">
        <v>4203</v>
      </c>
      <c r="G1689" s="76" t="s">
        <v>4071</v>
      </c>
      <c r="H1689" s="80" t="s">
        <v>4204</v>
      </c>
      <c r="I1689" s="81" t="s">
        <v>67</v>
      </c>
      <c r="J1689" s="81" t="s">
        <v>31</v>
      </c>
      <c r="K1689" s="81" t="s">
        <v>31</v>
      </c>
      <c r="L1689" s="81" t="s">
        <v>32</v>
      </c>
      <c r="M1689" s="81" t="s">
        <v>31</v>
      </c>
      <c r="N1689" s="81" t="s">
        <v>31</v>
      </c>
      <c r="O1689" s="81" t="s">
        <v>32</v>
      </c>
      <c r="P1689" s="81" t="s">
        <v>33</v>
      </c>
      <c r="Q1689" s="41">
        <v>46057</v>
      </c>
      <c r="R1689" s="45"/>
      <c r="S1689" s="45"/>
      <c r="T1689" s="45"/>
      <c r="U1689" s="45"/>
      <c r="V1689" s="45">
        <f>IF(OR(ISNUMBER(SEARCH("unable to locate acct",G1689)),ISNUMBER(SEARCH("unknown",G1689)),ISNUMBER(SEARCH("inactive",G1689)),H1689=""),0,1)</f>
        <v>1</v>
      </c>
      <c r="W1689" s="32"/>
    </row>
    <row r="1690" spans="1:23">
      <c r="A1690" s="74">
        <v>46049</v>
      </c>
      <c r="B1690" s="45" t="s">
        <v>4205</v>
      </c>
      <c r="C1690" s="45" t="s">
        <v>4206</v>
      </c>
      <c r="D1690" s="45" t="s">
        <v>1813</v>
      </c>
      <c r="E1690" s="45">
        <v>86327</v>
      </c>
      <c r="F1690" s="45" t="s">
        <v>4207</v>
      </c>
      <c r="G1690" s="76" t="s">
        <v>4071</v>
      </c>
      <c r="H1690" s="80" t="s">
        <v>4208</v>
      </c>
      <c r="I1690" s="81" t="s">
        <v>30</v>
      </c>
      <c r="J1690" s="81" t="s">
        <v>31</v>
      </c>
      <c r="K1690" s="81" t="s">
        <v>31</v>
      </c>
      <c r="L1690" s="81" t="s">
        <v>4209</v>
      </c>
      <c r="M1690" s="81" t="s">
        <v>31</v>
      </c>
      <c r="N1690" s="81" t="s">
        <v>31</v>
      </c>
      <c r="O1690" s="81" t="s">
        <v>32</v>
      </c>
      <c r="P1690" s="81"/>
      <c r="Q1690" s="41">
        <v>46057</v>
      </c>
      <c r="R1690" s="45" t="s">
        <v>3468</v>
      </c>
      <c r="S1690" s="45"/>
      <c r="T1690" s="45"/>
      <c r="U1690" s="45"/>
      <c r="V1690" s="45">
        <f>IF(OR(ISNUMBER(SEARCH("unable to locate acct",G1690)),ISNUMBER(SEARCH("unknown",G1690)),ISNUMBER(SEARCH("inactive",G1690)),H1690=""),0,1)</f>
        <v>1</v>
      </c>
      <c r="W1690" s="32"/>
    </row>
    <row r="1691" spans="1:23">
      <c r="A1691" s="74">
        <v>46049</v>
      </c>
      <c r="B1691" s="45" t="s">
        <v>4210</v>
      </c>
      <c r="C1691" s="45" t="s">
        <v>566</v>
      </c>
      <c r="D1691" s="45" t="s">
        <v>1996</v>
      </c>
      <c r="E1691" s="45">
        <v>86335</v>
      </c>
      <c r="F1691" s="45" t="s">
        <v>4211</v>
      </c>
      <c r="G1691" s="76" t="s">
        <v>4071</v>
      </c>
      <c r="H1691" s="80" t="s">
        <v>84</v>
      </c>
      <c r="I1691" s="81"/>
      <c r="J1691" s="81"/>
      <c r="K1691" s="81"/>
      <c r="L1691" s="81"/>
      <c r="M1691" s="81"/>
      <c r="N1691" s="81"/>
      <c r="O1691" s="81"/>
      <c r="P1691" s="81"/>
      <c r="R1691" s="45"/>
      <c r="S1691" s="45"/>
      <c r="T1691" s="45"/>
      <c r="U1691" s="45"/>
      <c r="V1691" s="45">
        <f>IF(OR(ISNUMBER(SEARCH("unable to locate acct",G1691)),ISNUMBER(SEARCH("unknown",G1691)),ISNUMBER(SEARCH("inactive",G1691)),H1691=""),0,1)</f>
        <v>1</v>
      </c>
    </row>
    <row r="1692" spans="1:23">
      <c r="A1692" s="74">
        <v>46049</v>
      </c>
      <c r="B1692" s="45" t="s">
        <v>4212</v>
      </c>
      <c r="C1692" s="45" t="s">
        <v>4213</v>
      </c>
      <c r="D1692" s="45" t="s">
        <v>57</v>
      </c>
      <c r="E1692" s="45">
        <v>85006</v>
      </c>
      <c r="F1692" s="45" t="s">
        <v>4214</v>
      </c>
      <c r="G1692" s="76" t="s">
        <v>4071</v>
      </c>
      <c r="H1692" s="80" t="s">
        <v>21</v>
      </c>
      <c r="I1692" s="81"/>
      <c r="J1692" s="81"/>
      <c r="K1692" s="81"/>
      <c r="L1692" s="81"/>
      <c r="M1692" s="81"/>
      <c r="N1692" s="81"/>
      <c r="O1692" s="81"/>
      <c r="P1692" s="81"/>
      <c r="R1692" s="45"/>
      <c r="S1692" s="45"/>
      <c r="T1692" s="45"/>
      <c r="U1692" s="45"/>
      <c r="V1692" s="45">
        <f>IF(OR(ISNUMBER(SEARCH("unable to locate acct",G1692)),ISNUMBER(SEARCH("unknown",G1692)),ISNUMBER(SEARCH("inactive",G1692)),H1692=""),0,1)</f>
        <v>1</v>
      </c>
    </row>
    <row r="1693" spans="1:23">
      <c r="A1693" s="74">
        <v>46049</v>
      </c>
      <c r="B1693" s="45" t="s">
        <v>4215</v>
      </c>
      <c r="C1693" s="45" t="s">
        <v>1159</v>
      </c>
      <c r="D1693" s="45" t="s">
        <v>163</v>
      </c>
      <c r="E1693" s="45">
        <v>85338</v>
      </c>
      <c r="F1693" s="45" t="s">
        <v>4216</v>
      </c>
      <c r="G1693" s="76" t="s">
        <v>4071</v>
      </c>
      <c r="H1693" s="80" t="s">
        <v>4217</v>
      </c>
      <c r="I1693" s="81" t="s">
        <v>4218</v>
      </c>
      <c r="J1693" s="81" t="s">
        <v>31</v>
      </c>
      <c r="K1693" s="81" t="s">
        <v>31</v>
      </c>
      <c r="L1693" s="81" t="s">
        <v>3543</v>
      </c>
      <c r="M1693" s="81" t="s">
        <v>31</v>
      </c>
      <c r="N1693" s="81" t="s">
        <v>31</v>
      </c>
      <c r="O1693" s="81" t="s">
        <v>32</v>
      </c>
      <c r="P1693" s="81" t="s">
        <v>33</v>
      </c>
      <c r="Q1693" s="2">
        <v>46057</v>
      </c>
      <c r="R1693" s="45"/>
      <c r="S1693" s="45"/>
      <c r="T1693" s="45"/>
      <c r="U1693" s="45"/>
      <c r="V1693" s="45">
        <f>IF(OR(ISNUMBER(SEARCH("unable to locate acct",G1693)),ISNUMBER(SEARCH("unknown",G1693)),ISNUMBER(SEARCH("inactive",G1693)),H1693=""),0,1)</f>
        <v>1</v>
      </c>
    </row>
    <row r="1694" spans="1:23">
      <c r="A1694" s="74">
        <v>46049</v>
      </c>
      <c r="B1694" s="45" t="s">
        <v>3026</v>
      </c>
      <c r="C1694" s="45" t="s">
        <v>4219</v>
      </c>
      <c r="D1694" s="45" t="s">
        <v>57</v>
      </c>
      <c r="E1694" s="45">
        <v>85027</v>
      </c>
      <c r="F1694" s="45" t="s">
        <v>4220</v>
      </c>
      <c r="G1694" s="76" t="s">
        <v>4071</v>
      </c>
      <c r="H1694" s="80" t="s">
        <v>84</v>
      </c>
      <c r="I1694" s="81"/>
      <c r="J1694" s="81"/>
      <c r="K1694" s="81"/>
      <c r="L1694" s="81"/>
      <c r="M1694" s="81"/>
      <c r="N1694" s="81"/>
      <c r="O1694" s="81"/>
      <c r="P1694" s="81"/>
      <c r="R1694" s="45" t="s">
        <v>4221</v>
      </c>
      <c r="S1694" s="45"/>
      <c r="T1694" s="45"/>
      <c r="U1694" s="45"/>
      <c r="V1694" s="45">
        <f>IF(OR(ISNUMBER(SEARCH("unable to locate acct",G1694)),ISNUMBER(SEARCH("unknown",G1694)),ISNUMBER(SEARCH("inactive",G1694)),H1694=""),0,1)</f>
        <v>1</v>
      </c>
    </row>
    <row r="1695" spans="1:23">
      <c r="A1695" s="74">
        <v>46049</v>
      </c>
      <c r="B1695" s="45" t="s">
        <v>643</v>
      </c>
      <c r="C1695" s="45" t="s">
        <v>4222</v>
      </c>
      <c r="D1695" s="45" t="s">
        <v>106</v>
      </c>
      <c r="E1695" s="45">
        <v>85379</v>
      </c>
      <c r="F1695" s="45" t="s">
        <v>4223</v>
      </c>
      <c r="G1695" s="76" t="s">
        <v>4071</v>
      </c>
      <c r="H1695" s="80" t="s">
        <v>4224</v>
      </c>
      <c r="I1695" s="81" t="s">
        <v>4218</v>
      </c>
      <c r="J1695" s="81" t="s">
        <v>31</v>
      </c>
      <c r="K1695" s="81" t="s">
        <v>31</v>
      </c>
      <c r="L1695" s="81" t="s">
        <v>3543</v>
      </c>
      <c r="M1695" s="81" t="s">
        <v>31</v>
      </c>
      <c r="N1695" s="81" t="s">
        <v>31</v>
      </c>
      <c r="O1695" s="81" t="s">
        <v>32</v>
      </c>
      <c r="P1695" s="81" t="s">
        <v>33</v>
      </c>
      <c r="Q1695" s="2">
        <v>46057</v>
      </c>
      <c r="R1695" s="45"/>
      <c r="S1695" s="45"/>
      <c r="T1695" s="45"/>
      <c r="U1695" s="45"/>
      <c r="V1695" s="45">
        <f>IF(OR(ISNUMBER(SEARCH("unable to locate acct",G1695)),ISNUMBER(SEARCH("unknown",G1695)),ISNUMBER(SEARCH("inactive",G1695)),H1695=""),0,1)</f>
        <v>1</v>
      </c>
    </row>
    <row r="1696" spans="1:23">
      <c r="A1696" s="74">
        <v>46049</v>
      </c>
      <c r="B1696" s="45" t="s">
        <v>4225</v>
      </c>
      <c r="C1696" s="45" t="s">
        <v>768</v>
      </c>
      <c r="D1696" s="45" t="s">
        <v>57</v>
      </c>
      <c r="E1696" s="45">
        <v>85032</v>
      </c>
      <c r="F1696" s="45" t="s">
        <v>4226</v>
      </c>
      <c r="G1696" s="76" t="s">
        <v>4071</v>
      </c>
      <c r="H1696" s="80" t="s">
        <v>4227</v>
      </c>
      <c r="I1696" s="81" t="s">
        <v>30</v>
      </c>
      <c r="J1696" s="81" t="s">
        <v>32</v>
      </c>
      <c r="K1696" s="81" t="s">
        <v>31</v>
      </c>
      <c r="L1696" s="81" t="s">
        <v>4228</v>
      </c>
      <c r="M1696" s="81" t="s">
        <v>32</v>
      </c>
      <c r="N1696" s="82">
        <v>1183.6600000000001</v>
      </c>
      <c r="O1696" s="81" t="s">
        <v>32</v>
      </c>
      <c r="P1696" s="81"/>
      <c r="Q1696" s="41">
        <v>46057</v>
      </c>
      <c r="R1696" s="45" t="s">
        <v>3996</v>
      </c>
      <c r="S1696" s="45"/>
      <c r="T1696" s="45"/>
      <c r="U1696" s="45"/>
      <c r="V1696" s="45">
        <f>IF(OR(ISNUMBER(SEARCH("unable to locate acct",G1696)),ISNUMBER(SEARCH("unknown",G1696)),ISNUMBER(SEARCH("inactive",G1696)),H1696=""),0,1)</f>
        <v>1</v>
      </c>
      <c r="W1696" s="32"/>
    </row>
    <row r="1697" spans="1:23">
      <c r="A1697" s="74">
        <v>46049</v>
      </c>
      <c r="B1697" s="45" t="s">
        <v>4229</v>
      </c>
      <c r="C1697" s="45" t="s">
        <v>4230</v>
      </c>
      <c r="D1697" s="45" t="s">
        <v>610</v>
      </c>
      <c r="E1697" s="45">
        <v>85365</v>
      </c>
      <c r="F1697" s="45" t="s">
        <v>4231</v>
      </c>
      <c r="G1697" s="76" t="s">
        <v>4071</v>
      </c>
      <c r="H1697" s="80" t="s">
        <v>4232</v>
      </c>
      <c r="I1697" s="81" t="s">
        <v>244</v>
      </c>
      <c r="J1697" s="81" t="s">
        <v>31</v>
      </c>
      <c r="K1697" s="81" t="s">
        <v>31</v>
      </c>
      <c r="L1697" s="81" t="s">
        <v>32</v>
      </c>
      <c r="M1697" s="81" t="s">
        <v>31</v>
      </c>
      <c r="N1697" s="81" t="s">
        <v>31</v>
      </c>
      <c r="O1697" s="81" t="s">
        <v>32</v>
      </c>
      <c r="P1697" s="81" t="s">
        <v>33</v>
      </c>
      <c r="Q1697" s="2">
        <v>46057</v>
      </c>
      <c r="R1697" s="45"/>
      <c r="S1697" s="45"/>
      <c r="T1697" s="45"/>
      <c r="U1697" s="45"/>
      <c r="V1697" s="45">
        <f>IF(OR(ISNUMBER(SEARCH("unable to locate acct",G1697)),ISNUMBER(SEARCH("unknown",G1697)),ISNUMBER(SEARCH("inactive",G1697)),H1697=""),0,1)</f>
        <v>1</v>
      </c>
    </row>
    <row r="1698" spans="1:23">
      <c r="A1698" s="74">
        <v>46049</v>
      </c>
      <c r="B1698" s="45" t="s">
        <v>4233</v>
      </c>
      <c r="C1698" s="45" t="s">
        <v>4234</v>
      </c>
      <c r="D1698" s="45" t="s">
        <v>106</v>
      </c>
      <c r="E1698" s="45">
        <v>85387</v>
      </c>
      <c r="F1698" s="45" t="s">
        <v>4235</v>
      </c>
      <c r="G1698" s="76" t="s">
        <v>4071</v>
      </c>
      <c r="H1698" s="80" t="s">
        <v>4236</v>
      </c>
      <c r="I1698" s="81" t="s">
        <v>30</v>
      </c>
      <c r="J1698" s="81" t="s">
        <v>31</v>
      </c>
      <c r="K1698" s="81" t="s">
        <v>31</v>
      </c>
      <c r="L1698" s="81" t="s">
        <v>3881</v>
      </c>
      <c r="M1698" s="81" t="s">
        <v>32</v>
      </c>
      <c r="N1698" s="82">
        <v>361.81</v>
      </c>
      <c r="O1698" s="81" t="s">
        <v>32</v>
      </c>
      <c r="P1698" s="81"/>
      <c r="Q1698" s="41">
        <v>46057</v>
      </c>
      <c r="R1698" s="45" t="s">
        <v>3996</v>
      </c>
      <c r="S1698" s="45"/>
      <c r="T1698" s="45"/>
      <c r="U1698" s="45"/>
      <c r="V1698" s="45">
        <f>IF(OR(ISNUMBER(SEARCH("unable to locate acct",G1698)),ISNUMBER(SEARCH("unknown",G1698)),ISNUMBER(SEARCH("inactive",G1698)),H1698=""),0,1)</f>
        <v>1</v>
      </c>
      <c r="W1698" s="32"/>
    </row>
    <row r="1699" spans="1:23">
      <c r="A1699" s="74">
        <v>46049</v>
      </c>
      <c r="B1699" s="45" t="s">
        <v>2265</v>
      </c>
      <c r="C1699" s="45" t="s">
        <v>1462</v>
      </c>
      <c r="D1699" s="45" t="s">
        <v>57</v>
      </c>
      <c r="E1699" s="45">
        <v>85022</v>
      </c>
      <c r="F1699" s="45" t="s">
        <v>4237</v>
      </c>
      <c r="G1699" s="76" t="s">
        <v>4071</v>
      </c>
      <c r="H1699" s="80" t="s">
        <v>4238</v>
      </c>
      <c r="I1699" s="81" t="s">
        <v>30</v>
      </c>
      <c r="J1699" s="81" t="s">
        <v>32</v>
      </c>
      <c r="K1699" s="81" t="s">
        <v>31</v>
      </c>
      <c r="L1699" s="81" t="s">
        <v>4239</v>
      </c>
      <c r="M1699" s="81" t="s">
        <v>31</v>
      </c>
      <c r="N1699" s="81" t="s">
        <v>31</v>
      </c>
      <c r="O1699" s="81" t="s">
        <v>32</v>
      </c>
      <c r="P1699" s="81" t="s">
        <v>33</v>
      </c>
      <c r="Q1699" s="2">
        <v>46057</v>
      </c>
      <c r="R1699" s="45"/>
      <c r="S1699" s="45"/>
      <c r="T1699" s="45"/>
      <c r="U1699" s="45"/>
      <c r="V1699" s="45">
        <f>IF(OR(ISNUMBER(SEARCH("unable to locate acct",G1699)),ISNUMBER(SEARCH("unknown",G1699)),ISNUMBER(SEARCH("inactive",G1699)),H1699=""),0,1)</f>
        <v>1</v>
      </c>
    </row>
    <row r="1700" spans="1:23">
      <c r="A1700" s="74">
        <v>46049</v>
      </c>
      <c r="B1700" s="45" t="s">
        <v>4240</v>
      </c>
      <c r="C1700" s="45" t="s">
        <v>4199</v>
      </c>
      <c r="D1700" s="45" t="s">
        <v>106</v>
      </c>
      <c r="E1700" s="45">
        <v>85387</v>
      </c>
      <c r="F1700" s="45" t="s">
        <v>4241</v>
      </c>
      <c r="G1700" s="76" t="s">
        <v>4071</v>
      </c>
      <c r="H1700" s="80" t="s">
        <v>4242</v>
      </c>
      <c r="I1700" s="81" t="s">
        <v>30</v>
      </c>
      <c r="J1700" s="81" t="s">
        <v>32</v>
      </c>
      <c r="K1700" s="81" t="s">
        <v>31</v>
      </c>
      <c r="L1700" s="81" t="s">
        <v>32</v>
      </c>
      <c r="M1700" s="81" t="s">
        <v>32</v>
      </c>
      <c r="N1700" s="82">
        <v>563.04</v>
      </c>
      <c r="O1700" s="81" t="s">
        <v>32</v>
      </c>
      <c r="P1700" s="81"/>
      <c r="Q1700" s="41">
        <v>46057</v>
      </c>
      <c r="R1700" s="45" t="s">
        <v>3996</v>
      </c>
      <c r="S1700" s="45"/>
      <c r="T1700" s="45"/>
      <c r="U1700" s="45"/>
      <c r="V1700" s="45">
        <f>IF(OR(ISNUMBER(SEARCH("unable to locate acct",G1700)),ISNUMBER(SEARCH("unknown",G1700)),ISNUMBER(SEARCH("inactive",G1700)),H1700=""),0,1)</f>
        <v>1</v>
      </c>
      <c r="W1700" s="32"/>
    </row>
    <row r="1701" spans="1:23">
      <c r="A1701" s="74">
        <v>46049</v>
      </c>
      <c r="B1701" s="45" t="s">
        <v>4243</v>
      </c>
      <c r="C1701" s="45" t="s">
        <v>4244</v>
      </c>
      <c r="D1701" s="45" t="s">
        <v>106</v>
      </c>
      <c r="E1701" s="45">
        <v>85387</v>
      </c>
      <c r="F1701" s="45" t="s">
        <v>4245</v>
      </c>
      <c r="G1701" s="76" t="s">
        <v>4071</v>
      </c>
      <c r="H1701" s="80" t="s">
        <v>4246</v>
      </c>
      <c r="I1701" s="81" t="s">
        <v>30</v>
      </c>
      <c r="J1701" s="81" t="s">
        <v>31</v>
      </c>
      <c r="K1701" s="81" t="s">
        <v>31</v>
      </c>
      <c r="L1701" s="81" t="s">
        <v>32</v>
      </c>
      <c r="M1701" s="81" t="s">
        <v>31</v>
      </c>
      <c r="N1701" s="81" t="s">
        <v>31</v>
      </c>
      <c r="O1701" s="81" t="s">
        <v>32</v>
      </c>
      <c r="P1701" s="81" t="s">
        <v>33</v>
      </c>
      <c r="Q1701" s="2">
        <v>46057</v>
      </c>
      <c r="R1701" s="45"/>
      <c r="S1701" s="45"/>
      <c r="T1701" s="45"/>
      <c r="U1701" s="45"/>
      <c r="V1701" s="45">
        <f>IF(OR(ISNUMBER(SEARCH("unable to locate acct",G1701)),ISNUMBER(SEARCH("unknown",G1701)),ISNUMBER(SEARCH("inactive",G1701)),H1701=""),0,1)</f>
        <v>1</v>
      </c>
    </row>
    <row r="1702" spans="1:23">
      <c r="A1702" s="74">
        <v>46049</v>
      </c>
      <c r="B1702" s="45" t="s">
        <v>2872</v>
      </c>
      <c r="C1702" s="45" t="s">
        <v>301</v>
      </c>
      <c r="D1702" s="45" t="s">
        <v>18</v>
      </c>
      <c r="E1702" s="45">
        <v>85304</v>
      </c>
      <c r="F1702" s="45" t="s">
        <v>4247</v>
      </c>
      <c r="G1702" s="76" t="s">
        <v>4071</v>
      </c>
      <c r="H1702" s="80" t="s">
        <v>4248</v>
      </c>
      <c r="I1702" s="81" t="s">
        <v>4249</v>
      </c>
      <c r="J1702" s="81" t="s">
        <v>31</v>
      </c>
      <c r="K1702" s="81" t="s">
        <v>31</v>
      </c>
      <c r="L1702" s="81" t="s">
        <v>32</v>
      </c>
      <c r="M1702" s="81" t="s">
        <v>31</v>
      </c>
      <c r="N1702" s="81" t="s">
        <v>31</v>
      </c>
      <c r="O1702" s="81" t="s">
        <v>32</v>
      </c>
      <c r="P1702" s="81" t="s">
        <v>33</v>
      </c>
      <c r="Q1702" s="2">
        <v>46057</v>
      </c>
      <c r="R1702" s="45"/>
      <c r="S1702" s="45"/>
      <c r="T1702" s="45"/>
      <c r="U1702" s="45"/>
      <c r="V1702" s="45">
        <f>IF(OR(ISNUMBER(SEARCH("unable to locate acct",G1702)),ISNUMBER(SEARCH("unknown",G1702)),ISNUMBER(SEARCH("inactive",G1702)),H1702=""),0,1)</f>
        <v>1</v>
      </c>
    </row>
    <row r="1703" spans="1:23">
      <c r="A1703" s="74">
        <v>46049</v>
      </c>
      <c r="B1703" s="45" t="s">
        <v>4250</v>
      </c>
      <c r="C1703" s="45" t="s">
        <v>224</v>
      </c>
      <c r="D1703" s="45" t="s">
        <v>2624</v>
      </c>
      <c r="E1703" s="45">
        <v>85901</v>
      </c>
      <c r="F1703" s="45" t="s">
        <v>4251</v>
      </c>
      <c r="G1703" s="76" t="s">
        <v>4071</v>
      </c>
      <c r="H1703" s="80" t="s">
        <v>4252</v>
      </c>
      <c r="I1703" s="81" t="s">
        <v>30</v>
      </c>
      <c r="J1703" s="81" t="s">
        <v>31</v>
      </c>
      <c r="K1703" s="81" t="s">
        <v>31</v>
      </c>
      <c r="L1703" s="81" t="s">
        <v>32</v>
      </c>
      <c r="M1703" s="81" t="s">
        <v>31</v>
      </c>
      <c r="N1703" s="81" t="s">
        <v>31</v>
      </c>
      <c r="O1703" s="81" t="s">
        <v>32</v>
      </c>
      <c r="P1703" s="81" t="s">
        <v>33</v>
      </c>
      <c r="Q1703" s="2">
        <v>46057</v>
      </c>
      <c r="R1703" s="45"/>
      <c r="S1703" s="45"/>
      <c r="T1703" s="45"/>
      <c r="U1703" s="45"/>
      <c r="V1703" s="45">
        <f>IF(OR(ISNUMBER(SEARCH("unable to locate acct",G1703)),ISNUMBER(SEARCH("unknown",G1703)),ISNUMBER(SEARCH("inactive",G1703)),H1703=""),0,1)</f>
        <v>1</v>
      </c>
    </row>
    <row r="1704" spans="1:23">
      <c r="A1704" s="74">
        <v>46049</v>
      </c>
      <c r="B1704" s="45" t="s">
        <v>549</v>
      </c>
      <c r="C1704" s="45" t="s">
        <v>4253</v>
      </c>
      <c r="D1704" s="45" t="s">
        <v>106</v>
      </c>
      <c r="E1704" s="45">
        <v>85388</v>
      </c>
      <c r="F1704" s="45" t="s">
        <v>4254</v>
      </c>
      <c r="G1704" s="76" t="s">
        <v>4071</v>
      </c>
      <c r="H1704" s="80" t="s">
        <v>4255</v>
      </c>
      <c r="I1704" s="81" t="s">
        <v>30</v>
      </c>
      <c r="J1704" s="81" t="s">
        <v>31</v>
      </c>
      <c r="K1704" s="81" t="s">
        <v>31</v>
      </c>
      <c r="L1704" s="81" t="s">
        <v>32</v>
      </c>
      <c r="M1704" s="81" t="s">
        <v>31</v>
      </c>
      <c r="N1704" s="81" t="s">
        <v>31</v>
      </c>
      <c r="O1704" s="81" t="s">
        <v>32</v>
      </c>
      <c r="P1704" s="81" t="s">
        <v>33</v>
      </c>
      <c r="Q1704" s="2">
        <v>46057</v>
      </c>
      <c r="R1704" s="45"/>
      <c r="S1704" s="45"/>
      <c r="T1704" s="45"/>
      <c r="U1704" s="45"/>
      <c r="V1704" s="45">
        <f>IF(OR(ISNUMBER(SEARCH("unable to locate acct",G1704)),ISNUMBER(SEARCH("unknown",G1704)),ISNUMBER(SEARCH("inactive",G1704)),H1704=""),0,1)</f>
        <v>1</v>
      </c>
    </row>
    <row r="1705" spans="1:23">
      <c r="A1705" s="74">
        <v>46049</v>
      </c>
      <c r="B1705" s="45" t="s">
        <v>4256</v>
      </c>
      <c r="C1705" s="45" t="s">
        <v>3919</v>
      </c>
      <c r="D1705" s="45" t="s">
        <v>514</v>
      </c>
      <c r="E1705" s="45">
        <v>85323</v>
      </c>
      <c r="F1705" s="45" t="s">
        <v>4257</v>
      </c>
      <c r="G1705" s="76" t="s">
        <v>4071</v>
      </c>
      <c r="H1705" s="80" t="s">
        <v>21</v>
      </c>
      <c r="I1705" s="81"/>
      <c r="J1705" s="81"/>
      <c r="K1705" s="81"/>
      <c r="L1705" s="81"/>
      <c r="M1705" s="81"/>
      <c r="N1705" s="81"/>
      <c r="O1705" s="81"/>
      <c r="P1705" s="81"/>
      <c r="R1705" s="45"/>
      <c r="S1705" s="45"/>
      <c r="T1705" s="45"/>
      <c r="U1705" s="45"/>
      <c r="V1705" s="45">
        <f>IF(OR(ISNUMBER(SEARCH("unable to locate acct",G1705)),ISNUMBER(SEARCH("unknown",G1705)),ISNUMBER(SEARCH("inactive",G1705)),H1705=""),0,1)</f>
        <v>1</v>
      </c>
    </row>
    <row r="1706" spans="1:23">
      <c r="A1706" s="74">
        <v>46049</v>
      </c>
      <c r="B1706" s="45" t="s">
        <v>4258</v>
      </c>
      <c r="C1706" s="45" t="s">
        <v>566</v>
      </c>
      <c r="D1706" s="45" t="s">
        <v>83</v>
      </c>
      <c r="E1706" s="45">
        <v>86336</v>
      </c>
      <c r="F1706" s="45" t="s">
        <v>4259</v>
      </c>
      <c r="G1706" s="76" t="s">
        <v>4071</v>
      </c>
      <c r="H1706" s="80" t="s">
        <v>21</v>
      </c>
      <c r="I1706" s="81"/>
      <c r="J1706" s="81"/>
      <c r="K1706" s="81"/>
      <c r="L1706" s="81"/>
      <c r="M1706" s="81"/>
      <c r="N1706" s="81"/>
      <c r="O1706" s="81"/>
      <c r="P1706" s="81"/>
      <c r="R1706" s="45"/>
      <c r="S1706" s="45"/>
      <c r="T1706" s="45"/>
      <c r="U1706" s="45"/>
      <c r="V1706" s="45">
        <f>IF(OR(ISNUMBER(SEARCH("unable to locate acct",G1706)),ISNUMBER(SEARCH("unknown",G1706)),ISNUMBER(SEARCH("inactive",G1706)),H1706=""),0,1)</f>
        <v>1</v>
      </c>
    </row>
    <row r="1707" spans="1:23">
      <c r="A1707" s="74">
        <v>46049</v>
      </c>
      <c r="B1707" s="45" t="s">
        <v>4260</v>
      </c>
      <c r="C1707" s="45" t="s">
        <v>69</v>
      </c>
      <c r="D1707" s="45" t="s">
        <v>18</v>
      </c>
      <c r="E1707" s="45">
        <v>85308</v>
      </c>
      <c r="F1707" s="45" t="s">
        <v>4261</v>
      </c>
      <c r="G1707" s="76" t="s">
        <v>4071</v>
      </c>
      <c r="H1707" s="80" t="s">
        <v>4262</v>
      </c>
      <c r="I1707" s="81" t="s">
        <v>30</v>
      </c>
      <c r="J1707" s="81" t="s">
        <v>31</v>
      </c>
      <c r="K1707" s="81" t="s">
        <v>31</v>
      </c>
      <c r="L1707" s="81" t="s">
        <v>32</v>
      </c>
      <c r="M1707" s="81" t="s">
        <v>31</v>
      </c>
      <c r="N1707" s="81" t="s">
        <v>31</v>
      </c>
      <c r="O1707" s="81" t="s">
        <v>32</v>
      </c>
      <c r="P1707" s="81" t="s">
        <v>33</v>
      </c>
      <c r="Q1707" s="2">
        <v>46057</v>
      </c>
      <c r="R1707" s="45"/>
      <c r="S1707" s="45"/>
      <c r="T1707" s="45"/>
      <c r="U1707" s="45"/>
      <c r="V1707" s="45">
        <f>IF(OR(ISNUMBER(SEARCH("unable to locate acct",G1707)),ISNUMBER(SEARCH("unknown",G1707)),ISNUMBER(SEARCH("inactive",G1707)),H1707=""),0,1)</f>
        <v>1</v>
      </c>
    </row>
    <row r="1708" spans="1:23">
      <c r="A1708" s="74">
        <v>46049</v>
      </c>
      <c r="B1708" s="45" t="s">
        <v>1575</v>
      </c>
      <c r="C1708" s="45" t="s">
        <v>301</v>
      </c>
      <c r="D1708" s="45" t="s">
        <v>4263</v>
      </c>
      <c r="E1708" s="45">
        <v>85363</v>
      </c>
      <c r="F1708" s="45" t="s">
        <v>4264</v>
      </c>
      <c r="G1708" s="76" t="s">
        <v>4071</v>
      </c>
      <c r="H1708" s="80" t="s">
        <v>21</v>
      </c>
      <c r="I1708" s="81"/>
      <c r="J1708" s="81"/>
      <c r="K1708" s="81"/>
      <c r="L1708" s="81"/>
      <c r="M1708" s="81"/>
      <c r="N1708" s="81"/>
      <c r="O1708" s="81"/>
      <c r="P1708" s="81"/>
      <c r="R1708" s="45"/>
      <c r="S1708" s="45"/>
      <c r="T1708" s="45"/>
      <c r="U1708" s="45"/>
      <c r="V1708" s="45">
        <f>IF(OR(ISNUMBER(SEARCH("unable to locate acct",G1708)),ISNUMBER(SEARCH("unknown",G1708)),ISNUMBER(SEARCH("inactive",G1708)),H1708=""),0,1)</f>
        <v>1</v>
      </c>
    </row>
    <row r="1709" spans="1:23">
      <c r="A1709" s="74">
        <v>46049</v>
      </c>
      <c r="B1709" s="45" t="s">
        <v>4265</v>
      </c>
      <c r="C1709" s="45" t="s">
        <v>2226</v>
      </c>
      <c r="D1709" s="45" t="s">
        <v>255</v>
      </c>
      <c r="E1709" s="45">
        <v>86315</v>
      </c>
      <c r="F1709" s="45" t="s">
        <v>4266</v>
      </c>
      <c r="G1709" s="76" t="s">
        <v>4071</v>
      </c>
      <c r="H1709" s="80" t="s">
        <v>21</v>
      </c>
      <c r="I1709" s="81"/>
      <c r="J1709" s="81"/>
      <c r="K1709" s="81"/>
      <c r="L1709" s="81"/>
      <c r="M1709" s="81"/>
      <c r="N1709" s="81"/>
      <c r="O1709" s="81"/>
      <c r="P1709" s="81"/>
      <c r="R1709" s="45"/>
      <c r="S1709" s="45"/>
      <c r="T1709" s="45"/>
      <c r="U1709" s="45"/>
      <c r="V1709" s="45">
        <f>IF(OR(ISNUMBER(SEARCH("unable to locate acct",G1709)),ISNUMBER(SEARCH("unknown",G1709)),ISNUMBER(SEARCH("inactive",G1709)),H1709=""),0,1)</f>
        <v>1</v>
      </c>
    </row>
    <row r="1710" spans="1:23">
      <c r="A1710" s="74">
        <v>46049</v>
      </c>
      <c r="B1710" s="45" t="s">
        <v>4267</v>
      </c>
      <c r="C1710" s="45" t="s">
        <v>219</v>
      </c>
      <c r="D1710" s="45" t="s">
        <v>57</v>
      </c>
      <c r="E1710" s="45">
        <v>85053</v>
      </c>
      <c r="F1710" s="45" t="s">
        <v>4268</v>
      </c>
      <c r="G1710" s="76" t="s">
        <v>4071</v>
      </c>
      <c r="H1710" s="80" t="s">
        <v>4269</v>
      </c>
      <c r="I1710" s="81" t="s">
        <v>190</v>
      </c>
      <c r="J1710" s="81" t="s">
        <v>32</v>
      </c>
      <c r="K1710" s="81" t="s">
        <v>31</v>
      </c>
      <c r="L1710" s="81" t="s">
        <v>32</v>
      </c>
      <c r="M1710" s="81" t="s">
        <v>32</v>
      </c>
      <c r="N1710" s="82">
        <v>4114.0200000000004</v>
      </c>
      <c r="O1710" s="81" t="s">
        <v>32</v>
      </c>
      <c r="P1710" s="81"/>
      <c r="Q1710" s="41">
        <v>46057</v>
      </c>
      <c r="R1710" s="45" t="s">
        <v>3996</v>
      </c>
      <c r="S1710" s="45"/>
      <c r="T1710" s="45"/>
      <c r="U1710" s="45"/>
      <c r="V1710" s="45">
        <f>IF(OR(ISNUMBER(SEARCH("unable to locate acct",G1710)),ISNUMBER(SEARCH("unknown",G1710)),ISNUMBER(SEARCH("inactive",G1710)),H1710=""),0,1)</f>
        <v>1</v>
      </c>
      <c r="W1710" s="32"/>
    </row>
    <row r="1711" spans="1:23">
      <c r="A1711" s="74">
        <v>46049</v>
      </c>
      <c r="B1711" s="45" t="s">
        <v>4106</v>
      </c>
      <c r="C1711" s="45" t="s">
        <v>147</v>
      </c>
      <c r="D1711" s="45" t="s">
        <v>87</v>
      </c>
      <c r="E1711" s="45">
        <v>85351</v>
      </c>
      <c r="F1711" s="45" t="s">
        <v>4270</v>
      </c>
      <c r="G1711" s="76" t="s">
        <v>4071</v>
      </c>
      <c r="H1711" s="80" t="s">
        <v>4271</v>
      </c>
      <c r="I1711" s="81" t="s">
        <v>532</v>
      </c>
      <c r="J1711" s="81" t="s">
        <v>31</v>
      </c>
      <c r="K1711" s="81" t="s">
        <v>31</v>
      </c>
      <c r="L1711" s="81" t="s">
        <v>3543</v>
      </c>
      <c r="M1711" s="81" t="s">
        <v>31</v>
      </c>
      <c r="N1711" s="81" t="s">
        <v>31</v>
      </c>
      <c r="O1711" s="81" t="s">
        <v>32</v>
      </c>
      <c r="P1711" s="81" t="s">
        <v>33</v>
      </c>
      <c r="Q1711" s="2">
        <v>46057</v>
      </c>
      <c r="R1711" s="45"/>
      <c r="S1711" s="45"/>
      <c r="T1711" s="45"/>
      <c r="U1711" s="45"/>
      <c r="V1711" s="45">
        <f>IF(OR(ISNUMBER(SEARCH("unable to locate acct",G1711)),ISNUMBER(SEARCH("unknown",G1711)),ISNUMBER(SEARCH("inactive",G1711)),H1711=""),0,1)</f>
        <v>1</v>
      </c>
    </row>
    <row r="1712" spans="1:23">
      <c r="A1712" s="74">
        <v>46049</v>
      </c>
      <c r="B1712" s="45" t="s">
        <v>4272</v>
      </c>
      <c r="C1712" s="45" t="s">
        <v>125</v>
      </c>
      <c r="D1712" s="45" t="s">
        <v>57</v>
      </c>
      <c r="E1712" s="45">
        <v>85029</v>
      </c>
      <c r="F1712" s="45" t="s">
        <v>4273</v>
      </c>
      <c r="G1712" s="76" t="s">
        <v>4071</v>
      </c>
      <c r="H1712" s="80" t="s">
        <v>21</v>
      </c>
      <c r="I1712" s="81"/>
      <c r="J1712" s="81"/>
      <c r="K1712" s="81"/>
      <c r="L1712" s="81"/>
      <c r="M1712" s="81"/>
      <c r="N1712" s="81"/>
      <c r="O1712" s="81"/>
      <c r="P1712" s="81"/>
      <c r="R1712" s="45"/>
      <c r="S1712" s="45"/>
      <c r="T1712" s="45"/>
      <c r="U1712" s="45"/>
      <c r="V1712" s="45">
        <f>IF(OR(ISNUMBER(SEARCH("unable to locate acct",G1712)),ISNUMBER(SEARCH("unknown",G1712)),ISNUMBER(SEARCH("inactive",G1712)),H1712=""),0,1)</f>
        <v>1</v>
      </c>
    </row>
    <row r="1713" spans="1:23">
      <c r="A1713" s="74">
        <v>46049</v>
      </c>
      <c r="B1713" s="45" t="s">
        <v>4274</v>
      </c>
      <c r="C1713" s="45" t="s">
        <v>314</v>
      </c>
      <c r="D1713" s="45" t="s">
        <v>495</v>
      </c>
      <c r="E1713" s="45">
        <v>86004</v>
      </c>
      <c r="F1713" s="75" t="s">
        <v>4275</v>
      </c>
      <c r="G1713" s="76" t="s">
        <v>4071</v>
      </c>
      <c r="H1713" s="80" t="s">
        <v>4276</v>
      </c>
      <c r="I1713" s="81" t="s">
        <v>190</v>
      </c>
      <c r="J1713" s="81" t="s">
        <v>32</v>
      </c>
      <c r="K1713" s="81" t="s">
        <v>31</v>
      </c>
      <c r="L1713" s="81" t="s">
        <v>4010</v>
      </c>
      <c r="M1713" s="81" t="s">
        <v>32</v>
      </c>
      <c r="N1713" s="82">
        <v>325</v>
      </c>
      <c r="O1713" s="81" t="s">
        <v>32</v>
      </c>
      <c r="P1713" s="81"/>
      <c r="Q1713" s="41">
        <v>46057</v>
      </c>
      <c r="R1713" s="45" t="s">
        <v>3996</v>
      </c>
      <c r="S1713" s="45"/>
      <c r="T1713" s="45"/>
      <c r="U1713" s="45"/>
      <c r="V1713" s="45">
        <f>IF(OR(ISNUMBER(SEARCH("unable to locate acct",G1713)),ISNUMBER(SEARCH("unknown",G1713)),ISNUMBER(SEARCH("inactive",G1713)),H1713=""),0,1)</f>
        <v>1</v>
      </c>
      <c r="W1713" s="32"/>
    </row>
    <row r="1714" spans="1:23">
      <c r="A1714" s="74">
        <v>46049</v>
      </c>
      <c r="B1714" s="45" t="s">
        <v>2546</v>
      </c>
      <c r="C1714" s="45" t="s">
        <v>852</v>
      </c>
      <c r="D1714" s="45" t="s">
        <v>650</v>
      </c>
      <c r="E1714" s="45">
        <v>85350</v>
      </c>
      <c r="F1714" s="45" t="s">
        <v>4277</v>
      </c>
      <c r="G1714" s="76" t="s">
        <v>4071</v>
      </c>
      <c r="H1714" s="80" t="s">
        <v>21</v>
      </c>
      <c r="I1714" s="81"/>
      <c r="J1714" s="81"/>
      <c r="K1714" s="81"/>
      <c r="L1714" s="81"/>
      <c r="M1714" s="81"/>
      <c r="N1714" s="81"/>
      <c r="O1714" s="81"/>
      <c r="P1714" s="81"/>
      <c r="R1714" s="45"/>
      <c r="S1714" s="45"/>
      <c r="T1714" s="45"/>
      <c r="U1714" s="45"/>
      <c r="V1714" s="45">
        <f>IF(OR(ISNUMBER(SEARCH("unable to locate acct",G1714)),ISNUMBER(SEARCH("unknown",G1714)),ISNUMBER(SEARCH("inactive",G1714)),H1714=""),0,1)</f>
        <v>1</v>
      </c>
    </row>
    <row r="1715" spans="1:23">
      <c r="A1715" s="74">
        <v>46049</v>
      </c>
      <c r="B1715" s="45" t="s">
        <v>4278</v>
      </c>
      <c r="C1715" s="45" t="s">
        <v>566</v>
      </c>
      <c r="D1715" s="45" t="s">
        <v>801</v>
      </c>
      <c r="E1715" s="45">
        <v>86303</v>
      </c>
      <c r="F1715" s="45" t="s">
        <v>4279</v>
      </c>
      <c r="G1715" s="76" t="s">
        <v>4071</v>
      </c>
      <c r="H1715" s="80" t="s">
        <v>4280</v>
      </c>
      <c r="I1715" s="81" t="s">
        <v>67</v>
      </c>
      <c r="J1715" s="81" t="s">
        <v>31</v>
      </c>
      <c r="K1715" s="81" t="s">
        <v>31</v>
      </c>
      <c r="L1715" s="81" t="s">
        <v>32</v>
      </c>
      <c r="M1715" s="81" t="s">
        <v>31</v>
      </c>
      <c r="N1715" s="81" t="s">
        <v>31</v>
      </c>
      <c r="O1715" s="81" t="s">
        <v>32</v>
      </c>
      <c r="P1715" s="81" t="s">
        <v>33</v>
      </c>
      <c r="Q1715" s="2">
        <v>46057</v>
      </c>
      <c r="R1715" s="45"/>
      <c r="S1715" s="45"/>
      <c r="T1715" s="45"/>
      <c r="U1715" s="45"/>
      <c r="V1715" s="45">
        <f>IF(OR(ISNUMBER(SEARCH("unable to locate acct",G1715)),ISNUMBER(SEARCH("unknown",G1715)),ISNUMBER(SEARCH("inactive",G1715)),H1715=""),0,1)</f>
        <v>1</v>
      </c>
    </row>
    <row r="1716" spans="1:23">
      <c r="A1716" s="74">
        <v>46049</v>
      </c>
      <c r="B1716" s="45" t="s">
        <v>3026</v>
      </c>
      <c r="C1716" s="45" t="s">
        <v>4281</v>
      </c>
      <c r="D1716" s="45" t="s">
        <v>57</v>
      </c>
      <c r="E1716" s="45">
        <v>85032</v>
      </c>
      <c r="F1716" s="45" t="s">
        <v>4282</v>
      </c>
      <c r="G1716" s="76" t="s">
        <v>4071</v>
      </c>
      <c r="H1716" s="80" t="s">
        <v>4283</v>
      </c>
      <c r="I1716" s="81" t="s">
        <v>30</v>
      </c>
      <c r="J1716" s="81" t="s">
        <v>32</v>
      </c>
      <c r="K1716" s="81" t="s">
        <v>31</v>
      </c>
      <c r="L1716" s="81" t="s">
        <v>32</v>
      </c>
      <c r="M1716" s="81" t="s">
        <v>31</v>
      </c>
      <c r="N1716" s="81" t="s">
        <v>31</v>
      </c>
      <c r="O1716" s="81" t="s">
        <v>32</v>
      </c>
      <c r="P1716" s="81" t="s">
        <v>33</v>
      </c>
      <c r="Q1716" s="2">
        <v>46057</v>
      </c>
      <c r="R1716" s="45" t="s">
        <v>4221</v>
      </c>
      <c r="S1716" s="45"/>
      <c r="T1716" s="45"/>
      <c r="U1716" s="45"/>
      <c r="V1716" s="45">
        <f>IF(OR(ISNUMBER(SEARCH("unable to locate acct",G1716)),ISNUMBER(SEARCH("unknown",G1716)),ISNUMBER(SEARCH("inactive",G1716)),H1716=""),0,1)</f>
        <v>1</v>
      </c>
    </row>
    <row r="1717" spans="1:23">
      <c r="A1717" s="74">
        <v>46049</v>
      </c>
      <c r="B1717" s="45" t="s">
        <v>4284</v>
      </c>
      <c r="C1717" s="45" t="s">
        <v>4285</v>
      </c>
      <c r="D1717" s="45" t="s">
        <v>163</v>
      </c>
      <c r="E1717" s="45">
        <v>85338</v>
      </c>
      <c r="F1717" s="45" t="s">
        <v>4286</v>
      </c>
      <c r="G1717" s="76" t="s">
        <v>4071</v>
      </c>
      <c r="H1717" s="80" t="s">
        <v>84</v>
      </c>
      <c r="I1717" s="81"/>
      <c r="J1717" s="81"/>
      <c r="K1717" s="81"/>
      <c r="L1717" s="81"/>
      <c r="M1717" s="81"/>
      <c r="N1717" s="81"/>
      <c r="O1717" s="81"/>
      <c r="P1717" s="81"/>
      <c r="R1717" s="45"/>
      <c r="S1717" s="45"/>
      <c r="T1717" s="45"/>
      <c r="U1717" s="45"/>
      <c r="V1717" s="45">
        <f>IF(OR(ISNUMBER(SEARCH("unable to locate acct",G1717)),ISNUMBER(SEARCH("unknown",G1717)),ISNUMBER(SEARCH("inactive",G1717)),H1717=""),0,1)</f>
        <v>1</v>
      </c>
    </row>
    <row r="1718" spans="1:23">
      <c r="A1718" s="74">
        <v>46049</v>
      </c>
      <c r="B1718" s="45" t="s">
        <v>4287</v>
      </c>
      <c r="C1718" s="45" t="s">
        <v>4288</v>
      </c>
      <c r="D1718" s="45" t="s">
        <v>57</v>
      </c>
      <c r="E1718" s="45">
        <v>85029</v>
      </c>
      <c r="F1718" s="45" t="s">
        <v>4289</v>
      </c>
      <c r="G1718" s="76" t="s">
        <v>4071</v>
      </c>
      <c r="H1718" s="80" t="s">
        <v>4290</v>
      </c>
      <c r="I1718" s="81" t="s">
        <v>67</v>
      </c>
      <c r="J1718" s="81" t="s">
        <v>31</v>
      </c>
      <c r="K1718" s="81" t="s">
        <v>31</v>
      </c>
      <c r="L1718" s="81" t="s">
        <v>32</v>
      </c>
      <c r="M1718" s="81" t="s">
        <v>31</v>
      </c>
      <c r="N1718" s="81" t="s">
        <v>31</v>
      </c>
      <c r="O1718" s="81" t="s">
        <v>32</v>
      </c>
      <c r="P1718" s="81" t="s">
        <v>33</v>
      </c>
      <c r="Q1718" s="2">
        <v>46057</v>
      </c>
      <c r="R1718" s="45"/>
      <c r="S1718" s="45"/>
      <c r="T1718" s="45"/>
      <c r="U1718" s="45"/>
      <c r="V1718" s="45">
        <f>IF(OR(ISNUMBER(SEARCH("unable to locate acct",G1718)),ISNUMBER(SEARCH("unknown",G1718)),ISNUMBER(SEARCH("inactive",G1718)),H1718=""),0,1)</f>
        <v>1</v>
      </c>
    </row>
    <row r="1719" spans="1:23">
      <c r="A1719" s="74">
        <v>46049</v>
      </c>
      <c r="B1719" s="45" t="s">
        <v>3229</v>
      </c>
      <c r="C1719" s="45" t="s">
        <v>4291</v>
      </c>
      <c r="D1719" s="45" t="s">
        <v>57</v>
      </c>
      <c r="E1719" s="45">
        <v>85050</v>
      </c>
      <c r="F1719" s="45" t="s">
        <v>4292</v>
      </c>
      <c r="G1719" s="76" t="s">
        <v>4071</v>
      </c>
      <c r="H1719" s="80" t="s">
        <v>21</v>
      </c>
      <c r="I1719" s="81"/>
      <c r="J1719" s="81"/>
      <c r="K1719" s="81"/>
      <c r="L1719" s="81"/>
      <c r="M1719" s="81"/>
      <c r="N1719" s="81"/>
      <c r="O1719" s="81"/>
      <c r="P1719" s="81"/>
      <c r="R1719" s="45"/>
      <c r="S1719" s="45"/>
      <c r="T1719" s="45"/>
      <c r="U1719" s="45"/>
      <c r="V1719" s="45">
        <f>IF(OR(ISNUMBER(SEARCH("unable to locate acct",G1719)),ISNUMBER(SEARCH("unknown",G1719)),ISNUMBER(SEARCH("inactive",G1719)),H1719=""),0,1)</f>
        <v>1</v>
      </c>
    </row>
    <row r="1720" spans="1:23">
      <c r="A1720" s="74">
        <v>46049</v>
      </c>
      <c r="B1720" s="45" t="s">
        <v>4293</v>
      </c>
      <c r="C1720" s="45" t="s">
        <v>547</v>
      </c>
      <c r="D1720" s="45" t="s">
        <v>163</v>
      </c>
      <c r="E1720" s="45">
        <v>85395</v>
      </c>
      <c r="F1720" s="45" t="s">
        <v>4294</v>
      </c>
      <c r="G1720" s="76" t="s">
        <v>4071</v>
      </c>
      <c r="H1720" s="80" t="s">
        <v>4295</v>
      </c>
      <c r="I1720" s="81" t="s">
        <v>532</v>
      </c>
      <c r="J1720" s="81" t="s">
        <v>31</v>
      </c>
      <c r="K1720" s="81" t="s">
        <v>31</v>
      </c>
      <c r="L1720" s="81" t="s">
        <v>3543</v>
      </c>
      <c r="M1720" s="81" t="s">
        <v>4296</v>
      </c>
      <c r="N1720" s="81" t="s">
        <v>31</v>
      </c>
      <c r="O1720" s="81" t="s">
        <v>32</v>
      </c>
      <c r="P1720" s="81" t="s">
        <v>33</v>
      </c>
      <c r="Q1720" s="2">
        <v>45692</v>
      </c>
      <c r="R1720" s="45"/>
      <c r="S1720" s="45"/>
      <c r="T1720" s="45"/>
      <c r="U1720" s="45"/>
      <c r="V1720" s="45">
        <f>IF(OR(ISNUMBER(SEARCH("unable to locate acct",G1720)),ISNUMBER(SEARCH("unknown",G1720)),ISNUMBER(SEARCH("inactive",G1720)),H1720=""),0,1)</f>
        <v>1</v>
      </c>
    </row>
    <row r="1721" spans="1:23">
      <c r="A1721" s="74">
        <v>46049</v>
      </c>
      <c r="B1721" s="45" t="s">
        <v>2538</v>
      </c>
      <c r="C1721" s="45" t="s">
        <v>4297</v>
      </c>
      <c r="D1721" s="45" t="s">
        <v>163</v>
      </c>
      <c r="E1721" s="45">
        <v>85395</v>
      </c>
      <c r="F1721" s="45" t="s">
        <v>4298</v>
      </c>
      <c r="G1721" s="76" t="s">
        <v>4071</v>
      </c>
      <c r="H1721" s="80" t="s">
        <v>4299</v>
      </c>
      <c r="I1721" s="81" t="s">
        <v>190</v>
      </c>
      <c r="J1721" s="81" t="s">
        <v>31</v>
      </c>
      <c r="K1721" s="81" t="s">
        <v>31</v>
      </c>
      <c r="L1721" s="81" t="s">
        <v>32</v>
      </c>
      <c r="M1721" s="81" t="s">
        <v>31</v>
      </c>
      <c r="N1721" s="81" t="s">
        <v>31</v>
      </c>
      <c r="O1721" s="81" t="s">
        <v>32</v>
      </c>
      <c r="P1721" s="81" t="s">
        <v>33</v>
      </c>
      <c r="Q1721" s="2">
        <v>46057</v>
      </c>
      <c r="R1721" s="45"/>
      <c r="S1721" s="45"/>
      <c r="T1721" s="45"/>
      <c r="U1721" s="45"/>
      <c r="V1721" s="45">
        <f>IF(OR(ISNUMBER(SEARCH("unable to locate acct",G1721)),ISNUMBER(SEARCH("unknown",G1721)),ISNUMBER(SEARCH("inactive",G1721)),H1721=""),0,1)</f>
        <v>1</v>
      </c>
    </row>
    <row r="1722" spans="1:23">
      <c r="A1722" s="74">
        <v>46049</v>
      </c>
      <c r="B1722" s="45" t="s">
        <v>4300</v>
      </c>
      <c r="C1722" s="45" t="s">
        <v>477</v>
      </c>
      <c r="D1722" s="45" t="s">
        <v>880</v>
      </c>
      <c r="E1722" s="45">
        <v>85501</v>
      </c>
      <c r="F1722" s="45" t="s">
        <v>4301</v>
      </c>
      <c r="G1722" s="76" t="s">
        <v>4071</v>
      </c>
      <c r="H1722" s="80" t="s">
        <v>4302</v>
      </c>
      <c r="I1722" s="81" t="s">
        <v>67</v>
      </c>
      <c r="J1722" s="81" t="s">
        <v>31</v>
      </c>
      <c r="K1722" s="81" t="s">
        <v>31</v>
      </c>
      <c r="L1722" s="81" t="s">
        <v>32</v>
      </c>
      <c r="M1722" s="81" t="s">
        <v>31</v>
      </c>
      <c r="N1722" s="81" t="s">
        <v>31</v>
      </c>
      <c r="O1722" s="81" t="s">
        <v>32</v>
      </c>
      <c r="P1722" s="81" t="s">
        <v>33</v>
      </c>
      <c r="Q1722" s="2">
        <v>46057</v>
      </c>
      <c r="R1722" s="45"/>
      <c r="S1722" s="45"/>
      <c r="T1722" s="45"/>
      <c r="U1722" s="45"/>
      <c r="V1722" s="45">
        <f>IF(OR(ISNUMBER(SEARCH("unable to locate acct",G1722)),ISNUMBER(SEARCH("unknown",G1722)),ISNUMBER(SEARCH("inactive",G1722)),H1722=""),0,1)</f>
        <v>1</v>
      </c>
    </row>
    <row r="1723" spans="1:23">
      <c r="A1723" s="74">
        <v>46049</v>
      </c>
      <c r="B1723" s="45" t="s">
        <v>2528</v>
      </c>
      <c r="C1723" s="45" t="s">
        <v>219</v>
      </c>
      <c r="D1723" s="45" t="s">
        <v>18</v>
      </c>
      <c r="E1723" s="45">
        <v>85304</v>
      </c>
      <c r="F1723" s="45" t="s">
        <v>4303</v>
      </c>
      <c r="G1723" s="76" t="s">
        <v>4071</v>
      </c>
      <c r="H1723" s="80" t="s">
        <v>4304</v>
      </c>
      <c r="I1723" s="81" t="s">
        <v>3676</v>
      </c>
      <c r="J1723" s="81" t="s">
        <v>32</v>
      </c>
      <c r="K1723" s="81" t="s">
        <v>31</v>
      </c>
      <c r="L1723" s="81" t="s">
        <v>3543</v>
      </c>
      <c r="M1723" s="81" t="s">
        <v>31</v>
      </c>
      <c r="N1723" s="81" t="s">
        <v>31</v>
      </c>
      <c r="O1723" s="81" t="s">
        <v>32</v>
      </c>
      <c r="P1723" s="81" t="s">
        <v>33</v>
      </c>
      <c r="Q1723" s="2">
        <v>46057</v>
      </c>
      <c r="R1723" s="45"/>
      <c r="S1723" s="45"/>
      <c r="T1723" s="45"/>
      <c r="U1723" s="45"/>
      <c r="V1723" s="45">
        <f>IF(OR(ISNUMBER(SEARCH("unable to locate acct",G1723)),ISNUMBER(SEARCH("unknown",G1723)),ISNUMBER(SEARCH("inactive",G1723)),H1723=""),0,1)</f>
        <v>1</v>
      </c>
    </row>
    <row r="1724" spans="1:23">
      <c r="A1724" s="74">
        <v>46049</v>
      </c>
      <c r="B1724" s="45" t="s">
        <v>2538</v>
      </c>
      <c r="C1724" s="45" t="s">
        <v>4305</v>
      </c>
      <c r="D1724" s="45" t="s">
        <v>57</v>
      </c>
      <c r="E1724" s="45">
        <v>85032</v>
      </c>
      <c r="F1724" s="45" t="s">
        <v>4306</v>
      </c>
      <c r="G1724" s="76" t="s">
        <v>4071</v>
      </c>
      <c r="H1724" s="80" t="s">
        <v>84</v>
      </c>
      <c r="I1724" s="81"/>
      <c r="J1724" s="81"/>
      <c r="K1724" s="81"/>
      <c r="L1724" s="81"/>
      <c r="M1724" s="81"/>
      <c r="N1724" s="81"/>
      <c r="O1724" s="81"/>
      <c r="P1724" s="81"/>
      <c r="R1724" s="45" t="s">
        <v>4221</v>
      </c>
      <c r="S1724" s="45"/>
      <c r="T1724" s="45"/>
      <c r="U1724" s="45"/>
      <c r="V1724" s="45">
        <f>IF(OR(ISNUMBER(SEARCH("unable to locate acct",G1724)),ISNUMBER(SEARCH("unknown",G1724)),ISNUMBER(SEARCH("inactive",G1724)),H1724=""),0,1)</f>
        <v>1</v>
      </c>
    </row>
    <row r="1725" spans="1:23">
      <c r="A1725" s="74">
        <v>46049</v>
      </c>
      <c r="B1725" s="45" t="s">
        <v>4307</v>
      </c>
      <c r="C1725" s="45" t="s">
        <v>178</v>
      </c>
      <c r="D1725" s="45" t="s">
        <v>119</v>
      </c>
      <c r="E1725" s="45">
        <v>85254</v>
      </c>
      <c r="F1725" s="45" t="s">
        <v>4308</v>
      </c>
      <c r="G1725" s="76" t="s">
        <v>4071</v>
      </c>
      <c r="H1725" s="80" t="s">
        <v>4309</v>
      </c>
      <c r="I1725" s="81" t="s">
        <v>190</v>
      </c>
      <c r="J1725" s="81" t="s">
        <v>31</v>
      </c>
      <c r="K1725" s="81" t="s">
        <v>31</v>
      </c>
      <c r="L1725" s="81" t="s">
        <v>4310</v>
      </c>
      <c r="M1725" s="81" t="s">
        <v>31</v>
      </c>
      <c r="N1725" s="81" t="s">
        <v>31</v>
      </c>
      <c r="O1725" s="81" t="s">
        <v>32</v>
      </c>
      <c r="P1725" s="81"/>
      <c r="Q1725" s="41">
        <v>46057</v>
      </c>
      <c r="R1725" s="45" t="s">
        <v>3468</v>
      </c>
      <c r="S1725" s="45"/>
      <c r="T1725" s="45"/>
      <c r="U1725" s="45"/>
      <c r="V1725" s="45">
        <f>IF(OR(ISNUMBER(SEARCH("unable to locate acct",G1725)),ISNUMBER(SEARCH("unknown",G1725)),ISNUMBER(SEARCH("inactive",G1725)),H1725=""),0,1)</f>
        <v>1</v>
      </c>
      <c r="W1725" s="32"/>
    </row>
    <row r="1726" spans="1:23">
      <c r="A1726" s="74">
        <v>46049</v>
      </c>
      <c r="B1726" s="45" t="s">
        <v>4311</v>
      </c>
      <c r="C1726" s="45" t="s">
        <v>4312</v>
      </c>
      <c r="D1726" s="45" t="s">
        <v>196</v>
      </c>
      <c r="E1726" s="45">
        <v>85345</v>
      </c>
      <c r="F1726" s="45" t="s">
        <v>4313</v>
      </c>
      <c r="G1726" s="76" t="s">
        <v>4071</v>
      </c>
      <c r="H1726" s="80" t="s">
        <v>4314</v>
      </c>
      <c r="I1726" s="81" t="s">
        <v>532</v>
      </c>
      <c r="J1726" s="81" t="s">
        <v>31</v>
      </c>
      <c r="K1726" s="81" t="s">
        <v>31</v>
      </c>
      <c r="L1726" s="81" t="s">
        <v>3543</v>
      </c>
      <c r="M1726" s="81" t="s">
        <v>31</v>
      </c>
      <c r="N1726" s="81" t="s">
        <v>31</v>
      </c>
      <c r="O1726" s="81" t="s">
        <v>32</v>
      </c>
      <c r="P1726" s="81" t="s">
        <v>33</v>
      </c>
      <c r="Q1726" s="2">
        <v>46057</v>
      </c>
      <c r="R1726" s="45"/>
      <c r="S1726" s="45"/>
      <c r="T1726" s="45"/>
      <c r="U1726" s="45"/>
      <c r="V1726" s="45">
        <f>IF(OR(ISNUMBER(SEARCH("unable to locate acct",G1726)),ISNUMBER(SEARCH("unknown",G1726)),ISNUMBER(SEARCH("inactive",G1726)),H1726=""),0,1)</f>
        <v>1</v>
      </c>
    </row>
    <row r="1727" spans="1:23">
      <c r="A1727" s="74">
        <v>46049</v>
      </c>
      <c r="B1727" s="45" t="s">
        <v>4315</v>
      </c>
      <c r="C1727" s="45" t="s">
        <v>4316</v>
      </c>
      <c r="D1727" s="45" t="s">
        <v>57</v>
      </c>
      <c r="E1727" s="45">
        <v>85029</v>
      </c>
      <c r="F1727" s="45" t="s">
        <v>4317</v>
      </c>
      <c r="G1727" s="76" t="s">
        <v>4071</v>
      </c>
      <c r="H1727" s="80" t="s">
        <v>21</v>
      </c>
      <c r="I1727" s="81"/>
      <c r="J1727" s="81"/>
      <c r="K1727" s="81"/>
      <c r="L1727" s="81"/>
      <c r="M1727" s="81"/>
      <c r="N1727" s="81"/>
      <c r="O1727" s="81"/>
      <c r="P1727" s="81"/>
      <c r="R1727" s="45"/>
      <c r="S1727" s="45"/>
      <c r="T1727" s="45"/>
      <c r="U1727" s="45"/>
      <c r="V1727" s="45">
        <f>IF(OR(ISNUMBER(SEARCH("unable to locate acct",G1727)),ISNUMBER(SEARCH("unknown",G1727)),ISNUMBER(SEARCH("inactive",G1727)),H1727=""),0,1)</f>
        <v>1</v>
      </c>
    </row>
    <row r="1728" spans="1:23">
      <c r="A1728" s="74">
        <v>46049</v>
      </c>
      <c r="B1728" s="45" t="s">
        <v>4318</v>
      </c>
      <c r="C1728" s="45" t="s">
        <v>4319</v>
      </c>
      <c r="D1728" s="45" t="s">
        <v>1996</v>
      </c>
      <c r="E1728" s="45">
        <v>86335</v>
      </c>
      <c r="F1728" s="45" t="s">
        <v>4320</v>
      </c>
      <c r="G1728" s="76" t="s">
        <v>4071</v>
      </c>
      <c r="H1728" s="80" t="s">
        <v>4321</v>
      </c>
      <c r="I1728" s="81" t="s">
        <v>190</v>
      </c>
      <c r="J1728" s="81" t="s">
        <v>31</v>
      </c>
      <c r="K1728" s="81" t="s">
        <v>31</v>
      </c>
      <c r="L1728" s="81" t="s">
        <v>4322</v>
      </c>
      <c r="M1728" s="81" t="s">
        <v>31</v>
      </c>
      <c r="N1728" s="81" t="s">
        <v>31</v>
      </c>
      <c r="O1728" s="81" t="s">
        <v>32</v>
      </c>
      <c r="P1728" s="81" t="s">
        <v>33</v>
      </c>
      <c r="Q1728" s="2">
        <v>46057</v>
      </c>
      <c r="R1728" s="45"/>
      <c r="S1728" s="45"/>
      <c r="T1728" s="45"/>
      <c r="U1728" s="45"/>
      <c r="V1728" s="45">
        <f>IF(OR(ISNUMBER(SEARCH("unable to locate acct",G1728)),ISNUMBER(SEARCH("unknown",G1728)),ISNUMBER(SEARCH("inactive",G1728)),H1728=""),0,1)</f>
        <v>1</v>
      </c>
    </row>
    <row r="1729" spans="1:23">
      <c r="A1729" s="74">
        <v>46049</v>
      </c>
      <c r="B1729" s="45" t="s">
        <v>4323</v>
      </c>
      <c r="C1729" s="45" t="s">
        <v>2011</v>
      </c>
      <c r="D1729" s="45" t="s">
        <v>57</v>
      </c>
      <c r="E1729" s="45">
        <v>85022</v>
      </c>
      <c r="F1729" s="45" t="s">
        <v>4324</v>
      </c>
      <c r="G1729" s="76" t="s">
        <v>4071</v>
      </c>
      <c r="H1729" s="80" t="s">
        <v>4325</v>
      </c>
      <c r="I1729" s="81" t="s">
        <v>3676</v>
      </c>
      <c r="J1729" s="81" t="s">
        <v>31</v>
      </c>
      <c r="K1729" s="81" t="s">
        <v>31</v>
      </c>
      <c r="L1729" s="81" t="s">
        <v>3543</v>
      </c>
      <c r="M1729" s="81" t="s">
        <v>31</v>
      </c>
      <c r="N1729" s="81" t="s">
        <v>31</v>
      </c>
      <c r="O1729" s="81" t="s">
        <v>32</v>
      </c>
      <c r="P1729" s="81" t="s">
        <v>33</v>
      </c>
      <c r="Q1729" s="2">
        <v>46057</v>
      </c>
      <c r="R1729" s="45"/>
      <c r="S1729" s="45"/>
      <c r="T1729" s="45"/>
      <c r="U1729" s="45"/>
      <c r="V1729" s="45">
        <f>IF(OR(ISNUMBER(SEARCH("unable to locate acct",G1729)),ISNUMBER(SEARCH("unknown",G1729)),ISNUMBER(SEARCH("inactive",G1729)),H1729=""),0,1)</f>
        <v>1</v>
      </c>
    </row>
    <row r="1730" spans="1:23">
      <c r="A1730" s="74">
        <v>46049</v>
      </c>
      <c r="B1730" s="45" t="s">
        <v>2634</v>
      </c>
      <c r="C1730" s="45" t="s">
        <v>391</v>
      </c>
      <c r="D1730" s="45" t="s">
        <v>258</v>
      </c>
      <c r="E1730" s="45">
        <v>85541</v>
      </c>
      <c r="F1730" s="45" t="s">
        <v>4326</v>
      </c>
      <c r="G1730" s="76" t="s">
        <v>4071</v>
      </c>
      <c r="H1730" s="80" t="s">
        <v>4327</v>
      </c>
      <c r="I1730" s="81" t="s">
        <v>190</v>
      </c>
      <c r="J1730" s="81" t="s">
        <v>31</v>
      </c>
      <c r="K1730" s="81" t="s">
        <v>31</v>
      </c>
      <c r="L1730" s="81" t="s">
        <v>4328</v>
      </c>
      <c r="M1730" s="81" t="s">
        <v>31</v>
      </c>
      <c r="N1730" s="81" t="s">
        <v>31</v>
      </c>
      <c r="O1730" s="81" t="s">
        <v>32</v>
      </c>
      <c r="P1730" s="81"/>
      <c r="Q1730" s="41">
        <v>46057</v>
      </c>
      <c r="R1730" s="45" t="s">
        <v>3468</v>
      </c>
      <c r="S1730" s="45"/>
      <c r="T1730" s="45"/>
      <c r="U1730" s="45"/>
      <c r="V1730" s="45">
        <f>IF(OR(ISNUMBER(SEARCH("unable to locate acct",G1730)),ISNUMBER(SEARCH("unknown",G1730)),ISNUMBER(SEARCH("inactive",G1730)),H1730=""),0,1)</f>
        <v>1</v>
      </c>
      <c r="W1730" s="32"/>
    </row>
    <row r="1731" spans="1:23">
      <c r="A1731" s="74">
        <v>46049</v>
      </c>
      <c r="B1731" s="45" t="s">
        <v>4329</v>
      </c>
      <c r="C1731" s="45" t="s">
        <v>2063</v>
      </c>
      <c r="D1731" s="45" t="s">
        <v>57</v>
      </c>
      <c r="E1731" s="45">
        <v>85053</v>
      </c>
      <c r="F1731" s="45" t="s">
        <v>4330</v>
      </c>
      <c r="G1731" s="76" t="s">
        <v>4071</v>
      </c>
      <c r="H1731" s="80" t="s">
        <v>4331</v>
      </c>
      <c r="I1731" s="81" t="s">
        <v>40</v>
      </c>
      <c r="J1731" s="81" t="s">
        <v>31</v>
      </c>
      <c r="K1731" s="81" t="s">
        <v>31</v>
      </c>
      <c r="L1731" s="81" t="s">
        <v>32</v>
      </c>
      <c r="M1731" s="81" t="s">
        <v>31</v>
      </c>
      <c r="N1731" s="81" t="s">
        <v>31</v>
      </c>
      <c r="O1731" s="81" t="s">
        <v>32</v>
      </c>
      <c r="P1731" s="81" t="s">
        <v>33</v>
      </c>
      <c r="Q1731" s="2">
        <v>46057</v>
      </c>
      <c r="R1731" s="45"/>
      <c r="S1731" s="45"/>
      <c r="T1731" s="45"/>
      <c r="U1731" s="45"/>
      <c r="V1731" s="45">
        <f>IF(OR(ISNUMBER(SEARCH("unable to locate acct",G1731)),ISNUMBER(SEARCH("unknown",G1731)),ISNUMBER(SEARCH("inactive",G1731)),H1731=""),0,1)</f>
        <v>1</v>
      </c>
    </row>
    <row r="1732" spans="1:23">
      <c r="A1732" s="74">
        <v>46049</v>
      </c>
      <c r="B1732" s="45" t="s">
        <v>4332</v>
      </c>
      <c r="C1732" s="45" t="s">
        <v>4333</v>
      </c>
      <c r="D1732" s="45" t="s">
        <v>196</v>
      </c>
      <c r="E1732" s="45">
        <v>85345</v>
      </c>
      <c r="F1732" s="45" t="s">
        <v>4334</v>
      </c>
      <c r="G1732" s="76" t="s">
        <v>4071</v>
      </c>
      <c r="H1732" s="80" t="s">
        <v>4335</v>
      </c>
      <c r="I1732" s="81" t="s">
        <v>3676</v>
      </c>
      <c r="J1732" s="81" t="s">
        <v>31</v>
      </c>
      <c r="K1732" s="81" t="s">
        <v>31</v>
      </c>
      <c r="L1732" s="81" t="s">
        <v>3543</v>
      </c>
      <c r="M1732" s="81" t="s">
        <v>31</v>
      </c>
      <c r="N1732" s="81" t="s">
        <v>31</v>
      </c>
      <c r="O1732" s="81" t="s">
        <v>32</v>
      </c>
      <c r="P1732" s="81" t="s">
        <v>33</v>
      </c>
      <c r="Q1732" s="2">
        <v>46057</v>
      </c>
      <c r="R1732" s="45"/>
      <c r="S1732" s="45"/>
      <c r="T1732" s="45"/>
      <c r="U1732" s="45"/>
      <c r="V1732" s="45">
        <f>IF(OR(ISNUMBER(SEARCH("unable to locate acct",G1732)),ISNUMBER(SEARCH("unknown",G1732)),ISNUMBER(SEARCH("inactive",G1732)),H1732=""),0,1)</f>
        <v>1</v>
      </c>
    </row>
    <row r="1733" spans="1:23">
      <c r="A1733" s="74">
        <v>46049</v>
      </c>
      <c r="B1733" s="45" t="s">
        <v>4336</v>
      </c>
      <c r="C1733" s="45" t="s">
        <v>111</v>
      </c>
      <c r="D1733" s="45" t="s">
        <v>57</v>
      </c>
      <c r="E1733" s="45">
        <v>85032</v>
      </c>
      <c r="F1733" s="45" t="s">
        <v>4337</v>
      </c>
      <c r="G1733" s="76" t="s">
        <v>4071</v>
      </c>
      <c r="H1733" s="80" t="s">
        <v>5423</v>
      </c>
      <c r="I1733" s="81" t="s">
        <v>30</v>
      </c>
      <c r="J1733" s="81" t="s">
        <v>31</v>
      </c>
      <c r="K1733" s="81" t="s">
        <v>31</v>
      </c>
      <c r="L1733" s="81" t="s">
        <v>32</v>
      </c>
      <c r="M1733" s="81" t="s">
        <v>31</v>
      </c>
      <c r="N1733" s="81" t="s">
        <v>31</v>
      </c>
      <c r="O1733" s="81" t="s">
        <v>32</v>
      </c>
      <c r="P1733" s="81" t="s">
        <v>33</v>
      </c>
      <c r="Q1733" s="2">
        <v>46057</v>
      </c>
      <c r="R1733" s="45"/>
      <c r="S1733" s="45"/>
      <c r="T1733" s="45"/>
      <c r="U1733" s="45"/>
      <c r="V1733" s="45">
        <f>IF(OR(ISNUMBER(SEARCH("unable to locate acct",G1733)),ISNUMBER(SEARCH("unknown",G1733)),ISNUMBER(SEARCH("inactive",G1733)),H1733=""),0,1)</f>
        <v>1</v>
      </c>
    </row>
    <row r="1734" spans="1:23">
      <c r="A1734" s="74">
        <v>46049</v>
      </c>
      <c r="B1734" s="45" t="s">
        <v>4338</v>
      </c>
      <c r="C1734" s="45" t="s">
        <v>4219</v>
      </c>
      <c r="D1734" s="45" t="s">
        <v>420</v>
      </c>
      <c r="E1734" s="45">
        <v>85335</v>
      </c>
      <c r="F1734" s="45" t="s">
        <v>4339</v>
      </c>
      <c r="G1734" s="76" t="s">
        <v>4071</v>
      </c>
      <c r="H1734" s="80" t="s">
        <v>4340</v>
      </c>
      <c r="I1734" s="81" t="s">
        <v>4249</v>
      </c>
      <c r="J1734" s="81" t="s">
        <v>32</v>
      </c>
      <c r="K1734" s="81" t="s">
        <v>31</v>
      </c>
      <c r="L1734" s="81" t="s">
        <v>32</v>
      </c>
      <c r="M1734" s="81" t="s">
        <v>31</v>
      </c>
      <c r="N1734" s="81" t="s">
        <v>31</v>
      </c>
      <c r="O1734" s="81" t="s">
        <v>32</v>
      </c>
      <c r="P1734" s="81" t="s">
        <v>33</v>
      </c>
      <c r="Q1734" s="2">
        <v>46057</v>
      </c>
      <c r="R1734" s="45"/>
      <c r="S1734" s="45"/>
      <c r="T1734" s="45"/>
      <c r="U1734" s="45"/>
      <c r="V1734" s="45">
        <f>IF(OR(ISNUMBER(SEARCH("unable to locate acct",G1734)),ISNUMBER(SEARCH("unknown",G1734)),ISNUMBER(SEARCH("inactive",G1734)),H1734=""),0,1)</f>
        <v>1</v>
      </c>
    </row>
    <row r="1735" spans="1:23">
      <c r="A1735" s="74">
        <v>46049</v>
      </c>
      <c r="B1735" s="45" t="s">
        <v>411</v>
      </c>
      <c r="C1735" s="45" t="s">
        <v>4341</v>
      </c>
      <c r="D1735" s="45" t="s">
        <v>57</v>
      </c>
      <c r="E1735" s="45">
        <v>85050</v>
      </c>
      <c r="F1735" s="45" t="s">
        <v>4342</v>
      </c>
      <c r="G1735" s="76" t="s">
        <v>4071</v>
      </c>
      <c r="H1735" s="80" t="s">
        <v>21</v>
      </c>
      <c r="I1735" s="81"/>
      <c r="J1735" s="81"/>
      <c r="K1735" s="81"/>
      <c r="L1735" s="81"/>
      <c r="M1735" s="81"/>
      <c r="N1735" s="81"/>
      <c r="O1735" s="81"/>
      <c r="P1735" s="81"/>
      <c r="R1735" s="45"/>
      <c r="S1735" s="45"/>
      <c r="T1735" s="45"/>
      <c r="U1735" s="45"/>
      <c r="V1735" s="45">
        <f>IF(OR(ISNUMBER(SEARCH("unable to locate acct",G1735)),ISNUMBER(SEARCH("unknown",G1735)),ISNUMBER(SEARCH("inactive",G1735)),H1735=""),0,1)</f>
        <v>1</v>
      </c>
    </row>
    <row r="1736" spans="1:23">
      <c r="A1736" s="74">
        <v>46049</v>
      </c>
      <c r="B1736" s="45" t="s">
        <v>1657</v>
      </c>
      <c r="C1736" s="45" t="s">
        <v>167</v>
      </c>
      <c r="D1736" s="45" t="s">
        <v>610</v>
      </c>
      <c r="E1736" s="45">
        <v>85367</v>
      </c>
      <c r="F1736" s="45" t="s">
        <v>4343</v>
      </c>
      <c r="G1736" s="76" t="s">
        <v>4071</v>
      </c>
      <c r="H1736" s="80" t="s">
        <v>4344</v>
      </c>
      <c r="I1736" s="81" t="s">
        <v>40</v>
      </c>
      <c r="J1736" s="81" t="s">
        <v>31</v>
      </c>
      <c r="K1736" s="81" t="s">
        <v>31</v>
      </c>
      <c r="L1736" s="81" t="s">
        <v>32</v>
      </c>
      <c r="M1736" s="81" t="s">
        <v>31</v>
      </c>
      <c r="N1736" s="81" t="s">
        <v>31</v>
      </c>
      <c r="O1736" s="81" t="s">
        <v>32</v>
      </c>
      <c r="P1736" s="81" t="s">
        <v>33</v>
      </c>
      <c r="Q1736" s="2">
        <v>46057</v>
      </c>
      <c r="R1736" s="45"/>
      <c r="S1736" s="45"/>
      <c r="T1736" s="45"/>
      <c r="U1736" s="45"/>
      <c r="V1736" s="45">
        <f>IF(OR(ISNUMBER(SEARCH("unable to locate acct",G1736)),ISNUMBER(SEARCH("unknown",G1736)),ISNUMBER(SEARCH("inactive",G1736)),H1736=""),0,1)</f>
        <v>1</v>
      </c>
    </row>
    <row r="1737" spans="1:23">
      <c r="A1737" s="74">
        <v>46049</v>
      </c>
      <c r="B1737" s="45" t="s">
        <v>4345</v>
      </c>
      <c r="C1737" s="45" t="s">
        <v>2631</v>
      </c>
      <c r="D1737" s="45" t="s">
        <v>689</v>
      </c>
      <c r="E1737" s="45">
        <v>85375</v>
      </c>
      <c r="F1737" s="45" t="s">
        <v>4346</v>
      </c>
      <c r="G1737" s="76" t="s">
        <v>4071</v>
      </c>
      <c r="H1737" s="80" t="s">
        <v>4347</v>
      </c>
      <c r="I1737" s="81" t="s">
        <v>40</v>
      </c>
      <c r="J1737" s="81" t="s">
        <v>31</v>
      </c>
      <c r="K1737" s="81" t="s">
        <v>31</v>
      </c>
      <c r="L1737" s="81" t="s">
        <v>32</v>
      </c>
      <c r="M1737" s="81" t="s">
        <v>31</v>
      </c>
      <c r="N1737" s="81" t="s">
        <v>31</v>
      </c>
      <c r="O1737" s="81" t="s">
        <v>32</v>
      </c>
      <c r="P1737" s="81" t="s">
        <v>33</v>
      </c>
      <c r="Q1737" s="2">
        <v>46057</v>
      </c>
      <c r="R1737" s="45"/>
      <c r="S1737" s="45"/>
      <c r="T1737" s="45"/>
      <c r="U1737" s="45"/>
      <c r="V1737" s="45">
        <f>IF(OR(ISNUMBER(SEARCH("unable to locate acct",G1737)),ISNUMBER(SEARCH("unknown",G1737)),ISNUMBER(SEARCH("inactive",G1737)),H1737=""),0,1)</f>
        <v>1</v>
      </c>
    </row>
    <row r="1738" spans="1:23">
      <c r="A1738" s="74">
        <v>46049</v>
      </c>
      <c r="B1738" s="45" t="s">
        <v>4348</v>
      </c>
      <c r="C1738" s="45" t="s">
        <v>2541</v>
      </c>
      <c r="D1738" s="45" t="s">
        <v>4349</v>
      </c>
      <c r="E1738" s="45">
        <v>85379</v>
      </c>
      <c r="F1738" s="45" t="s">
        <v>4350</v>
      </c>
      <c r="G1738" s="76" t="s">
        <v>4071</v>
      </c>
      <c r="H1738" s="80" t="s">
        <v>4351</v>
      </c>
      <c r="I1738" s="81" t="s">
        <v>30</v>
      </c>
      <c r="J1738" s="81" t="s">
        <v>31</v>
      </c>
      <c r="K1738" s="81" t="s">
        <v>31</v>
      </c>
      <c r="L1738" s="81" t="s">
        <v>32</v>
      </c>
      <c r="M1738" s="81" t="s">
        <v>31</v>
      </c>
      <c r="N1738" s="81" t="s">
        <v>31</v>
      </c>
      <c r="O1738" s="81" t="s">
        <v>32</v>
      </c>
      <c r="P1738" s="81" t="s">
        <v>33</v>
      </c>
      <c r="Q1738" s="2">
        <v>46057</v>
      </c>
      <c r="R1738" s="45"/>
      <c r="S1738" s="45"/>
      <c r="T1738" s="45"/>
      <c r="U1738" s="45"/>
      <c r="V1738" s="45">
        <f>IF(OR(ISNUMBER(SEARCH("unable to locate acct",G1738)),ISNUMBER(SEARCH("unknown",G1738)),ISNUMBER(SEARCH("inactive",G1738)),H1738=""),0,1)</f>
        <v>1</v>
      </c>
    </row>
    <row r="1739" spans="1:23">
      <c r="A1739" s="74">
        <v>46049</v>
      </c>
      <c r="B1739" s="45" t="s">
        <v>4352</v>
      </c>
      <c r="C1739" s="45" t="s">
        <v>202</v>
      </c>
      <c r="D1739" s="45" t="s">
        <v>258</v>
      </c>
      <c r="E1739" s="45">
        <v>85541</v>
      </c>
      <c r="F1739" s="45" t="s">
        <v>4353</v>
      </c>
      <c r="G1739" s="76" t="s">
        <v>4071</v>
      </c>
      <c r="H1739" s="80" t="s">
        <v>4354</v>
      </c>
      <c r="I1739" s="81" t="s">
        <v>30</v>
      </c>
      <c r="J1739" s="81" t="s">
        <v>32</v>
      </c>
      <c r="K1739" s="81" t="s">
        <v>31</v>
      </c>
      <c r="L1739" s="81" t="s">
        <v>32</v>
      </c>
      <c r="M1739" s="81" t="s">
        <v>32</v>
      </c>
      <c r="N1739" s="82">
        <v>502.83</v>
      </c>
      <c r="O1739" s="81" t="s">
        <v>32</v>
      </c>
      <c r="P1739" s="81"/>
      <c r="Q1739" s="41">
        <v>46057</v>
      </c>
      <c r="R1739" s="45" t="s">
        <v>3996</v>
      </c>
      <c r="S1739" s="45"/>
      <c r="T1739" s="45"/>
      <c r="U1739" s="45"/>
      <c r="V1739" s="45">
        <f>IF(OR(ISNUMBER(SEARCH("unable to locate acct",G1739)),ISNUMBER(SEARCH("unknown",G1739)),ISNUMBER(SEARCH("inactive",G1739)),H1739=""),0,1)</f>
        <v>1</v>
      </c>
      <c r="W1739" s="32"/>
    </row>
    <row r="1740" spans="1:23">
      <c r="A1740" s="74">
        <v>46049</v>
      </c>
      <c r="B1740" s="45" t="s">
        <v>4355</v>
      </c>
      <c r="C1740" s="45" t="s">
        <v>1281</v>
      </c>
      <c r="D1740" s="45" t="s">
        <v>106</v>
      </c>
      <c r="E1740" s="45">
        <v>85374</v>
      </c>
      <c r="F1740" s="45" t="s">
        <v>4356</v>
      </c>
      <c r="G1740" s="76" t="s">
        <v>4071</v>
      </c>
      <c r="H1740" s="80" t="s">
        <v>4357</v>
      </c>
      <c r="I1740" s="81" t="s">
        <v>30</v>
      </c>
      <c r="J1740" s="81" t="s">
        <v>32</v>
      </c>
      <c r="K1740" s="81" t="s">
        <v>31</v>
      </c>
      <c r="L1740" s="81" t="s">
        <v>32</v>
      </c>
      <c r="M1740" s="81" t="s">
        <v>32</v>
      </c>
      <c r="N1740" s="82">
        <v>2005.59</v>
      </c>
      <c r="O1740" s="81" t="s">
        <v>32</v>
      </c>
      <c r="P1740" s="81"/>
      <c r="Q1740" s="2">
        <v>46057</v>
      </c>
      <c r="R1740" s="45" t="s">
        <v>3996</v>
      </c>
      <c r="S1740" s="45"/>
      <c r="T1740" s="45"/>
      <c r="U1740" s="45"/>
      <c r="V1740" s="45">
        <f>IF(OR(ISNUMBER(SEARCH("unable to locate acct",G1740)),ISNUMBER(SEARCH("unknown",G1740)),ISNUMBER(SEARCH("inactive",G1740)),H1740=""),0,1)</f>
        <v>1</v>
      </c>
    </row>
    <row r="1741" spans="1:23">
      <c r="A1741" s="74">
        <v>46049</v>
      </c>
      <c r="B1741" s="45" t="s">
        <v>2898</v>
      </c>
      <c r="C1741" s="45" t="s">
        <v>4023</v>
      </c>
      <c r="D1741" s="45" t="s">
        <v>1087</v>
      </c>
      <c r="E1741" s="45">
        <v>85607</v>
      </c>
      <c r="F1741" s="45" t="s">
        <v>4358</v>
      </c>
      <c r="G1741" s="76" t="s">
        <v>4071</v>
      </c>
      <c r="H1741" s="80" t="s">
        <v>21</v>
      </c>
      <c r="I1741" s="81"/>
      <c r="J1741" s="81"/>
      <c r="K1741" s="81"/>
      <c r="L1741" s="81"/>
      <c r="M1741" s="81"/>
      <c r="N1741" s="81"/>
      <c r="O1741" s="81"/>
      <c r="P1741" s="81"/>
      <c r="R1741" s="45"/>
      <c r="S1741" s="45"/>
      <c r="T1741" s="45"/>
      <c r="U1741" s="45"/>
      <c r="V1741" s="45">
        <f>IF(OR(ISNUMBER(SEARCH("unable to locate acct",G1741)),ISNUMBER(SEARCH("unknown",G1741)),ISNUMBER(SEARCH("inactive",G1741)),H1741=""),0,1)</f>
        <v>1</v>
      </c>
    </row>
    <row r="1742" spans="1:23">
      <c r="A1742" s="74">
        <v>46049</v>
      </c>
      <c r="B1742" s="45" t="s">
        <v>127</v>
      </c>
      <c r="C1742" s="45" t="s">
        <v>356</v>
      </c>
      <c r="D1742" s="45" t="s">
        <v>420</v>
      </c>
      <c r="E1742" s="45">
        <v>85335</v>
      </c>
      <c r="F1742" s="45" t="s">
        <v>4359</v>
      </c>
      <c r="G1742" s="76" t="s">
        <v>4071</v>
      </c>
      <c r="H1742" s="80" t="s">
        <v>4360</v>
      </c>
      <c r="I1742" s="81" t="s">
        <v>40</v>
      </c>
      <c r="J1742" s="81" t="s">
        <v>32</v>
      </c>
      <c r="K1742" s="81" t="s">
        <v>31</v>
      </c>
      <c r="L1742" s="81" t="s">
        <v>32</v>
      </c>
      <c r="M1742" s="81" t="s">
        <v>31</v>
      </c>
      <c r="N1742" s="81" t="s">
        <v>31</v>
      </c>
      <c r="O1742" s="81" t="s">
        <v>32</v>
      </c>
      <c r="P1742" s="81" t="s">
        <v>33</v>
      </c>
      <c r="Q1742" s="2">
        <v>46057</v>
      </c>
      <c r="R1742" s="45"/>
      <c r="S1742" s="45"/>
      <c r="T1742" s="45"/>
      <c r="U1742" s="45"/>
      <c r="V1742" s="45">
        <f>IF(OR(ISNUMBER(SEARCH("unable to locate acct",G1742)),ISNUMBER(SEARCH("unknown",G1742)),ISNUMBER(SEARCH("inactive",G1742)),H1742=""),0,1)</f>
        <v>1</v>
      </c>
    </row>
    <row r="1743" spans="1:23">
      <c r="A1743" s="74">
        <v>46049</v>
      </c>
      <c r="B1743" s="45" t="s">
        <v>360</v>
      </c>
      <c r="C1743" s="45" t="s">
        <v>360</v>
      </c>
      <c r="D1743" s="45" t="s">
        <v>106</v>
      </c>
      <c r="E1743" s="45">
        <v>85378</v>
      </c>
      <c r="F1743" s="45" t="s">
        <v>4361</v>
      </c>
      <c r="G1743" s="76" t="s">
        <v>4071</v>
      </c>
      <c r="H1743" s="80" t="s">
        <v>21</v>
      </c>
      <c r="I1743" s="81"/>
      <c r="J1743" s="81"/>
      <c r="K1743" s="81"/>
      <c r="L1743" s="81"/>
      <c r="M1743" s="81"/>
      <c r="N1743" s="81"/>
      <c r="O1743" s="81"/>
      <c r="P1743" s="81"/>
      <c r="R1743" s="45"/>
      <c r="S1743" s="45"/>
      <c r="T1743" s="45"/>
      <c r="U1743" s="45"/>
      <c r="V1743" s="45">
        <f>IF(OR(ISNUMBER(SEARCH("unable to locate acct",G1743)),ISNUMBER(SEARCH("unknown",G1743)),ISNUMBER(SEARCH("inactive",G1743)),H1743=""),0,1)</f>
        <v>1</v>
      </c>
    </row>
    <row r="1744" spans="1:23">
      <c r="A1744" s="74">
        <v>46049</v>
      </c>
      <c r="B1744" s="45" t="s">
        <v>3026</v>
      </c>
      <c r="C1744" s="45" t="s">
        <v>4362</v>
      </c>
      <c r="D1744" s="45" t="s">
        <v>1996</v>
      </c>
      <c r="E1744" s="45">
        <v>86335</v>
      </c>
      <c r="F1744" s="45" t="s">
        <v>4363</v>
      </c>
      <c r="G1744" s="76" t="s">
        <v>4071</v>
      </c>
      <c r="H1744" s="80" t="s">
        <v>4364</v>
      </c>
      <c r="I1744" s="81" t="s">
        <v>190</v>
      </c>
      <c r="J1744" s="81" t="s">
        <v>31</v>
      </c>
      <c r="K1744" s="81" t="s">
        <v>31</v>
      </c>
      <c r="L1744" s="81" t="s">
        <v>32</v>
      </c>
      <c r="M1744" s="81" t="s">
        <v>31</v>
      </c>
      <c r="N1744" s="81" t="s">
        <v>31</v>
      </c>
      <c r="O1744" s="81" t="s">
        <v>32</v>
      </c>
      <c r="P1744" s="81" t="s">
        <v>33</v>
      </c>
      <c r="Q1744" s="2">
        <v>46057</v>
      </c>
      <c r="R1744" s="45"/>
      <c r="S1744" s="45"/>
      <c r="T1744" s="45"/>
      <c r="U1744" s="45"/>
      <c r="V1744" s="45">
        <f>IF(OR(ISNUMBER(SEARCH("unable to locate acct",G1744)),ISNUMBER(SEARCH("unknown",G1744)),ISNUMBER(SEARCH("inactive",G1744)),H1744=""),0,1)</f>
        <v>1</v>
      </c>
    </row>
    <row r="1745" spans="1:23">
      <c r="A1745" s="74">
        <v>46049</v>
      </c>
      <c r="B1745" s="45" t="s">
        <v>4365</v>
      </c>
      <c r="C1745" s="45" t="s">
        <v>4366</v>
      </c>
      <c r="D1745" s="45" t="s">
        <v>57</v>
      </c>
      <c r="E1745" s="45">
        <v>85024</v>
      </c>
      <c r="F1745" s="45" t="s">
        <v>4367</v>
      </c>
      <c r="G1745" s="76" t="s">
        <v>4071</v>
      </c>
      <c r="H1745" s="80" t="s">
        <v>4368</v>
      </c>
      <c r="I1745" s="81" t="s">
        <v>30</v>
      </c>
      <c r="J1745" s="81" t="s">
        <v>31</v>
      </c>
      <c r="K1745" s="81" t="s">
        <v>31</v>
      </c>
      <c r="L1745" s="81" t="s">
        <v>32</v>
      </c>
      <c r="M1745" s="81" t="s">
        <v>31</v>
      </c>
      <c r="N1745" s="81" t="s">
        <v>31</v>
      </c>
      <c r="O1745" s="81" t="s">
        <v>32</v>
      </c>
      <c r="P1745" s="81" t="s">
        <v>33</v>
      </c>
      <c r="Q1745" s="2">
        <v>46057</v>
      </c>
      <c r="R1745" s="45"/>
      <c r="S1745" s="45"/>
      <c r="T1745" s="45"/>
      <c r="U1745" s="45"/>
      <c r="V1745" s="45">
        <f>IF(OR(ISNUMBER(SEARCH("unable to locate acct",G1745)),ISNUMBER(SEARCH("unknown",G1745)),ISNUMBER(SEARCH("inactive",G1745)),H1745=""),0,1)</f>
        <v>1</v>
      </c>
    </row>
    <row r="1746" spans="1:23">
      <c r="A1746" s="74">
        <v>46049</v>
      </c>
      <c r="B1746" s="45" t="s">
        <v>1567</v>
      </c>
      <c r="C1746" s="45" t="s">
        <v>1359</v>
      </c>
      <c r="D1746" s="45" t="s">
        <v>57</v>
      </c>
      <c r="E1746" s="45">
        <v>85015</v>
      </c>
      <c r="F1746" s="45" t="s">
        <v>4369</v>
      </c>
      <c r="G1746" s="76" t="s">
        <v>4071</v>
      </c>
      <c r="H1746" s="80" t="s">
        <v>21</v>
      </c>
      <c r="I1746" s="81"/>
      <c r="J1746" s="81"/>
      <c r="K1746" s="81"/>
      <c r="L1746" s="81"/>
      <c r="M1746" s="81"/>
      <c r="N1746" s="81"/>
      <c r="O1746" s="81"/>
      <c r="P1746" s="81"/>
      <c r="R1746" s="45"/>
      <c r="S1746" s="45"/>
      <c r="T1746" s="45"/>
      <c r="U1746" s="45"/>
      <c r="V1746" s="45">
        <f>IF(OR(ISNUMBER(SEARCH("unable to locate acct",G1746)),ISNUMBER(SEARCH("unknown",G1746)),ISNUMBER(SEARCH("inactive",G1746)),H1746=""),0,1)</f>
        <v>1</v>
      </c>
    </row>
    <row r="1747" spans="1:23">
      <c r="A1747" s="74">
        <v>46049</v>
      </c>
      <c r="B1747" s="45" t="s">
        <v>4370</v>
      </c>
      <c r="C1747" s="45" t="s">
        <v>4371</v>
      </c>
      <c r="D1747" s="45" t="s">
        <v>3642</v>
      </c>
      <c r="E1747" s="45">
        <v>86047</v>
      </c>
      <c r="F1747" s="45" t="s">
        <v>4372</v>
      </c>
      <c r="G1747" s="76" t="s">
        <v>4071</v>
      </c>
      <c r="H1747" s="80" t="s">
        <v>4373</v>
      </c>
      <c r="I1747" s="81" t="s">
        <v>67</v>
      </c>
      <c r="J1747" s="81" t="s">
        <v>31</v>
      </c>
      <c r="K1747" s="81" t="s">
        <v>31</v>
      </c>
      <c r="L1747" s="81" t="s">
        <v>4374</v>
      </c>
      <c r="M1747" s="81" t="s">
        <v>31</v>
      </c>
      <c r="N1747" s="81" t="s">
        <v>31</v>
      </c>
      <c r="O1747" s="81" t="s">
        <v>32</v>
      </c>
      <c r="P1747" s="81"/>
      <c r="Q1747" s="41">
        <v>46057</v>
      </c>
      <c r="R1747" s="45" t="s">
        <v>3468</v>
      </c>
      <c r="S1747" s="45"/>
      <c r="T1747" s="45"/>
      <c r="U1747" s="45"/>
      <c r="V1747" s="45">
        <f>IF(OR(ISNUMBER(SEARCH("unable to locate acct",G1747)),ISNUMBER(SEARCH("unknown",G1747)),ISNUMBER(SEARCH("inactive",G1747)),H1747=""),0,1)</f>
        <v>1</v>
      </c>
      <c r="W1747" s="32"/>
    </row>
    <row r="1748" spans="1:23">
      <c r="A1748" s="74">
        <v>46049</v>
      </c>
      <c r="B1748" s="45" t="s">
        <v>4375</v>
      </c>
      <c r="C1748" s="45" t="s">
        <v>768</v>
      </c>
      <c r="D1748" s="45" t="s">
        <v>163</v>
      </c>
      <c r="E1748" s="45">
        <v>85338</v>
      </c>
      <c r="F1748" s="45" t="s">
        <v>4376</v>
      </c>
      <c r="G1748" s="76" t="s">
        <v>4071</v>
      </c>
      <c r="H1748" s="80" t="s">
        <v>4377</v>
      </c>
      <c r="I1748" s="81" t="s">
        <v>30</v>
      </c>
      <c r="J1748" s="81" t="s">
        <v>31</v>
      </c>
      <c r="K1748" s="81" t="s">
        <v>31</v>
      </c>
      <c r="L1748" s="81" t="s">
        <v>32</v>
      </c>
      <c r="M1748" s="81" t="s">
        <v>31</v>
      </c>
      <c r="N1748" s="81" t="s">
        <v>31</v>
      </c>
      <c r="O1748" s="81" t="s">
        <v>32</v>
      </c>
      <c r="P1748" s="81" t="s">
        <v>33</v>
      </c>
      <c r="Q1748" s="2">
        <v>46058</v>
      </c>
      <c r="R1748" s="45"/>
      <c r="S1748" s="45"/>
      <c r="T1748" s="45"/>
      <c r="U1748" s="45"/>
      <c r="V1748" s="45">
        <f>IF(OR(ISNUMBER(SEARCH("unable to locate acct",G1748)),ISNUMBER(SEARCH("unknown",G1748)),ISNUMBER(SEARCH("inactive",G1748)),H1748=""),0,1)</f>
        <v>1</v>
      </c>
    </row>
    <row r="1749" spans="1:23">
      <c r="A1749" s="74">
        <v>46049</v>
      </c>
      <c r="B1749" s="45" t="s">
        <v>4378</v>
      </c>
      <c r="C1749" s="45" t="s">
        <v>3019</v>
      </c>
      <c r="D1749" s="45" t="s">
        <v>119</v>
      </c>
      <c r="E1749" s="45">
        <v>85254</v>
      </c>
      <c r="F1749" s="45" t="s">
        <v>4379</v>
      </c>
      <c r="G1749" s="76" t="s">
        <v>4071</v>
      </c>
      <c r="H1749" s="80" t="s">
        <v>4380</v>
      </c>
      <c r="I1749" s="81" t="s">
        <v>30</v>
      </c>
      <c r="J1749" s="81" t="s">
        <v>31</v>
      </c>
      <c r="K1749" s="81" t="s">
        <v>31</v>
      </c>
      <c r="L1749" s="81" t="s">
        <v>32</v>
      </c>
      <c r="M1749" s="81" t="s">
        <v>31</v>
      </c>
      <c r="N1749" s="81" t="s">
        <v>31</v>
      </c>
      <c r="O1749" s="81" t="s">
        <v>32</v>
      </c>
      <c r="P1749" s="81" t="s">
        <v>33</v>
      </c>
      <c r="Q1749" s="2">
        <v>46058</v>
      </c>
      <c r="R1749" s="45"/>
      <c r="S1749" s="45"/>
      <c r="T1749" s="45"/>
      <c r="U1749" s="45"/>
      <c r="V1749" s="45">
        <f>IF(OR(ISNUMBER(SEARCH("unable to locate acct",G1749)),ISNUMBER(SEARCH("unknown",G1749)),ISNUMBER(SEARCH("inactive",G1749)),H1749=""),0,1)</f>
        <v>1</v>
      </c>
    </row>
    <row r="1750" spans="1:23">
      <c r="A1750" s="74">
        <v>46049</v>
      </c>
      <c r="B1750" s="45" t="s">
        <v>4381</v>
      </c>
      <c r="C1750" s="45" t="s">
        <v>3477</v>
      </c>
      <c r="D1750" s="45" t="s">
        <v>610</v>
      </c>
      <c r="E1750" s="45">
        <v>85364</v>
      </c>
      <c r="F1750" s="45" t="s">
        <v>4382</v>
      </c>
      <c r="G1750" s="76" t="s">
        <v>4071</v>
      </c>
      <c r="H1750" s="80" t="s">
        <v>4383</v>
      </c>
      <c r="I1750" s="81" t="s">
        <v>532</v>
      </c>
      <c r="J1750" s="81" t="s">
        <v>31</v>
      </c>
      <c r="K1750" s="81" t="s">
        <v>31</v>
      </c>
      <c r="L1750" s="81" t="s">
        <v>3543</v>
      </c>
      <c r="M1750" s="81" t="s">
        <v>31</v>
      </c>
      <c r="N1750" s="81" t="s">
        <v>31</v>
      </c>
      <c r="O1750" s="81" t="s">
        <v>32</v>
      </c>
      <c r="P1750" s="81" t="s">
        <v>33</v>
      </c>
      <c r="Q1750" s="2">
        <v>46058</v>
      </c>
      <c r="R1750" s="45"/>
      <c r="S1750" s="45"/>
      <c r="T1750" s="45"/>
      <c r="U1750" s="45"/>
      <c r="V1750" s="45">
        <f>IF(OR(ISNUMBER(SEARCH("unable to locate acct",G1750)),ISNUMBER(SEARCH("unknown",G1750)),ISNUMBER(SEARCH("inactive",G1750)),H1750=""),0,1)</f>
        <v>1</v>
      </c>
    </row>
    <row r="1751" spans="1:23">
      <c r="A1751" s="74">
        <v>46049</v>
      </c>
      <c r="B1751" s="45" t="s">
        <v>885</v>
      </c>
      <c r="C1751" s="45" t="s">
        <v>4384</v>
      </c>
      <c r="D1751" s="45" t="s">
        <v>18</v>
      </c>
      <c r="E1751" s="45">
        <v>85304</v>
      </c>
      <c r="F1751" s="45" t="s">
        <v>4385</v>
      </c>
      <c r="G1751" s="76" t="s">
        <v>4071</v>
      </c>
      <c r="H1751" s="80" t="s">
        <v>4386</v>
      </c>
      <c r="I1751" s="81" t="s">
        <v>30</v>
      </c>
      <c r="J1751" s="81" t="s">
        <v>31</v>
      </c>
      <c r="K1751" s="81" t="s">
        <v>31</v>
      </c>
      <c r="L1751" s="81" t="s">
        <v>32</v>
      </c>
      <c r="M1751" s="81" t="s">
        <v>31</v>
      </c>
      <c r="N1751" s="81" t="s">
        <v>31</v>
      </c>
      <c r="O1751" s="81" t="s">
        <v>32</v>
      </c>
      <c r="P1751" s="81" t="s">
        <v>33</v>
      </c>
      <c r="Q1751" s="2">
        <v>46058</v>
      </c>
      <c r="R1751" s="45"/>
      <c r="S1751" s="45"/>
      <c r="T1751" s="45"/>
      <c r="U1751" s="45"/>
      <c r="V1751" s="45">
        <f>IF(OR(ISNUMBER(SEARCH("unable to locate acct",G1751)),ISNUMBER(SEARCH("unknown",G1751)),ISNUMBER(SEARCH("inactive",G1751)),H1751=""),0,1)</f>
        <v>1</v>
      </c>
    </row>
    <row r="1752" spans="1:23">
      <c r="A1752" s="74">
        <v>46049</v>
      </c>
      <c r="B1752" s="45" t="s">
        <v>4387</v>
      </c>
      <c r="C1752" s="45" t="s">
        <v>4388</v>
      </c>
      <c r="D1752" s="45" t="s">
        <v>168</v>
      </c>
      <c r="E1752" s="45">
        <v>85326</v>
      </c>
      <c r="F1752" s="45" t="s">
        <v>4389</v>
      </c>
      <c r="G1752" s="76" t="s">
        <v>4071</v>
      </c>
      <c r="H1752" s="80" t="s">
        <v>21</v>
      </c>
      <c r="I1752" s="81"/>
      <c r="J1752" s="81"/>
      <c r="K1752" s="81"/>
      <c r="L1752" s="81"/>
      <c r="M1752" s="81"/>
      <c r="N1752" s="81"/>
      <c r="O1752" s="81"/>
      <c r="P1752" s="81"/>
      <c r="R1752" s="45"/>
      <c r="S1752" s="45"/>
      <c r="T1752" s="45"/>
      <c r="U1752" s="45"/>
      <c r="V1752" s="45">
        <f>IF(OR(ISNUMBER(SEARCH("unable to locate acct",G1752)),ISNUMBER(SEARCH("unknown",G1752)),ISNUMBER(SEARCH("inactive",G1752)),H1752=""),0,1)</f>
        <v>1</v>
      </c>
    </row>
    <row r="1753" spans="1:23">
      <c r="A1753" s="74">
        <v>46049</v>
      </c>
      <c r="B1753" s="45" t="s">
        <v>4390</v>
      </c>
      <c r="C1753" s="45" t="s">
        <v>125</v>
      </c>
      <c r="D1753" s="45" t="s">
        <v>57</v>
      </c>
      <c r="E1753" s="45">
        <v>85020</v>
      </c>
      <c r="F1753" s="45" t="s">
        <v>4391</v>
      </c>
      <c r="G1753" s="76" t="s">
        <v>4071</v>
      </c>
      <c r="H1753" s="80" t="s">
        <v>4392</v>
      </c>
      <c r="I1753" s="81" t="s">
        <v>30</v>
      </c>
      <c r="J1753" s="81" t="s">
        <v>31</v>
      </c>
      <c r="K1753" s="81" t="s">
        <v>31</v>
      </c>
      <c r="L1753" s="81" t="s">
        <v>32</v>
      </c>
      <c r="M1753" s="81" t="s">
        <v>32</v>
      </c>
      <c r="N1753" s="82">
        <v>393.41</v>
      </c>
      <c r="O1753" s="81" t="s">
        <v>32</v>
      </c>
      <c r="P1753" s="81"/>
      <c r="Q1753" s="41">
        <v>46058</v>
      </c>
      <c r="R1753" s="45" t="s">
        <v>3996</v>
      </c>
      <c r="S1753" s="45"/>
      <c r="T1753" s="45"/>
      <c r="U1753" s="45"/>
      <c r="V1753" s="45">
        <f>IF(OR(ISNUMBER(SEARCH("unable to locate acct",G1753)),ISNUMBER(SEARCH("unknown",G1753)),ISNUMBER(SEARCH("inactive",G1753)),H1753=""),0,1)</f>
        <v>1</v>
      </c>
      <c r="W1753" s="32"/>
    </row>
    <row r="1754" spans="1:23">
      <c r="A1754" s="74">
        <v>46049</v>
      </c>
      <c r="B1754" s="45" t="s">
        <v>4393</v>
      </c>
      <c r="C1754" s="45" t="s">
        <v>36</v>
      </c>
      <c r="D1754" s="45" t="s">
        <v>3067</v>
      </c>
      <c r="E1754" s="45">
        <v>86337</v>
      </c>
      <c r="F1754" s="45" t="s">
        <v>4394</v>
      </c>
      <c r="G1754" s="76" t="s">
        <v>4071</v>
      </c>
      <c r="H1754" s="80" t="s">
        <v>21</v>
      </c>
      <c r="I1754" s="81"/>
      <c r="J1754" s="81"/>
      <c r="K1754" s="81"/>
      <c r="L1754" s="81"/>
      <c r="M1754" s="81"/>
      <c r="N1754" s="81"/>
      <c r="O1754" s="81"/>
      <c r="P1754" s="81"/>
      <c r="R1754" s="45"/>
      <c r="S1754" s="45"/>
      <c r="T1754" s="45"/>
      <c r="U1754" s="45"/>
      <c r="V1754" s="45">
        <f>IF(OR(ISNUMBER(SEARCH("unable to locate acct",G1754)),ISNUMBER(SEARCH("unknown",G1754)),ISNUMBER(SEARCH("inactive",G1754)),H1754=""),0,1)</f>
        <v>1</v>
      </c>
    </row>
    <row r="1755" spans="1:23">
      <c r="A1755" s="74">
        <v>46049</v>
      </c>
      <c r="B1755" s="45" t="s">
        <v>4395</v>
      </c>
      <c r="C1755" s="45" t="s">
        <v>1549</v>
      </c>
      <c r="D1755" s="45" t="s">
        <v>57</v>
      </c>
      <c r="E1755" s="45">
        <v>85028</v>
      </c>
      <c r="F1755" s="45" t="s">
        <v>4396</v>
      </c>
      <c r="G1755" s="76" t="s">
        <v>4071</v>
      </c>
      <c r="H1755" s="80" t="s">
        <v>4397</v>
      </c>
      <c r="I1755" s="81" t="s">
        <v>30</v>
      </c>
      <c r="J1755" s="81" t="s">
        <v>31</v>
      </c>
      <c r="K1755" s="81" t="s">
        <v>31</v>
      </c>
      <c r="L1755" s="81" t="s">
        <v>32</v>
      </c>
      <c r="M1755" s="81" t="s">
        <v>31</v>
      </c>
      <c r="N1755" s="81" t="s">
        <v>31</v>
      </c>
      <c r="O1755" s="81" t="s">
        <v>32</v>
      </c>
      <c r="P1755" s="81" t="s">
        <v>33</v>
      </c>
      <c r="Q1755" s="2">
        <v>46058</v>
      </c>
      <c r="R1755" s="45"/>
      <c r="S1755" s="45"/>
      <c r="T1755" s="45"/>
      <c r="U1755" s="45"/>
      <c r="V1755" s="45">
        <f>IF(OR(ISNUMBER(SEARCH("unable to locate acct",G1755)),ISNUMBER(SEARCH("unknown",G1755)),ISNUMBER(SEARCH("inactive",G1755)),H1755=""),0,1)</f>
        <v>1</v>
      </c>
    </row>
    <row r="1756" spans="1:23">
      <c r="A1756" s="74">
        <v>46049</v>
      </c>
      <c r="B1756" s="45" t="s">
        <v>4398</v>
      </c>
      <c r="C1756" s="45" t="s">
        <v>412</v>
      </c>
      <c r="D1756" s="45" t="s">
        <v>57</v>
      </c>
      <c r="E1756" s="45">
        <v>85022</v>
      </c>
      <c r="F1756" s="45" t="s">
        <v>4399</v>
      </c>
      <c r="G1756" s="76" t="s">
        <v>4071</v>
      </c>
      <c r="H1756" s="80" t="s">
        <v>21</v>
      </c>
      <c r="I1756" s="81"/>
      <c r="J1756" s="81"/>
      <c r="K1756" s="81"/>
      <c r="L1756" s="81"/>
      <c r="M1756" s="81"/>
      <c r="N1756" s="81"/>
      <c r="O1756" s="81"/>
      <c r="P1756" s="81"/>
      <c r="R1756" s="45"/>
      <c r="S1756" s="45"/>
      <c r="T1756" s="45"/>
      <c r="U1756" s="45"/>
      <c r="V1756" s="45">
        <f>IF(OR(ISNUMBER(SEARCH("unable to locate acct",G1756)),ISNUMBER(SEARCH("unknown",G1756)),ISNUMBER(SEARCH("inactive",G1756)),H1756=""),0,1)</f>
        <v>1</v>
      </c>
    </row>
    <row r="1757" spans="1:23">
      <c r="A1757" s="74">
        <v>46049</v>
      </c>
      <c r="B1757" s="45" t="s">
        <v>779</v>
      </c>
      <c r="C1757" s="45" t="s">
        <v>129</v>
      </c>
      <c r="D1757" s="45" t="s">
        <v>255</v>
      </c>
      <c r="E1757" s="45">
        <v>86315</v>
      </c>
      <c r="F1757" s="45" t="s">
        <v>4400</v>
      </c>
      <c r="G1757" s="76" t="s">
        <v>4071</v>
      </c>
      <c r="H1757" s="80" t="s">
        <v>5424</v>
      </c>
      <c r="I1757" s="81" t="s">
        <v>67</v>
      </c>
      <c r="J1757" s="81" t="s">
        <v>31</v>
      </c>
      <c r="K1757" s="81" t="s">
        <v>31</v>
      </c>
      <c r="L1757" s="81" t="s">
        <v>32</v>
      </c>
      <c r="M1757" s="81" t="s">
        <v>31</v>
      </c>
      <c r="N1757" s="81" t="s">
        <v>31</v>
      </c>
      <c r="O1757" s="81" t="s">
        <v>32</v>
      </c>
      <c r="P1757" s="81" t="s">
        <v>33</v>
      </c>
      <c r="Q1757" s="2">
        <v>46058</v>
      </c>
      <c r="R1757" s="45"/>
      <c r="S1757" s="45"/>
      <c r="T1757" s="45"/>
      <c r="U1757" s="45"/>
      <c r="V1757" s="45">
        <f>IF(OR(ISNUMBER(SEARCH("unable to locate acct",G1757)),ISNUMBER(SEARCH("unknown",G1757)),ISNUMBER(SEARCH("inactive",G1757)),H1757=""),0,1)</f>
        <v>1</v>
      </c>
    </row>
    <row r="1758" spans="1:23">
      <c r="A1758" s="74">
        <v>46049</v>
      </c>
      <c r="B1758" s="45" t="s">
        <v>1033</v>
      </c>
      <c r="C1758" s="45" t="s">
        <v>125</v>
      </c>
      <c r="D1758" s="45" t="s">
        <v>610</v>
      </c>
      <c r="E1758" s="45">
        <v>85365</v>
      </c>
      <c r="F1758" s="45" t="s">
        <v>4401</v>
      </c>
      <c r="G1758" s="76" t="s">
        <v>4071</v>
      </c>
      <c r="H1758" s="80" t="s">
        <v>4402</v>
      </c>
      <c r="I1758" s="81" t="s">
        <v>30</v>
      </c>
      <c r="J1758" s="81" t="s">
        <v>32</v>
      </c>
      <c r="K1758" s="81" t="s">
        <v>31</v>
      </c>
      <c r="L1758" s="81" t="s">
        <v>32</v>
      </c>
      <c r="M1758" s="81" t="s">
        <v>31</v>
      </c>
      <c r="N1758" s="81" t="s">
        <v>31</v>
      </c>
      <c r="O1758" s="81" t="s">
        <v>32</v>
      </c>
      <c r="P1758" s="81" t="s">
        <v>33</v>
      </c>
      <c r="Q1758" s="2">
        <v>46058</v>
      </c>
      <c r="R1758" s="45"/>
      <c r="S1758" s="45"/>
      <c r="T1758" s="45"/>
      <c r="U1758" s="45"/>
      <c r="V1758" s="45">
        <f>IF(OR(ISNUMBER(SEARCH("unable to locate acct",G1758)),ISNUMBER(SEARCH("unknown",G1758)),ISNUMBER(SEARCH("inactive",G1758)),H1758=""),0,1)</f>
        <v>1</v>
      </c>
    </row>
    <row r="1759" spans="1:23">
      <c r="A1759" s="74">
        <v>46049</v>
      </c>
      <c r="B1759" s="45" t="s">
        <v>4403</v>
      </c>
      <c r="C1759" s="45" t="s">
        <v>4404</v>
      </c>
      <c r="D1759" s="45" t="s">
        <v>57</v>
      </c>
      <c r="E1759" s="45">
        <v>85085</v>
      </c>
      <c r="F1759" s="45" t="s">
        <v>4405</v>
      </c>
      <c r="G1759" s="76" t="s">
        <v>4071</v>
      </c>
      <c r="H1759" s="80" t="s">
        <v>21</v>
      </c>
      <c r="I1759" s="81"/>
      <c r="J1759" s="81"/>
      <c r="K1759" s="81"/>
      <c r="L1759" s="81"/>
      <c r="M1759" s="81"/>
      <c r="N1759" s="81"/>
      <c r="O1759" s="81"/>
      <c r="P1759" s="81"/>
      <c r="R1759" s="45"/>
      <c r="S1759" s="45"/>
      <c r="T1759" s="45"/>
      <c r="U1759" s="45"/>
      <c r="V1759" s="45">
        <f>IF(OR(ISNUMBER(SEARCH("unable to locate acct",G1759)),ISNUMBER(SEARCH("unknown",G1759)),ISNUMBER(SEARCH("inactive",G1759)),H1759=""),0,1)</f>
        <v>1</v>
      </c>
    </row>
    <row r="1760" spans="1:23">
      <c r="A1760" s="74">
        <v>46049</v>
      </c>
      <c r="B1760" s="45" t="s">
        <v>893</v>
      </c>
      <c r="C1760" s="45" t="s">
        <v>4406</v>
      </c>
      <c r="D1760" s="45" t="s">
        <v>1897</v>
      </c>
      <c r="E1760" s="45">
        <v>85321</v>
      </c>
      <c r="F1760" s="45" t="s">
        <v>4407</v>
      </c>
      <c r="G1760" s="76" t="s">
        <v>4071</v>
      </c>
      <c r="H1760" s="80" t="s">
        <v>4408</v>
      </c>
      <c r="I1760" s="81" t="s">
        <v>67</v>
      </c>
      <c r="J1760" s="81" t="s">
        <v>31</v>
      </c>
      <c r="K1760" s="81" t="s">
        <v>31</v>
      </c>
      <c r="L1760" s="81" t="s">
        <v>32</v>
      </c>
      <c r="M1760" s="81" t="s">
        <v>31</v>
      </c>
      <c r="N1760" s="81" t="s">
        <v>31</v>
      </c>
      <c r="O1760" s="81" t="s">
        <v>32</v>
      </c>
      <c r="P1760" s="81" t="s">
        <v>33</v>
      </c>
      <c r="Q1760" s="2">
        <v>46058</v>
      </c>
      <c r="R1760" s="45"/>
      <c r="S1760" s="45"/>
      <c r="T1760" s="45"/>
      <c r="U1760" s="45"/>
      <c r="V1760" s="45">
        <f>IF(OR(ISNUMBER(SEARCH("unable to locate acct",G1760)),ISNUMBER(SEARCH("unknown",G1760)),ISNUMBER(SEARCH("inactive",G1760)),H1760=""),0,1)</f>
        <v>1</v>
      </c>
    </row>
    <row r="1761" spans="1:23">
      <c r="A1761" s="74">
        <v>46049</v>
      </c>
      <c r="B1761" s="45" t="s">
        <v>4409</v>
      </c>
      <c r="C1761" s="45" t="s">
        <v>2879</v>
      </c>
      <c r="D1761" s="45" t="s">
        <v>404</v>
      </c>
      <c r="E1761" s="45">
        <v>85123</v>
      </c>
      <c r="F1761" s="45" t="s">
        <v>4410</v>
      </c>
      <c r="G1761" s="76" t="s">
        <v>4071</v>
      </c>
      <c r="H1761" s="80" t="s">
        <v>5425</v>
      </c>
      <c r="I1761" s="81" t="s">
        <v>30</v>
      </c>
      <c r="J1761" s="81" t="s">
        <v>31</v>
      </c>
      <c r="K1761" s="81" t="s">
        <v>31</v>
      </c>
      <c r="L1761" s="81" t="s">
        <v>32</v>
      </c>
      <c r="M1761" s="81" t="s">
        <v>31</v>
      </c>
      <c r="N1761" s="81" t="s">
        <v>31</v>
      </c>
      <c r="O1761" s="81" t="s">
        <v>32</v>
      </c>
      <c r="P1761" s="81" t="s">
        <v>33</v>
      </c>
      <c r="Q1761" s="2">
        <v>46058</v>
      </c>
      <c r="R1761" s="45"/>
      <c r="S1761" s="45"/>
      <c r="T1761" s="45"/>
      <c r="U1761" s="45"/>
      <c r="V1761" s="45">
        <f>IF(OR(ISNUMBER(SEARCH("unable to locate acct",G1761)),ISNUMBER(SEARCH("unknown",G1761)),ISNUMBER(SEARCH("inactive",G1761)),H1761=""),0,1)</f>
        <v>1</v>
      </c>
    </row>
    <row r="1762" spans="1:23">
      <c r="A1762" s="74">
        <v>46049</v>
      </c>
      <c r="B1762" s="45" t="s">
        <v>885</v>
      </c>
      <c r="C1762" s="45" t="s">
        <v>2541</v>
      </c>
      <c r="D1762" s="45" t="s">
        <v>106</v>
      </c>
      <c r="E1762" s="45">
        <v>85379</v>
      </c>
      <c r="F1762" s="45" t="s">
        <v>4411</v>
      </c>
      <c r="G1762" s="76" t="s">
        <v>4071</v>
      </c>
      <c r="H1762" s="80" t="s">
        <v>4412</v>
      </c>
      <c r="I1762" s="81" t="s">
        <v>30</v>
      </c>
      <c r="J1762" s="81" t="s">
        <v>31</v>
      </c>
      <c r="K1762" s="81" t="s">
        <v>31</v>
      </c>
      <c r="L1762" s="81" t="s">
        <v>32</v>
      </c>
      <c r="M1762" s="81" t="s">
        <v>31</v>
      </c>
      <c r="N1762" s="81" t="s">
        <v>31</v>
      </c>
      <c r="O1762" s="81" t="s">
        <v>32</v>
      </c>
      <c r="P1762" s="81" t="s">
        <v>33</v>
      </c>
      <c r="Q1762" s="2">
        <v>46058</v>
      </c>
      <c r="R1762" s="45"/>
      <c r="S1762" s="45"/>
      <c r="T1762" s="45"/>
      <c r="U1762" s="45"/>
      <c r="V1762" s="45">
        <f>IF(OR(ISNUMBER(SEARCH("unable to locate acct",G1762)),ISNUMBER(SEARCH("unknown",G1762)),ISNUMBER(SEARCH("inactive",G1762)),H1762=""),0,1)</f>
        <v>1</v>
      </c>
    </row>
    <row r="1763" spans="1:23">
      <c r="A1763" s="74">
        <v>46049</v>
      </c>
      <c r="B1763" s="45" t="s">
        <v>2489</v>
      </c>
      <c r="C1763" s="45" t="s">
        <v>2586</v>
      </c>
      <c r="D1763" s="45" t="s">
        <v>4413</v>
      </c>
      <c r="E1763" s="45">
        <v>86334</v>
      </c>
      <c r="F1763" s="45" t="s">
        <v>4414</v>
      </c>
      <c r="G1763" s="76" t="s">
        <v>4071</v>
      </c>
      <c r="H1763" s="80" t="s">
        <v>4415</v>
      </c>
      <c r="I1763" s="81" t="s">
        <v>40</v>
      </c>
      <c r="J1763" s="81" t="s">
        <v>31</v>
      </c>
      <c r="K1763" s="81" t="s">
        <v>31</v>
      </c>
      <c r="L1763" s="81" t="s">
        <v>32</v>
      </c>
      <c r="M1763" s="81" t="s">
        <v>31</v>
      </c>
      <c r="N1763" s="81" t="s">
        <v>31</v>
      </c>
      <c r="O1763" s="81" t="s">
        <v>32</v>
      </c>
      <c r="P1763" s="81" t="s">
        <v>33</v>
      </c>
      <c r="Q1763" s="2">
        <v>46058</v>
      </c>
      <c r="R1763" s="45"/>
      <c r="S1763" s="45"/>
      <c r="T1763" s="45"/>
      <c r="U1763" s="45"/>
      <c r="V1763" s="45">
        <f>IF(OR(ISNUMBER(SEARCH("unable to locate acct",G1763)),ISNUMBER(SEARCH("unknown",G1763)),ISNUMBER(SEARCH("inactive",G1763)),H1763=""),0,1)</f>
        <v>1</v>
      </c>
    </row>
    <row r="1764" spans="1:23">
      <c r="A1764" s="74">
        <v>46049</v>
      </c>
      <c r="B1764" s="45" t="s">
        <v>1696</v>
      </c>
      <c r="C1764" s="45" t="s">
        <v>4416</v>
      </c>
      <c r="D1764" s="45" t="s">
        <v>57</v>
      </c>
      <c r="E1764" s="45">
        <v>85023</v>
      </c>
      <c r="F1764" s="45" t="s">
        <v>4417</v>
      </c>
      <c r="G1764" s="76" t="s">
        <v>4071</v>
      </c>
      <c r="H1764" s="80" t="s">
        <v>4418</v>
      </c>
      <c r="I1764" s="81" t="s">
        <v>30</v>
      </c>
      <c r="J1764" s="81" t="s">
        <v>32</v>
      </c>
      <c r="K1764" s="81" t="s">
        <v>31</v>
      </c>
      <c r="L1764" s="81" t="s">
        <v>32</v>
      </c>
      <c r="M1764" s="81" t="s">
        <v>31</v>
      </c>
      <c r="N1764" s="81" t="s">
        <v>31</v>
      </c>
      <c r="O1764" s="81" t="s">
        <v>32</v>
      </c>
      <c r="P1764" s="81" t="s">
        <v>33</v>
      </c>
      <c r="Q1764" s="2">
        <v>46058</v>
      </c>
      <c r="R1764" s="45"/>
      <c r="S1764" s="45"/>
      <c r="T1764" s="45"/>
      <c r="U1764" s="45"/>
      <c r="V1764" s="45">
        <f>IF(OR(ISNUMBER(SEARCH("unable to locate acct",G1764)),ISNUMBER(SEARCH("unknown",G1764)),ISNUMBER(SEARCH("inactive",G1764)),H1764=""),0,1)</f>
        <v>1</v>
      </c>
    </row>
    <row r="1765" spans="1:23">
      <c r="A1765" s="74">
        <v>46049</v>
      </c>
      <c r="B1765" s="45" t="s">
        <v>4419</v>
      </c>
      <c r="C1765" s="45" t="s">
        <v>4420</v>
      </c>
      <c r="D1765" s="45" t="s">
        <v>119</v>
      </c>
      <c r="E1765" s="45">
        <v>85260</v>
      </c>
      <c r="F1765" s="45" t="s">
        <v>4421</v>
      </c>
      <c r="G1765" s="76" t="s">
        <v>4071</v>
      </c>
      <c r="H1765" s="80" t="s">
        <v>21</v>
      </c>
      <c r="I1765" s="81"/>
      <c r="J1765" s="81"/>
      <c r="K1765" s="81"/>
      <c r="L1765" s="81"/>
      <c r="M1765" s="81"/>
      <c r="N1765" s="81"/>
      <c r="O1765" s="81"/>
      <c r="P1765" s="81"/>
      <c r="R1765" s="45"/>
      <c r="S1765" s="45"/>
      <c r="T1765" s="45"/>
      <c r="U1765" s="45"/>
      <c r="V1765" s="45">
        <f>IF(OR(ISNUMBER(SEARCH("unable to locate acct",G1765)),ISNUMBER(SEARCH("unknown",G1765)),ISNUMBER(SEARCH("inactive",G1765)),H1765=""),0,1)</f>
        <v>1</v>
      </c>
    </row>
    <row r="1766" spans="1:23">
      <c r="A1766" s="74">
        <v>46049</v>
      </c>
      <c r="B1766" s="45" t="s">
        <v>2827</v>
      </c>
      <c r="C1766" s="45" t="s">
        <v>688</v>
      </c>
      <c r="D1766" s="45" t="s">
        <v>2941</v>
      </c>
      <c r="E1766" s="45">
        <v>86324</v>
      </c>
      <c r="F1766" s="45" t="s">
        <v>4422</v>
      </c>
      <c r="G1766" s="76" t="s">
        <v>4071</v>
      </c>
      <c r="H1766" s="80" t="s">
        <v>21</v>
      </c>
      <c r="I1766" s="81"/>
      <c r="J1766" s="81"/>
      <c r="K1766" s="81"/>
      <c r="L1766" s="81"/>
      <c r="M1766" s="81"/>
      <c r="N1766" s="81"/>
      <c r="O1766" s="81"/>
      <c r="P1766" s="81"/>
      <c r="R1766" s="45"/>
      <c r="S1766" s="45"/>
      <c r="T1766" s="45"/>
      <c r="U1766" s="45"/>
      <c r="V1766" s="45">
        <f>IF(OR(ISNUMBER(SEARCH("unable to locate acct",G1766)),ISNUMBER(SEARCH("unknown",G1766)),ISNUMBER(SEARCH("inactive",G1766)),H1766=""),0,1)</f>
        <v>1</v>
      </c>
    </row>
    <row r="1767" spans="1:23">
      <c r="A1767" s="74">
        <v>46049</v>
      </c>
      <c r="B1767" s="45" t="s">
        <v>4423</v>
      </c>
      <c r="C1767" s="45" t="s">
        <v>4424</v>
      </c>
      <c r="D1767" s="45" t="s">
        <v>106</v>
      </c>
      <c r="E1767" s="45">
        <v>85388</v>
      </c>
      <c r="F1767" s="45" t="s">
        <v>4425</v>
      </c>
      <c r="G1767" s="76" t="s">
        <v>4071</v>
      </c>
      <c r="H1767" s="80" t="s">
        <v>4426</v>
      </c>
      <c r="I1767" s="81" t="s">
        <v>30</v>
      </c>
      <c r="J1767" s="81" t="s">
        <v>31</v>
      </c>
      <c r="K1767" s="81" t="s">
        <v>31</v>
      </c>
      <c r="L1767" s="81" t="s">
        <v>32</v>
      </c>
      <c r="M1767" s="81" t="s">
        <v>31</v>
      </c>
      <c r="N1767" s="81" t="s">
        <v>31</v>
      </c>
      <c r="O1767" s="81" t="s">
        <v>32</v>
      </c>
      <c r="P1767" s="81" t="s">
        <v>33</v>
      </c>
      <c r="Q1767" s="2">
        <v>46058</v>
      </c>
      <c r="R1767" s="45"/>
      <c r="S1767" s="45"/>
      <c r="T1767" s="45"/>
      <c r="U1767" s="45"/>
      <c r="V1767" s="45">
        <f>IF(OR(ISNUMBER(SEARCH("unable to locate acct",G1767)),ISNUMBER(SEARCH("unknown",G1767)),ISNUMBER(SEARCH("inactive",G1767)),H1767=""),0,1)</f>
        <v>1</v>
      </c>
    </row>
    <row r="1768" spans="1:23">
      <c r="A1768" s="74">
        <v>46049</v>
      </c>
      <c r="B1768" s="45" t="s">
        <v>2313</v>
      </c>
      <c r="C1768" s="45" t="s">
        <v>4427</v>
      </c>
      <c r="D1768" s="45" t="s">
        <v>972</v>
      </c>
      <c r="E1768" s="45">
        <v>85268</v>
      </c>
      <c r="F1768" s="45" t="s">
        <v>4428</v>
      </c>
      <c r="G1768" s="76" t="s">
        <v>4071</v>
      </c>
      <c r="H1768" s="80" t="s">
        <v>21</v>
      </c>
      <c r="I1768" s="81"/>
      <c r="J1768" s="81"/>
      <c r="K1768" s="81"/>
      <c r="L1768" s="81"/>
      <c r="M1768" s="81"/>
      <c r="N1768" s="81"/>
      <c r="O1768" s="81"/>
      <c r="P1768" s="81"/>
      <c r="R1768" s="45"/>
      <c r="S1768" s="45"/>
      <c r="T1768" s="45"/>
      <c r="U1768" s="45"/>
      <c r="V1768" s="45">
        <f>IF(OR(ISNUMBER(SEARCH("unable to locate acct",G1768)),ISNUMBER(SEARCH("unknown",G1768)),ISNUMBER(SEARCH("inactive",G1768)),H1768=""),0,1)</f>
        <v>1</v>
      </c>
    </row>
    <row r="1769" spans="1:23">
      <c r="A1769" s="74">
        <v>46049</v>
      </c>
      <c r="B1769" s="45" t="s">
        <v>4429</v>
      </c>
      <c r="C1769" s="45" t="s">
        <v>4430</v>
      </c>
      <c r="D1769" s="45" t="s">
        <v>258</v>
      </c>
      <c r="E1769" s="45">
        <v>85541</v>
      </c>
      <c r="F1769" s="45" t="s">
        <v>4431</v>
      </c>
      <c r="G1769" s="76" t="s">
        <v>4071</v>
      </c>
      <c r="H1769" s="80" t="s">
        <v>21</v>
      </c>
      <c r="I1769" s="81"/>
      <c r="J1769" s="81"/>
      <c r="K1769" s="81"/>
      <c r="L1769" s="81"/>
      <c r="M1769" s="81"/>
      <c r="N1769" s="81"/>
      <c r="O1769" s="81"/>
      <c r="P1769" s="81"/>
      <c r="R1769" s="45"/>
      <c r="S1769" s="45"/>
      <c r="T1769" s="45"/>
      <c r="U1769" s="45"/>
      <c r="V1769" s="45">
        <f>IF(OR(ISNUMBER(SEARCH("unable to locate acct",G1769)),ISNUMBER(SEARCH("unknown",G1769)),ISNUMBER(SEARCH("inactive",G1769)),H1769=""),0,1)</f>
        <v>1</v>
      </c>
    </row>
    <row r="1770" spans="1:23">
      <c r="A1770" s="74">
        <v>46049</v>
      </c>
      <c r="B1770" s="45" t="s">
        <v>4432</v>
      </c>
      <c r="C1770" s="45" t="s">
        <v>927</v>
      </c>
      <c r="D1770" s="45" t="s">
        <v>18</v>
      </c>
      <c r="E1770" s="45">
        <v>85303</v>
      </c>
      <c r="F1770" s="45" t="s">
        <v>4433</v>
      </c>
      <c r="G1770" s="76" t="s">
        <v>4071</v>
      </c>
      <c r="H1770" s="80" t="s">
        <v>21</v>
      </c>
      <c r="I1770" s="81"/>
      <c r="J1770" s="81"/>
      <c r="K1770" s="81"/>
      <c r="L1770" s="81"/>
      <c r="M1770" s="81"/>
      <c r="N1770" s="81"/>
      <c r="O1770" s="81"/>
      <c r="P1770" s="81"/>
      <c r="R1770" s="45"/>
      <c r="S1770" s="45"/>
      <c r="T1770" s="45"/>
      <c r="U1770" s="45"/>
      <c r="V1770" s="45">
        <f>IF(OR(ISNUMBER(SEARCH("unable to locate acct",G1770)),ISNUMBER(SEARCH("unknown",G1770)),ISNUMBER(SEARCH("inactive",G1770)),H1770=""),0,1)</f>
        <v>1</v>
      </c>
    </row>
    <row r="1771" spans="1:23">
      <c r="A1771" s="74">
        <v>46049</v>
      </c>
      <c r="B1771" s="45" t="s">
        <v>3652</v>
      </c>
      <c r="C1771" s="45" t="s">
        <v>3744</v>
      </c>
      <c r="D1771" s="45" t="s">
        <v>87</v>
      </c>
      <c r="E1771" s="45">
        <v>85351</v>
      </c>
      <c r="F1771" s="45" t="s">
        <v>4434</v>
      </c>
      <c r="G1771" s="76" t="s">
        <v>4071</v>
      </c>
      <c r="H1771" s="80" t="s">
        <v>4435</v>
      </c>
      <c r="I1771" s="81" t="s">
        <v>3676</v>
      </c>
      <c r="J1771" s="81" t="s">
        <v>31</v>
      </c>
      <c r="K1771" s="81" t="s">
        <v>31</v>
      </c>
      <c r="L1771" s="81" t="s">
        <v>3543</v>
      </c>
      <c r="M1771" s="81" t="s">
        <v>31</v>
      </c>
      <c r="N1771" s="81" t="s">
        <v>31</v>
      </c>
      <c r="O1771" s="81" t="s">
        <v>32</v>
      </c>
      <c r="P1771" s="81" t="s">
        <v>33</v>
      </c>
      <c r="Q1771" s="2">
        <v>46058</v>
      </c>
      <c r="R1771" s="45"/>
      <c r="S1771" s="45"/>
      <c r="T1771" s="45"/>
      <c r="U1771" s="45"/>
      <c r="V1771" s="45">
        <f>IF(OR(ISNUMBER(SEARCH("unable to locate acct",G1771)),ISNUMBER(SEARCH("unknown",G1771)),ISNUMBER(SEARCH("inactive",G1771)),H1771=""),0,1)</f>
        <v>1</v>
      </c>
    </row>
    <row r="1772" spans="1:23">
      <c r="A1772" s="74">
        <v>46049</v>
      </c>
      <c r="B1772" s="45" t="s">
        <v>4436</v>
      </c>
      <c r="C1772" s="45" t="s">
        <v>477</v>
      </c>
      <c r="D1772" s="45" t="s">
        <v>3626</v>
      </c>
      <c r="E1772" s="45">
        <v>85086</v>
      </c>
      <c r="F1772" s="45" t="s">
        <v>4437</v>
      </c>
      <c r="G1772" s="76" t="s">
        <v>4071</v>
      </c>
      <c r="H1772" s="80" t="s">
        <v>4438</v>
      </c>
      <c r="I1772" s="81" t="s">
        <v>30</v>
      </c>
      <c r="J1772" s="81" t="s">
        <v>31</v>
      </c>
      <c r="K1772" s="81" t="s">
        <v>31</v>
      </c>
      <c r="L1772" s="81" t="s">
        <v>32</v>
      </c>
      <c r="M1772" s="81" t="s">
        <v>31</v>
      </c>
      <c r="N1772" s="81" t="s">
        <v>31</v>
      </c>
      <c r="O1772" s="81" t="s">
        <v>32</v>
      </c>
      <c r="P1772" s="81" t="s">
        <v>33</v>
      </c>
      <c r="Q1772" s="2">
        <v>46058</v>
      </c>
      <c r="R1772" s="45"/>
      <c r="S1772" s="45"/>
      <c r="T1772" s="45"/>
      <c r="U1772" s="45"/>
      <c r="V1772" s="45">
        <f>IF(OR(ISNUMBER(SEARCH("unable to locate acct",G1772)),ISNUMBER(SEARCH("unknown",G1772)),ISNUMBER(SEARCH("inactive",G1772)),H1772=""),0,1)</f>
        <v>1</v>
      </c>
    </row>
    <row r="1773" spans="1:23">
      <c r="A1773" s="74">
        <v>46049</v>
      </c>
      <c r="B1773" s="45" t="s">
        <v>3846</v>
      </c>
      <c r="C1773" s="45" t="s">
        <v>4439</v>
      </c>
      <c r="D1773" s="45" t="s">
        <v>495</v>
      </c>
      <c r="E1773" s="45">
        <v>86004</v>
      </c>
      <c r="F1773" s="45" t="s">
        <v>4440</v>
      </c>
      <c r="G1773" s="76" t="s">
        <v>4071</v>
      </c>
      <c r="H1773" s="80" t="s">
        <v>5426</v>
      </c>
      <c r="I1773" s="81" t="s">
        <v>67</v>
      </c>
      <c r="J1773" s="81" t="s">
        <v>32</v>
      </c>
      <c r="K1773" s="81" t="s">
        <v>31</v>
      </c>
      <c r="L1773" s="81" t="s">
        <v>32</v>
      </c>
      <c r="M1773" s="81" t="s">
        <v>31</v>
      </c>
      <c r="N1773" s="81" t="s">
        <v>31</v>
      </c>
      <c r="O1773" s="81" t="s">
        <v>32</v>
      </c>
      <c r="P1773" s="81" t="s">
        <v>33</v>
      </c>
      <c r="Q1773" s="2">
        <v>46058</v>
      </c>
      <c r="R1773" s="45"/>
      <c r="S1773" s="45"/>
      <c r="T1773" s="45"/>
      <c r="U1773" s="45"/>
      <c r="V1773" s="45">
        <f>IF(OR(ISNUMBER(SEARCH("unable to locate acct",G1773)),ISNUMBER(SEARCH("unknown",G1773)),ISNUMBER(SEARCH("inactive",G1773)),H1773=""),0,1)</f>
        <v>1</v>
      </c>
    </row>
    <row r="1774" spans="1:23">
      <c r="A1774" s="74">
        <v>46049</v>
      </c>
      <c r="B1774" s="45" t="s">
        <v>4441</v>
      </c>
      <c r="C1774" s="45" t="s">
        <v>4442</v>
      </c>
      <c r="D1774" s="45" t="s">
        <v>610</v>
      </c>
      <c r="E1774" s="45">
        <v>85364</v>
      </c>
      <c r="F1774" s="45" t="s">
        <v>4443</v>
      </c>
      <c r="G1774" s="76" t="s">
        <v>4071</v>
      </c>
      <c r="H1774" s="80" t="s">
        <v>21</v>
      </c>
      <c r="I1774" s="81"/>
      <c r="J1774" s="81"/>
      <c r="K1774" s="81"/>
      <c r="L1774" s="81"/>
      <c r="M1774" s="81"/>
      <c r="N1774" s="81"/>
      <c r="O1774" s="81"/>
      <c r="P1774" s="81"/>
      <c r="Q1774" s="18"/>
      <c r="R1774" s="45"/>
      <c r="S1774" s="45"/>
      <c r="T1774" s="45"/>
      <c r="U1774" s="45"/>
      <c r="V1774" s="45">
        <f>IF(OR(ISNUMBER(SEARCH("unable to locate acct",G1774)),ISNUMBER(SEARCH("unknown",G1774)),ISNUMBER(SEARCH("inactive",G1774)),H1774=""),0,1)</f>
        <v>1</v>
      </c>
      <c r="W1774" s="34"/>
    </row>
    <row r="1775" spans="1:23">
      <c r="A1775" s="74">
        <v>46049</v>
      </c>
      <c r="B1775" s="45" t="s">
        <v>4444</v>
      </c>
      <c r="C1775" s="45" t="s">
        <v>2586</v>
      </c>
      <c r="D1775" s="45" t="s">
        <v>87</v>
      </c>
      <c r="E1775" s="45">
        <v>85373</v>
      </c>
      <c r="F1775" s="45" t="s">
        <v>4445</v>
      </c>
      <c r="G1775" s="76" t="s">
        <v>4071</v>
      </c>
      <c r="H1775" s="80" t="s">
        <v>4446</v>
      </c>
      <c r="I1775" s="81" t="s">
        <v>3351</v>
      </c>
      <c r="J1775" s="81" t="s">
        <v>32</v>
      </c>
      <c r="K1775" s="81" t="s">
        <v>31</v>
      </c>
      <c r="L1775" s="81" t="s">
        <v>3543</v>
      </c>
      <c r="M1775" s="81" t="s">
        <v>31</v>
      </c>
      <c r="N1775" s="81" t="s">
        <v>31</v>
      </c>
      <c r="O1775" s="81" t="s">
        <v>32</v>
      </c>
      <c r="P1775" s="81" t="s">
        <v>33</v>
      </c>
      <c r="Q1775" s="2">
        <v>46058</v>
      </c>
      <c r="R1775" s="45"/>
      <c r="S1775" s="45"/>
      <c r="T1775" s="45"/>
      <c r="U1775" s="45"/>
      <c r="V1775" s="45">
        <f>IF(OR(ISNUMBER(SEARCH("unable to locate acct",G1775)),ISNUMBER(SEARCH("unknown",G1775)),ISNUMBER(SEARCH("inactive",G1775)),H1775=""),0,1)</f>
        <v>1</v>
      </c>
    </row>
    <row r="1776" spans="1:23">
      <c r="A1776" s="74">
        <v>46049</v>
      </c>
      <c r="B1776" s="45" t="s">
        <v>4447</v>
      </c>
      <c r="C1776" s="45" t="s">
        <v>4448</v>
      </c>
      <c r="D1776" s="45" t="s">
        <v>79</v>
      </c>
      <c r="E1776" s="45">
        <v>86323</v>
      </c>
      <c r="F1776" s="45" t="s">
        <v>4449</v>
      </c>
      <c r="G1776" s="76" t="s">
        <v>4071</v>
      </c>
      <c r="H1776" s="80" t="s">
        <v>4450</v>
      </c>
      <c r="I1776" s="81" t="s">
        <v>30</v>
      </c>
      <c r="J1776" s="81" t="s">
        <v>32</v>
      </c>
      <c r="K1776" s="81" t="s">
        <v>31</v>
      </c>
      <c r="L1776" s="81" t="s">
        <v>32</v>
      </c>
      <c r="M1776" s="81" t="s">
        <v>32</v>
      </c>
      <c r="N1776" s="82">
        <v>1048.1600000000001</v>
      </c>
      <c r="O1776" s="81" t="s">
        <v>32</v>
      </c>
      <c r="P1776" s="81"/>
      <c r="Q1776" s="41">
        <v>46058</v>
      </c>
      <c r="R1776" s="45" t="s">
        <v>4451</v>
      </c>
      <c r="S1776" s="45"/>
      <c r="T1776" s="45"/>
      <c r="U1776" s="45"/>
      <c r="V1776" s="45">
        <f>IF(OR(ISNUMBER(SEARCH("unable to locate acct",G1776)),ISNUMBER(SEARCH("unknown",G1776)),ISNUMBER(SEARCH("inactive",G1776)),H1776=""),0,1)</f>
        <v>1</v>
      </c>
      <c r="W1776" s="32"/>
    </row>
    <row r="1777" spans="1:22">
      <c r="A1777" s="74">
        <v>46049</v>
      </c>
      <c r="B1777" s="45" t="s">
        <v>549</v>
      </c>
      <c r="C1777" s="45" t="s">
        <v>649</v>
      </c>
      <c r="D1777" s="45" t="s">
        <v>106</v>
      </c>
      <c r="E1777" s="45">
        <v>85388</v>
      </c>
      <c r="F1777" s="45" t="s">
        <v>4452</v>
      </c>
      <c r="G1777" s="76" t="s">
        <v>4071</v>
      </c>
      <c r="H1777" s="80" t="s">
        <v>4453</v>
      </c>
      <c r="I1777" s="81" t="s">
        <v>30</v>
      </c>
      <c r="J1777" s="81" t="s">
        <v>31</v>
      </c>
      <c r="K1777" s="81" t="s">
        <v>31</v>
      </c>
      <c r="L1777" s="81" t="s">
        <v>32</v>
      </c>
      <c r="M1777" s="81" t="s">
        <v>31</v>
      </c>
      <c r="N1777" s="81" t="s">
        <v>31</v>
      </c>
      <c r="O1777" s="81" t="s">
        <v>32</v>
      </c>
      <c r="P1777" s="81" t="s">
        <v>33</v>
      </c>
      <c r="Q1777" s="2">
        <v>46058</v>
      </c>
      <c r="R1777" s="45" t="s">
        <v>4454</v>
      </c>
      <c r="S1777" s="45"/>
      <c r="T1777" s="45"/>
      <c r="U1777" s="45"/>
      <c r="V1777" s="45">
        <f>IF(OR(ISNUMBER(SEARCH("unable to locate acct",G1777)),ISNUMBER(SEARCH("unknown",G1777)),ISNUMBER(SEARCH("inactive",G1777)),H1777=""),0,1)</f>
        <v>1</v>
      </c>
    </row>
    <row r="1778" spans="1:22">
      <c r="A1778" s="74">
        <v>46049</v>
      </c>
      <c r="B1778" s="45" t="s">
        <v>2360</v>
      </c>
      <c r="C1778" s="45" t="s">
        <v>1001</v>
      </c>
      <c r="D1778" s="45" t="s">
        <v>168</v>
      </c>
      <c r="E1778" s="45">
        <v>85396</v>
      </c>
      <c r="F1778" s="45" t="s">
        <v>4455</v>
      </c>
      <c r="G1778" s="76" t="s">
        <v>4071</v>
      </c>
      <c r="H1778" s="80" t="s">
        <v>4456</v>
      </c>
      <c r="I1778" s="81" t="s">
        <v>3676</v>
      </c>
      <c r="J1778" s="81" t="s">
        <v>31</v>
      </c>
      <c r="K1778" s="81" t="s">
        <v>31</v>
      </c>
      <c r="L1778" s="81" t="s">
        <v>3543</v>
      </c>
      <c r="M1778" s="81" t="s">
        <v>31</v>
      </c>
      <c r="N1778" s="81" t="s">
        <v>31</v>
      </c>
      <c r="O1778" s="81" t="s">
        <v>32</v>
      </c>
      <c r="P1778" s="81" t="s">
        <v>33</v>
      </c>
      <c r="Q1778" s="2">
        <v>46058</v>
      </c>
      <c r="R1778" s="45"/>
      <c r="S1778" s="45"/>
      <c r="T1778" s="45"/>
      <c r="U1778" s="45"/>
      <c r="V1778" s="45">
        <f>IF(OR(ISNUMBER(SEARCH("unable to locate acct",G1778)),ISNUMBER(SEARCH("unknown",G1778)),ISNUMBER(SEARCH("inactive",G1778)),H1778=""),0,1)</f>
        <v>1</v>
      </c>
    </row>
    <row r="1779" spans="1:22">
      <c r="A1779" s="74">
        <v>46049</v>
      </c>
      <c r="B1779" s="45" t="s">
        <v>351</v>
      </c>
      <c r="C1779" s="45" t="s">
        <v>4457</v>
      </c>
      <c r="D1779" s="45" t="s">
        <v>123</v>
      </c>
      <c r="E1779" s="45">
        <v>85233</v>
      </c>
      <c r="F1779" s="45" t="s">
        <v>4458</v>
      </c>
      <c r="G1779" s="76" t="s">
        <v>4071</v>
      </c>
      <c r="H1779" s="80" t="s">
        <v>84</v>
      </c>
      <c r="I1779" s="81"/>
      <c r="J1779" s="81"/>
      <c r="K1779" s="81"/>
      <c r="L1779" s="81"/>
      <c r="M1779" s="81"/>
      <c r="N1779" s="81"/>
      <c r="O1779" s="81"/>
      <c r="P1779" s="81"/>
      <c r="R1779" s="45" t="s">
        <v>4221</v>
      </c>
      <c r="S1779" s="45"/>
      <c r="T1779" s="45"/>
      <c r="U1779" s="45"/>
      <c r="V1779" s="45">
        <f>IF(OR(ISNUMBER(SEARCH("unable to locate acct",G1779)),ISNUMBER(SEARCH("unknown",G1779)),ISNUMBER(SEARCH("inactive",G1779)),H1779=""),0,1)</f>
        <v>1</v>
      </c>
    </row>
    <row r="1780" spans="1:22">
      <c r="A1780" s="74">
        <v>46049</v>
      </c>
      <c r="B1780" s="45" t="s">
        <v>4459</v>
      </c>
      <c r="C1780" s="45" t="s">
        <v>4460</v>
      </c>
      <c r="D1780" s="45" t="s">
        <v>57</v>
      </c>
      <c r="E1780" s="45">
        <v>85029</v>
      </c>
      <c r="F1780" s="45" t="s">
        <v>4461</v>
      </c>
      <c r="G1780" s="76" t="s">
        <v>4071</v>
      </c>
      <c r="H1780" s="80" t="s">
        <v>21</v>
      </c>
      <c r="I1780" s="81"/>
      <c r="J1780" s="81"/>
      <c r="K1780" s="81"/>
      <c r="L1780" s="81"/>
      <c r="M1780" s="81"/>
      <c r="N1780" s="81"/>
      <c r="O1780" s="81"/>
      <c r="P1780" s="81"/>
      <c r="R1780" s="45"/>
      <c r="S1780" s="45"/>
      <c r="T1780" s="45"/>
      <c r="U1780" s="45"/>
      <c r="V1780" s="45">
        <f>IF(OR(ISNUMBER(SEARCH("unable to locate acct",G1780)),ISNUMBER(SEARCH("unknown",G1780)),ISNUMBER(SEARCH("inactive",G1780)),H1780=""),0,1)</f>
        <v>1</v>
      </c>
    </row>
    <row r="1781" spans="1:22">
      <c r="A1781" s="74">
        <v>46049</v>
      </c>
      <c r="B1781" s="45" t="s">
        <v>4462</v>
      </c>
      <c r="C1781" s="45" t="s">
        <v>61</v>
      </c>
      <c r="D1781" s="45" t="s">
        <v>106</v>
      </c>
      <c r="E1781" s="45">
        <v>85374</v>
      </c>
      <c r="F1781" s="45" t="s">
        <v>4463</v>
      </c>
      <c r="G1781" s="76" t="s">
        <v>4071</v>
      </c>
      <c r="H1781" s="80" t="s">
        <v>4464</v>
      </c>
      <c r="I1781" s="81" t="s">
        <v>40</v>
      </c>
      <c r="J1781" s="81" t="s">
        <v>31</v>
      </c>
      <c r="K1781" s="81" t="s">
        <v>31</v>
      </c>
      <c r="L1781" s="81" t="s">
        <v>32</v>
      </c>
      <c r="M1781" s="81" t="s">
        <v>31</v>
      </c>
      <c r="N1781" s="81" t="s">
        <v>31</v>
      </c>
      <c r="O1781" s="81" t="s">
        <v>32</v>
      </c>
      <c r="P1781" s="81" t="s">
        <v>33</v>
      </c>
      <c r="Q1781" s="2">
        <v>46058</v>
      </c>
      <c r="R1781" s="45"/>
      <c r="S1781" s="45"/>
      <c r="T1781" s="45"/>
      <c r="U1781" s="45"/>
      <c r="V1781" s="45">
        <f>IF(OR(ISNUMBER(SEARCH("unable to locate acct",G1781)),ISNUMBER(SEARCH("unknown",G1781)),ISNUMBER(SEARCH("inactive",G1781)),H1781=""),0,1)</f>
        <v>1</v>
      </c>
    </row>
    <row r="1782" spans="1:22">
      <c r="A1782" s="74">
        <v>46049</v>
      </c>
      <c r="B1782" s="45" t="s">
        <v>4465</v>
      </c>
      <c r="C1782" s="45" t="s">
        <v>129</v>
      </c>
      <c r="D1782" s="45" t="s">
        <v>168</v>
      </c>
      <c r="E1782" s="45">
        <v>85326</v>
      </c>
      <c r="F1782" s="45" t="s">
        <v>4466</v>
      </c>
      <c r="G1782" s="76" t="s">
        <v>4071</v>
      </c>
      <c r="H1782" s="80" t="s">
        <v>21</v>
      </c>
      <c r="I1782" s="81"/>
      <c r="J1782" s="81"/>
      <c r="K1782" s="81"/>
      <c r="L1782" s="81"/>
      <c r="M1782" s="81"/>
      <c r="N1782" s="81"/>
      <c r="O1782" s="81"/>
      <c r="P1782" s="81"/>
      <c r="R1782" s="45" t="s">
        <v>4221</v>
      </c>
      <c r="S1782" s="45"/>
      <c r="T1782" s="45"/>
      <c r="U1782" s="45"/>
      <c r="V1782" s="45">
        <f>IF(OR(ISNUMBER(SEARCH("unable to locate acct",G1782)),ISNUMBER(SEARCH("unknown",G1782)),ISNUMBER(SEARCH("inactive",G1782)),H1782=""),0,1)</f>
        <v>1</v>
      </c>
    </row>
    <row r="1783" spans="1:22">
      <c r="A1783" s="74">
        <v>46049</v>
      </c>
      <c r="B1783" s="45" t="s">
        <v>4467</v>
      </c>
      <c r="C1783" s="45" t="s">
        <v>1183</v>
      </c>
      <c r="D1783" s="45" t="s">
        <v>440</v>
      </c>
      <c r="E1783" s="45">
        <v>85361</v>
      </c>
      <c r="F1783" s="45" t="s">
        <v>4468</v>
      </c>
      <c r="G1783" s="76" t="s">
        <v>4071</v>
      </c>
      <c r="H1783" s="80" t="s">
        <v>84</v>
      </c>
      <c r="I1783" s="81"/>
      <c r="J1783" s="81"/>
      <c r="K1783" s="81"/>
      <c r="L1783" s="81"/>
      <c r="M1783" s="81"/>
      <c r="N1783" s="81"/>
      <c r="O1783" s="81"/>
      <c r="P1783" s="81"/>
      <c r="R1783" s="45"/>
      <c r="S1783" s="45"/>
      <c r="T1783" s="45"/>
      <c r="U1783" s="45"/>
      <c r="V1783" s="45">
        <f>IF(OR(ISNUMBER(SEARCH("unable to locate acct",G1783)),ISNUMBER(SEARCH("unknown",G1783)),ISNUMBER(SEARCH("inactive",G1783)),H1783=""),0,1)</f>
        <v>1</v>
      </c>
    </row>
    <row r="1784" spans="1:22">
      <c r="A1784" s="74">
        <v>46049</v>
      </c>
      <c r="B1784" s="45" t="s">
        <v>2117</v>
      </c>
      <c r="C1784" s="45" t="s">
        <v>3861</v>
      </c>
      <c r="D1784" s="45" t="s">
        <v>57</v>
      </c>
      <c r="E1784" s="45">
        <v>85032</v>
      </c>
      <c r="F1784" s="45" t="s">
        <v>4469</v>
      </c>
      <c r="G1784" s="76" t="s">
        <v>4071</v>
      </c>
      <c r="H1784" s="80" t="s">
        <v>4470</v>
      </c>
      <c r="I1784" s="81" t="s">
        <v>67</v>
      </c>
      <c r="J1784" s="81" t="s">
        <v>31</v>
      </c>
      <c r="K1784" s="81" t="s">
        <v>31</v>
      </c>
      <c r="L1784" s="81" t="s">
        <v>32</v>
      </c>
      <c r="M1784" s="81" t="s">
        <v>31</v>
      </c>
      <c r="N1784" s="81" t="s">
        <v>31</v>
      </c>
      <c r="O1784" s="81" t="s">
        <v>32</v>
      </c>
      <c r="P1784" s="81" t="s">
        <v>33</v>
      </c>
      <c r="Q1784" s="2">
        <v>46058</v>
      </c>
      <c r="R1784" s="45"/>
      <c r="S1784" s="45"/>
      <c r="T1784" s="45"/>
      <c r="U1784" s="45"/>
      <c r="V1784" s="45">
        <f>IF(OR(ISNUMBER(SEARCH("unable to locate acct",G1784)),ISNUMBER(SEARCH("unknown",G1784)),ISNUMBER(SEARCH("inactive",G1784)),H1784=""),0,1)</f>
        <v>1</v>
      </c>
    </row>
    <row r="1785" spans="1:22">
      <c r="A1785" s="74">
        <v>46049</v>
      </c>
      <c r="B1785" s="45" t="s">
        <v>300</v>
      </c>
      <c r="C1785" s="45" t="s">
        <v>4471</v>
      </c>
      <c r="D1785" s="45" t="s">
        <v>514</v>
      </c>
      <c r="E1785" s="45">
        <v>85323</v>
      </c>
      <c r="F1785" s="45" t="s">
        <v>4472</v>
      </c>
      <c r="G1785" s="76" t="s">
        <v>4071</v>
      </c>
      <c r="H1785" s="80" t="s">
        <v>4473</v>
      </c>
      <c r="I1785" s="81"/>
      <c r="J1785" s="81"/>
      <c r="K1785" s="81"/>
      <c r="L1785" s="81"/>
      <c r="M1785" s="81"/>
      <c r="N1785" s="81"/>
      <c r="O1785" s="81"/>
      <c r="P1785" s="81"/>
      <c r="R1785" s="45" t="s">
        <v>4221</v>
      </c>
      <c r="S1785" s="45"/>
      <c r="T1785" s="45"/>
      <c r="U1785" s="45"/>
      <c r="V1785" s="45">
        <f>IF(OR(ISNUMBER(SEARCH("unable to locate acct",G1785)),ISNUMBER(SEARCH("unknown",G1785)),ISNUMBER(SEARCH("inactive",G1785)),H1785=""),0,1)</f>
        <v>1</v>
      </c>
    </row>
    <row r="1786" spans="1:22">
      <c r="A1786" s="74">
        <v>46049</v>
      </c>
      <c r="B1786" s="45" t="s">
        <v>4474</v>
      </c>
      <c r="C1786" s="45" t="s">
        <v>4475</v>
      </c>
      <c r="D1786" s="45" t="s">
        <v>18</v>
      </c>
      <c r="E1786" s="45">
        <v>85308</v>
      </c>
      <c r="F1786" s="45" t="s">
        <v>4476</v>
      </c>
      <c r="G1786" s="76" t="s">
        <v>4071</v>
      </c>
      <c r="H1786" s="80" t="s">
        <v>21</v>
      </c>
      <c r="I1786" s="81"/>
      <c r="J1786" s="81"/>
      <c r="K1786" s="81"/>
      <c r="L1786" s="81"/>
      <c r="M1786" s="81"/>
      <c r="N1786" s="81"/>
      <c r="O1786" s="81"/>
      <c r="P1786" s="81"/>
      <c r="R1786" s="45"/>
      <c r="S1786" s="45"/>
      <c r="T1786" s="45"/>
      <c r="U1786" s="45"/>
      <c r="V1786" s="45">
        <f>IF(OR(ISNUMBER(SEARCH("unable to locate acct",G1786)),ISNUMBER(SEARCH("unknown",G1786)),ISNUMBER(SEARCH("inactive",G1786)),H1786=""),0,1)</f>
        <v>1</v>
      </c>
    </row>
    <row r="1787" spans="1:22">
      <c r="A1787" s="74">
        <v>46049</v>
      </c>
      <c r="B1787" s="45" t="s">
        <v>4477</v>
      </c>
      <c r="C1787" s="45" t="s">
        <v>2549</v>
      </c>
      <c r="D1787" s="45" t="s">
        <v>57</v>
      </c>
      <c r="E1787" s="45">
        <v>85017</v>
      </c>
      <c r="F1787" s="45" t="s">
        <v>4478</v>
      </c>
      <c r="G1787" s="76" t="s">
        <v>4071</v>
      </c>
      <c r="H1787" s="80" t="s">
        <v>4479</v>
      </c>
      <c r="I1787" s="81" t="s">
        <v>120</v>
      </c>
      <c r="J1787" s="81" t="s">
        <v>31</v>
      </c>
      <c r="K1787" s="81" t="s">
        <v>31</v>
      </c>
      <c r="L1787" s="81" t="s">
        <v>4480</v>
      </c>
      <c r="M1787" s="81" t="s">
        <v>31</v>
      </c>
      <c r="N1787" s="81" t="s">
        <v>31</v>
      </c>
      <c r="O1787" s="81" t="s">
        <v>32</v>
      </c>
      <c r="P1787" s="81" t="s">
        <v>33</v>
      </c>
      <c r="Q1787" s="2">
        <v>46058</v>
      </c>
      <c r="R1787" s="45"/>
      <c r="S1787" s="45"/>
      <c r="T1787" s="45"/>
      <c r="U1787" s="45"/>
      <c r="V1787" s="45">
        <f>IF(OR(ISNUMBER(SEARCH("unable to locate acct",G1787)),ISNUMBER(SEARCH("unknown",G1787)),ISNUMBER(SEARCH("inactive",G1787)),H1787=""),0,1)</f>
        <v>1</v>
      </c>
    </row>
    <row r="1788" spans="1:22">
      <c r="A1788" s="74">
        <v>46049</v>
      </c>
      <c r="B1788" s="45" t="s">
        <v>4481</v>
      </c>
      <c r="C1788" s="45" t="s">
        <v>3574</v>
      </c>
      <c r="D1788" s="45" t="s">
        <v>57</v>
      </c>
      <c r="E1788" s="45">
        <v>85032</v>
      </c>
      <c r="F1788" s="45" t="s">
        <v>4482</v>
      </c>
      <c r="G1788" s="76" t="s">
        <v>4071</v>
      </c>
      <c r="H1788" s="80" t="s">
        <v>4483</v>
      </c>
      <c r="I1788" s="81" t="s">
        <v>120</v>
      </c>
      <c r="J1788" s="81" t="s">
        <v>31</v>
      </c>
      <c r="K1788" s="81" t="s">
        <v>31</v>
      </c>
      <c r="L1788" s="81" t="s">
        <v>32</v>
      </c>
      <c r="M1788" s="81" t="s">
        <v>31</v>
      </c>
      <c r="N1788" s="81" t="s">
        <v>31</v>
      </c>
      <c r="O1788" s="81" t="s">
        <v>32</v>
      </c>
      <c r="P1788" s="81" t="s">
        <v>33</v>
      </c>
      <c r="Q1788" s="2">
        <v>46058</v>
      </c>
      <c r="R1788" s="45"/>
      <c r="S1788" s="45"/>
      <c r="T1788" s="45"/>
      <c r="U1788" s="45"/>
      <c r="V1788" s="45">
        <f>IF(OR(ISNUMBER(SEARCH("unable to locate acct",G1788)),ISNUMBER(SEARCH("unknown",G1788)),ISNUMBER(SEARCH("inactive",G1788)),H1788=""),0,1)</f>
        <v>1</v>
      </c>
    </row>
    <row r="1789" spans="1:22">
      <c r="A1789" s="74">
        <v>46049</v>
      </c>
      <c r="B1789" s="45" t="s">
        <v>4484</v>
      </c>
      <c r="C1789" s="45" t="s">
        <v>171</v>
      </c>
      <c r="D1789" s="45" t="s">
        <v>258</v>
      </c>
      <c r="E1789" s="45">
        <v>85541</v>
      </c>
      <c r="F1789" s="45" t="s">
        <v>4485</v>
      </c>
      <c r="G1789" s="76" t="s">
        <v>4071</v>
      </c>
      <c r="H1789" s="80" t="s">
        <v>4486</v>
      </c>
      <c r="I1789" s="81" t="s">
        <v>67</v>
      </c>
      <c r="J1789" s="81" t="s">
        <v>31</v>
      </c>
      <c r="K1789" s="81" t="s">
        <v>31</v>
      </c>
      <c r="L1789" s="81" t="s">
        <v>32</v>
      </c>
      <c r="M1789" s="81" t="s">
        <v>31</v>
      </c>
      <c r="N1789" s="81" t="s">
        <v>31</v>
      </c>
      <c r="O1789" s="81" t="s">
        <v>32</v>
      </c>
      <c r="P1789" s="81" t="s">
        <v>33</v>
      </c>
      <c r="Q1789" s="2">
        <v>46058</v>
      </c>
      <c r="R1789" s="45"/>
      <c r="S1789" s="45"/>
      <c r="T1789" s="45"/>
      <c r="U1789" s="45"/>
      <c r="V1789" s="45">
        <f>IF(OR(ISNUMBER(SEARCH("unable to locate acct",G1789)),ISNUMBER(SEARCH("unknown",G1789)),ISNUMBER(SEARCH("inactive",G1789)),H1789=""),0,1)</f>
        <v>1</v>
      </c>
    </row>
    <row r="1790" spans="1:22">
      <c r="A1790" s="74">
        <v>46049</v>
      </c>
      <c r="B1790" s="45" t="s">
        <v>4487</v>
      </c>
      <c r="C1790" s="45" t="s">
        <v>649</v>
      </c>
      <c r="D1790" s="45" t="s">
        <v>196</v>
      </c>
      <c r="E1790" s="45">
        <v>85382</v>
      </c>
      <c r="F1790" s="45" t="s">
        <v>4488</v>
      </c>
      <c r="G1790" s="76" t="s">
        <v>4071</v>
      </c>
      <c r="H1790" s="80" t="s">
        <v>21</v>
      </c>
      <c r="I1790" s="81"/>
      <c r="J1790" s="81"/>
      <c r="K1790" s="81"/>
      <c r="L1790" s="81"/>
      <c r="M1790" s="81"/>
      <c r="N1790" s="81"/>
      <c r="O1790" s="81"/>
      <c r="P1790" s="81"/>
      <c r="R1790" s="45"/>
      <c r="S1790" s="45"/>
      <c r="T1790" s="45"/>
      <c r="U1790" s="45"/>
      <c r="V1790" s="45">
        <f>IF(OR(ISNUMBER(SEARCH("unable to locate acct",G1790)),ISNUMBER(SEARCH("unknown",G1790)),ISNUMBER(SEARCH("inactive",G1790)),H1790=""),0,1)</f>
        <v>1</v>
      </c>
    </row>
    <row r="1791" spans="1:22">
      <c r="A1791" s="74">
        <v>46049</v>
      </c>
      <c r="B1791" s="45" t="s">
        <v>4489</v>
      </c>
      <c r="C1791" s="45" t="s">
        <v>4490</v>
      </c>
      <c r="D1791" s="45" t="s">
        <v>4491</v>
      </c>
      <c r="E1791" s="45">
        <v>85544</v>
      </c>
      <c r="F1791" s="45" t="s">
        <v>4492</v>
      </c>
      <c r="G1791" s="76" t="s">
        <v>4071</v>
      </c>
      <c r="H1791" s="80" t="s">
        <v>4493</v>
      </c>
      <c r="I1791" s="81" t="s">
        <v>30</v>
      </c>
      <c r="J1791" s="81" t="s">
        <v>32</v>
      </c>
      <c r="K1791" s="81" t="s">
        <v>31</v>
      </c>
      <c r="L1791" s="81" t="s">
        <v>4494</v>
      </c>
      <c r="M1791" s="81" t="s">
        <v>31</v>
      </c>
      <c r="N1791" s="81" t="s">
        <v>31</v>
      </c>
      <c r="O1791" s="81" t="s">
        <v>32</v>
      </c>
      <c r="P1791" s="81" t="s">
        <v>33</v>
      </c>
      <c r="Q1791" s="2">
        <v>46058</v>
      </c>
      <c r="R1791" s="45"/>
      <c r="S1791" s="45"/>
      <c r="T1791" s="45"/>
      <c r="U1791" s="45"/>
      <c r="V1791" s="45">
        <f>IF(OR(ISNUMBER(SEARCH("unable to locate acct",G1791)),ISNUMBER(SEARCH("unknown",G1791)),ISNUMBER(SEARCH("inactive",G1791)),H1791=""),0,1)</f>
        <v>1</v>
      </c>
    </row>
    <row r="1792" spans="1:22">
      <c r="A1792" s="74">
        <v>46049</v>
      </c>
      <c r="B1792" s="45" t="s">
        <v>4495</v>
      </c>
      <c r="C1792" s="45" t="s">
        <v>96</v>
      </c>
      <c r="D1792" s="45" t="s">
        <v>168</v>
      </c>
      <c r="E1792" s="45">
        <v>85326</v>
      </c>
      <c r="F1792" s="45" t="s">
        <v>4496</v>
      </c>
      <c r="G1792" s="76" t="s">
        <v>4071</v>
      </c>
      <c r="H1792" s="80" t="s">
        <v>4497</v>
      </c>
      <c r="I1792" s="81" t="s">
        <v>30</v>
      </c>
      <c r="J1792" s="81" t="s">
        <v>31</v>
      </c>
      <c r="K1792" s="81" t="s">
        <v>31</v>
      </c>
      <c r="L1792" s="81" t="s">
        <v>32</v>
      </c>
      <c r="M1792" s="81" t="s">
        <v>31</v>
      </c>
      <c r="N1792" s="81" t="s">
        <v>31</v>
      </c>
      <c r="O1792" s="81" t="s">
        <v>32</v>
      </c>
      <c r="P1792" s="81" t="s">
        <v>33</v>
      </c>
      <c r="Q1792" s="2">
        <v>46058</v>
      </c>
      <c r="R1792" s="45"/>
      <c r="S1792" s="45"/>
      <c r="T1792" s="45"/>
      <c r="U1792" s="45"/>
      <c r="V1792" s="45">
        <f>IF(OR(ISNUMBER(SEARCH("unable to locate acct",G1792)),ISNUMBER(SEARCH("unknown",G1792)),ISNUMBER(SEARCH("inactive",G1792)),H1792=""),0,1)</f>
        <v>1</v>
      </c>
    </row>
    <row r="1793" spans="1:23">
      <c r="A1793" s="74">
        <v>46049</v>
      </c>
      <c r="B1793" s="45" t="s">
        <v>4498</v>
      </c>
      <c r="C1793" s="45" t="s">
        <v>4499</v>
      </c>
      <c r="D1793" s="45" t="s">
        <v>57</v>
      </c>
      <c r="E1793" s="45">
        <v>85029</v>
      </c>
      <c r="F1793" s="45" t="s">
        <v>4500</v>
      </c>
      <c r="G1793" s="76" t="s">
        <v>4071</v>
      </c>
      <c r="H1793" s="80" t="s">
        <v>21</v>
      </c>
      <c r="I1793" s="81"/>
      <c r="J1793" s="81"/>
      <c r="K1793" s="81"/>
      <c r="L1793" s="81"/>
      <c r="M1793" s="81"/>
      <c r="N1793" s="81"/>
      <c r="O1793" s="81"/>
      <c r="P1793" s="81"/>
      <c r="R1793" s="45"/>
      <c r="S1793" s="45"/>
      <c r="T1793" s="45"/>
      <c r="U1793" s="45"/>
      <c r="V1793" s="45">
        <f>IF(OR(ISNUMBER(SEARCH("unable to locate acct",G1793)),ISNUMBER(SEARCH("unknown",G1793)),ISNUMBER(SEARCH("inactive",G1793)),H1793=""),0,1)</f>
        <v>1</v>
      </c>
    </row>
    <row r="1794" spans="1:23">
      <c r="A1794" s="74">
        <v>46049</v>
      </c>
      <c r="B1794" s="45" t="s">
        <v>360</v>
      </c>
      <c r="C1794" s="45" t="s">
        <v>4501</v>
      </c>
      <c r="D1794" s="45" t="s">
        <v>689</v>
      </c>
      <c r="E1794" s="45">
        <v>85375</v>
      </c>
      <c r="F1794" s="45" t="s">
        <v>4502</v>
      </c>
      <c r="G1794" s="76" t="s">
        <v>4071</v>
      </c>
      <c r="H1794" s="80" t="s">
        <v>4503</v>
      </c>
      <c r="I1794" s="81" t="s">
        <v>532</v>
      </c>
      <c r="J1794" s="81" t="s">
        <v>31</v>
      </c>
      <c r="K1794" s="81" t="s">
        <v>31</v>
      </c>
      <c r="L1794" s="81" t="s">
        <v>3543</v>
      </c>
      <c r="M1794" s="81" t="s">
        <v>31</v>
      </c>
      <c r="N1794" s="81" t="s">
        <v>31</v>
      </c>
      <c r="O1794" s="81" t="s">
        <v>32</v>
      </c>
      <c r="P1794" s="81" t="s">
        <v>33</v>
      </c>
      <c r="Q1794" s="2">
        <v>46058</v>
      </c>
      <c r="R1794" s="45"/>
      <c r="S1794" s="45"/>
      <c r="T1794" s="45"/>
      <c r="U1794" s="45"/>
      <c r="V1794" s="45">
        <f>IF(OR(ISNUMBER(SEARCH("unable to locate acct",G1794)),ISNUMBER(SEARCH("unknown",G1794)),ISNUMBER(SEARCH("inactive",G1794)),H1794=""),0,1)</f>
        <v>1</v>
      </c>
    </row>
    <row r="1795" spans="1:23">
      <c r="A1795" s="74">
        <v>46049</v>
      </c>
      <c r="B1795" s="45" t="s">
        <v>4504</v>
      </c>
      <c r="C1795" s="45" t="s">
        <v>118</v>
      </c>
      <c r="D1795" s="45" t="s">
        <v>57</v>
      </c>
      <c r="E1795" s="45">
        <v>85032</v>
      </c>
      <c r="F1795" s="45" t="s">
        <v>4505</v>
      </c>
      <c r="G1795" s="76" t="s">
        <v>4071</v>
      </c>
      <c r="H1795" s="80" t="s">
        <v>4506</v>
      </c>
      <c r="I1795" s="81" t="s">
        <v>51</v>
      </c>
      <c r="J1795" s="81" t="s">
        <v>31</v>
      </c>
      <c r="K1795" s="81" t="s">
        <v>31</v>
      </c>
      <c r="L1795" s="81" t="s">
        <v>3881</v>
      </c>
      <c r="M1795" s="81" t="s">
        <v>31</v>
      </c>
      <c r="N1795" s="81" t="s">
        <v>31</v>
      </c>
      <c r="O1795" s="81" t="s">
        <v>32</v>
      </c>
      <c r="P1795" s="81" t="s">
        <v>33</v>
      </c>
      <c r="Q1795" s="2">
        <v>46058</v>
      </c>
      <c r="R1795" s="45"/>
      <c r="S1795" s="45"/>
      <c r="T1795" s="45"/>
      <c r="U1795" s="45"/>
      <c r="V1795" s="45">
        <f>IF(OR(ISNUMBER(SEARCH("unable to locate acct",G1795)),ISNUMBER(SEARCH("unknown",G1795)),ISNUMBER(SEARCH("inactive",G1795)),H1795=""),0,1)</f>
        <v>1</v>
      </c>
    </row>
    <row r="1796" spans="1:23">
      <c r="A1796" s="74">
        <v>46049</v>
      </c>
      <c r="B1796" s="45" t="s">
        <v>4507</v>
      </c>
      <c r="C1796" s="45" t="s">
        <v>2532</v>
      </c>
      <c r="D1796" s="45" t="s">
        <v>57</v>
      </c>
      <c r="E1796" s="45">
        <v>85024</v>
      </c>
      <c r="F1796" s="45" t="s">
        <v>4508</v>
      </c>
      <c r="G1796" s="76" t="s">
        <v>4071</v>
      </c>
      <c r="H1796" s="80" t="s">
        <v>4509</v>
      </c>
      <c r="I1796" s="81" t="s">
        <v>30</v>
      </c>
      <c r="J1796" s="81" t="s">
        <v>31</v>
      </c>
      <c r="K1796" s="81" t="s">
        <v>31</v>
      </c>
      <c r="L1796" s="81" t="s">
        <v>32</v>
      </c>
      <c r="M1796" s="81" t="s">
        <v>31</v>
      </c>
      <c r="N1796" s="81" t="s">
        <v>31</v>
      </c>
      <c r="O1796" s="81" t="s">
        <v>32</v>
      </c>
      <c r="P1796" s="81" t="s">
        <v>33</v>
      </c>
      <c r="Q1796" s="2">
        <v>46058</v>
      </c>
      <c r="R1796" s="45"/>
      <c r="S1796" s="45"/>
      <c r="T1796" s="45"/>
      <c r="U1796" s="45"/>
      <c r="V1796" s="45">
        <f>IF(OR(ISNUMBER(SEARCH("unable to locate acct",G1796)),ISNUMBER(SEARCH("unknown",G1796)),ISNUMBER(SEARCH("inactive",G1796)),H1796=""),0,1)</f>
        <v>1</v>
      </c>
    </row>
    <row r="1797" spans="1:23">
      <c r="A1797" s="74">
        <v>46049</v>
      </c>
      <c r="B1797" s="45" t="s">
        <v>4510</v>
      </c>
      <c r="C1797" s="45" t="s">
        <v>4085</v>
      </c>
      <c r="D1797" s="45" t="s">
        <v>1675</v>
      </c>
      <c r="E1797" s="45">
        <v>85201</v>
      </c>
      <c r="F1797" s="45" t="s">
        <v>4511</v>
      </c>
      <c r="G1797" s="76" t="s">
        <v>4071</v>
      </c>
      <c r="H1797" s="80" t="s">
        <v>21</v>
      </c>
      <c r="I1797" s="81"/>
      <c r="J1797" s="81"/>
      <c r="K1797" s="81"/>
      <c r="L1797" s="81"/>
      <c r="M1797" s="81"/>
      <c r="N1797" s="81"/>
      <c r="O1797" s="81"/>
      <c r="P1797" s="81"/>
      <c r="R1797" s="45"/>
      <c r="S1797" s="45"/>
      <c r="T1797" s="45"/>
      <c r="U1797" s="45"/>
      <c r="V1797" s="45">
        <f>IF(OR(ISNUMBER(SEARCH("unable to locate acct",G1797)),ISNUMBER(SEARCH("unknown",G1797)),ISNUMBER(SEARCH("inactive",G1797)),H1797=""),0,1)</f>
        <v>1</v>
      </c>
    </row>
    <row r="1798" spans="1:23">
      <c r="A1798" s="74">
        <v>46049</v>
      </c>
      <c r="B1798" s="45" t="s">
        <v>4512</v>
      </c>
      <c r="C1798" s="45" t="s">
        <v>322</v>
      </c>
      <c r="D1798" s="45" t="s">
        <v>1675</v>
      </c>
      <c r="E1798" s="45">
        <v>85207</v>
      </c>
      <c r="F1798" s="45" t="s">
        <v>4513</v>
      </c>
      <c r="G1798" s="76" t="s">
        <v>4071</v>
      </c>
      <c r="H1798" s="80" t="s">
        <v>21</v>
      </c>
      <c r="I1798" s="81"/>
      <c r="J1798" s="81"/>
      <c r="K1798" s="81"/>
      <c r="L1798" s="81"/>
      <c r="M1798" s="81"/>
      <c r="N1798" s="81"/>
      <c r="O1798" s="81"/>
      <c r="P1798" s="81"/>
      <c r="R1798" s="45"/>
      <c r="S1798" s="45"/>
      <c r="T1798" s="45"/>
      <c r="U1798" s="45"/>
      <c r="V1798" s="45">
        <f>IF(OR(ISNUMBER(SEARCH("unable to locate acct",G1798)),ISNUMBER(SEARCH("unknown",G1798)),ISNUMBER(SEARCH("inactive",G1798)),H1798=""),0,1)</f>
        <v>1</v>
      </c>
    </row>
    <row r="1799" spans="1:23">
      <c r="A1799" s="74">
        <v>46049</v>
      </c>
      <c r="B1799" s="45" t="s">
        <v>4514</v>
      </c>
      <c r="C1799" s="45" t="s">
        <v>4069</v>
      </c>
      <c r="D1799" s="45" t="s">
        <v>18</v>
      </c>
      <c r="E1799" s="45">
        <v>85302</v>
      </c>
      <c r="F1799" s="45" t="s">
        <v>4515</v>
      </c>
      <c r="G1799" s="76" t="s">
        <v>4071</v>
      </c>
      <c r="H1799" s="80" t="s">
        <v>21</v>
      </c>
      <c r="I1799" s="81"/>
      <c r="J1799" s="81"/>
      <c r="K1799" s="81"/>
      <c r="L1799" s="81"/>
      <c r="M1799" s="81"/>
      <c r="N1799" s="81"/>
      <c r="O1799" s="81"/>
      <c r="P1799" s="81"/>
      <c r="R1799" s="45"/>
      <c r="S1799" s="45"/>
      <c r="T1799" s="45"/>
      <c r="U1799" s="45"/>
      <c r="V1799" s="45">
        <f>IF(OR(ISNUMBER(SEARCH("unable to locate acct",G1799)),ISNUMBER(SEARCH("unknown",G1799)),ISNUMBER(SEARCH("inactive",G1799)),H1799=""),0,1)</f>
        <v>1</v>
      </c>
    </row>
    <row r="1800" spans="1:23">
      <c r="A1800" s="74">
        <v>46049</v>
      </c>
      <c r="B1800" s="45" t="s">
        <v>4516</v>
      </c>
      <c r="C1800" s="45" t="s">
        <v>738</v>
      </c>
      <c r="D1800" s="45" t="s">
        <v>689</v>
      </c>
      <c r="E1800" s="45">
        <v>85375</v>
      </c>
      <c r="F1800" s="45" t="s">
        <v>4517</v>
      </c>
      <c r="G1800" s="76" t="s">
        <v>4071</v>
      </c>
      <c r="H1800" s="80" t="s">
        <v>4518</v>
      </c>
      <c r="I1800" s="81" t="s">
        <v>40</v>
      </c>
      <c r="J1800" s="81" t="s">
        <v>32</v>
      </c>
      <c r="K1800" s="81" t="s">
        <v>31</v>
      </c>
      <c r="L1800" s="81" t="s">
        <v>32</v>
      </c>
      <c r="M1800" s="81" t="s">
        <v>31</v>
      </c>
      <c r="N1800" s="81" t="s">
        <v>31</v>
      </c>
      <c r="O1800" s="81" t="s">
        <v>32</v>
      </c>
      <c r="P1800" s="81" t="s">
        <v>33</v>
      </c>
      <c r="Q1800" s="2">
        <v>46058</v>
      </c>
      <c r="R1800" s="45"/>
      <c r="S1800" s="45"/>
      <c r="T1800" s="45"/>
      <c r="U1800" s="45"/>
      <c r="V1800" s="45">
        <f>IF(OR(ISNUMBER(SEARCH("unable to locate acct",G1800)),ISNUMBER(SEARCH("unknown",G1800)),ISNUMBER(SEARCH("inactive",G1800)),H1800=""),0,1)</f>
        <v>1</v>
      </c>
    </row>
    <row r="1801" spans="1:23">
      <c r="A1801" s="74">
        <v>46049</v>
      </c>
      <c r="B1801" s="45" t="s">
        <v>4519</v>
      </c>
      <c r="C1801" s="45" t="s">
        <v>125</v>
      </c>
      <c r="D1801" s="45" t="s">
        <v>79</v>
      </c>
      <c r="E1801" s="45">
        <v>86323</v>
      </c>
      <c r="F1801" s="45" t="s">
        <v>4520</v>
      </c>
      <c r="G1801" s="76" t="s">
        <v>4071</v>
      </c>
      <c r="H1801" s="80" t="s">
        <v>4521</v>
      </c>
      <c r="I1801" s="81" t="s">
        <v>67</v>
      </c>
      <c r="J1801" s="81" t="s">
        <v>32</v>
      </c>
      <c r="K1801" s="81" t="s">
        <v>31</v>
      </c>
      <c r="L1801" s="81" t="s">
        <v>32</v>
      </c>
      <c r="M1801" s="81" t="s">
        <v>31</v>
      </c>
      <c r="N1801" s="81" t="s">
        <v>31</v>
      </c>
      <c r="O1801" s="81" t="s">
        <v>32</v>
      </c>
      <c r="P1801" s="81" t="s">
        <v>33</v>
      </c>
      <c r="Q1801" s="33">
        <v>46058</v>
      </c>
      <c r="R1801" s="45"/>
      <c r="S1801" s="45"/>
      <c r="T1801" s="45"/>
      <c r="U1801" s="45"/>
      <c r="V1801" s="45">
        <f>IF(OR(ISNUMBER(SEARCH("unable to locate acct",G1801)),ISNUMBER(SEARCH("unknown",G1801)),ISNUMBER(SEARCH("inactive",G1801)),H1801=""),0,1)</f>
        <v>1</v>
      </c>
      <c r="W1801" s="34"/>
    </row>
    <row r="1802" spans="1:23">
      <c r="A1802" s="74">
        <v>46049</v>
      </c>
      <c r="B1802" s="45" t="s">
        <v>4522</v>
      </c>
      <c r="C1802" s="45" t="s">
        <v>588</v>
      </c>
      <c r="D1802" s="45" t="s">
        <v>363</v>
      </c>
      <c r="E1802" s="45">
        <v>85225</v>
      </c>
      <c r="F1802" s="45" t="s">
        <v>4523</v>
      </c>
      <c r="G1802" s="76" t="s">
        <v>4071</v>
      </c>
      <c r="H1802" s="80" t="s">
        <v>21</v>
      </c>
      <c r="I1802" s="81"/>
      <c r="J1802" s="81"/>
      <c r="K1802" s="81"/>
      <c r="L1802" s="81"/>
      <c r="M1802" s="81"/>
      <c r="N1802" s="81"/>
      <c r="O1802" s="81"/>
      <c r="P1802" s="81"/>
      <c r="R1802" s="45"/>
      <c r="S1802" s="45"/>
      <c r="T1802" s="45"/>
      <c r="U1802" s="45"/>
      <c r="V1802" s="45">
        <f>IF(OR(ISNUMBER(SEARCH("unable to locate acct",G1802)),ISNUMBER(SEARCH("unknown",G1802)),ISNUMBER(SEARCH("inactive",G1802)),H1802=""),0,1)</f>
        <v>1</v>
      </c>
    </row>
    <row r="1803" spans="1:23">
      <c r="A1803" s="74">
        <v>46049</v>
      </c>
      <c r="B1803" s="45" t="s">
        <v>4524</v>
      </c>
      <c r="C1803" s="45" t="s">
        <v>171</v>
      </c>
      <c r="D1803" s="45" t="s">
        <v>18</v>
      </c>
      <c r="E1803" s="45">
        <v>85308</v>
      </c>
      <c r="F1803" s="45" t="s">
        <v>4525</v>
      </c>
      <c r="G1803" s="76" t="s">
        <v>4071</v>
      </c>
      <c r="H1803" s="80" t="s">
        <v>21</v>
      </c>
      <c r="I1803" s="81"/>
      <c r="J1803" s="81"/>
      <c r="K1803" s="81"/>
      <c r="L1803" s="81"/>
      <c r="M1803" s="81"/>
      <c r="N1803" s="81"/>
      <c r="O1803" s="81"/>
      <c r="P1803" s="81"/>
      <c r="R1803" s="45"/>
      <c r="S1803" s="45"/>
      <c r="T1803" s="45"/>
      <c r="U1803" s="45"/>
      <c r="V1803" s="45">
        <f>IF(OR(ISNUMBER(SEARCH("unable to locate acct",G1803)),ISNUMBER(SEARCH("unknown",G1803)),ISNUMBER(SEARCH("inactive",G1803)),H1803=""),0,1)</f>
        <v>1</v>
      </c>
    </row>
    <row r="1804" spans="1:23">
      <c r="A1804" s="74">
        <v>46049</v>
      </c>
      <c r="B1804" s="45" t="s">
        <v>4526</v>
      </c>
      <c r="C1804" s="45" t="s">
        <v>4527</v>
      </c>
      <c r="D1804" s="45" t="s">
        <v>196</v>
      </c>
      <c r="E1804" s="45">
        <v>85383</v>
      </c>
      <c r="F1804" s="45" t="s">
        <v>4528</v>
      </c>
      <c r="G1804" s="76" t="s">
        <v>4071</v>
      </c>
      <c r="H1804" s="80" t="s">
        <v>21</v>
      </c>
      <c r="I1804" s="81"/>
      <c r="J1804" s="81"/>
      <c r="K1804" s="81"/>
      <c r="L1804" s="81"/>
      <c r="M1804" s="81"/>
      <c r="N1804" s="81"/>
      <c r="O1804" s="81"/>
      <c r="P1804" s="81"/>
      <c r="R1804" s="45"/>
      <c r="S1804" s="45"/>
      <c r="T1804" s="45"/>
      <c r="U1804" s="45"/>
      <c r="V1804" s="45">
        <f>IF(OR(ISNUMBER(SEARCH("unable to locate acct",G1804)),ISNUMBER(SEARCH("unknown",G1804)),ISNUMBER(SEARCH("inactive",G1804)),H1804=""),0,1)</f>
        <v>1</v>
      </c>
    </row>
    <row r="1805" spans="1:23">
      <c r="A1805" s="74">
        <v>46049</v>
      </c>
      <c r="B1805" s="45" t="s">
        <v>4079</v>
      </c>
      <c r="C1805" s="45" t="s">
        <v>4529</v>
      </c>
      <c r="D1805" s="45" t="s">
        <v>3626</v>
      </c>
      <c r="E1805" s="45">
        <v>85043</v>
      </c>
      <c r="F1805" s="45" t="s">
        <v>4530</v>
      </c>
      <c r="G1805" s="76" t="s">
        <v>4071</v>
      </c>
      <c r="H1805" s="80" t="s">
        <v>21</v>
      </c>
      <c r="I1805" s="81"/>
      <c r="J1805" s="81"/>
      <c r="K1805" s="81"/>
      <c r="L1805" s="81"/>
      <c r="M1805" s="81"/>
      <c r="N1805" s="81"/>
      <c r="O1805" s="81"/>
      <c r="P1805" s="81"/>
      <c r="R1805" s="45"/>
      <c r="S1805" s="45"/>
      <c r="T1805" s="45"/>
      <c r="U1805" s="45"/>
      <c r="V1805" s="45">
        <f>IF(OR(ISNUMBER(SEARCH("unable to locate acct",G1805)),ISNUMBER(SEARCH("unknown",G1805)),ISNUMBER(SEARCH("inactive",G1805)),H1805=""),0,1)</f>
        <v>1</v>
      </c>
    </row>
    <row r="1806" spans="1:23">
      <c r="A1806" s="74">
        <v>46049</v>
      </c>
      <c r="B1806" s="45" t="s">
        <v>4531</v>
      </c>
      <c r="C1806" s="45" t="s">
        <v>2590</v>
      </c>
      <c r="D1806" s="45" t="s">
        <v>18</v>
      </c>
      <c r="E1806" s="45">
        <v>85306</v>
      </c>
      <c r="F1806" s="45" t="s">
        <v>4532</v>
      </c>
      <c r="G1806" s="76" t="s">
        <v>4071</v>
      </c>
      <c r="H1806" s="80" t="s">
        <v>21</v>
      </c>
      <c r="I1806" s="81"/>
      <c r="J1806" s="81"/>
      <c r="K1806" s="81"/>
      <c r="L1806" s="81"/>
      <c r="M1806" s="81"/>
      <c r="N1806" s="81"/>
      <c r="O1806" s="81"/>
      <c r="P1806" s="81"/>
      <c r="R1806" s="45"/>
      <c r="S1806" s="45"/>
      <c r="T1806" s="45"/>
      <c r="U1806" s="45"/>
      <c r="V1806" s="45">
        <f>IF(OR(ISNUMBER(SEARCH("unable to locate acct",G1806)),ISNUMBER(SEARCH("unknown",G1806)),ISNUMBER(SEARCH("inactive",G1806)),H1806=""),0,1)</f>
        <v>1</v>
      </c>
    </row>
    <row r="1807" spans="1:23">
      <c r="A1807" s="74">
        <v>46049</v>
      </c>
      <c r="B1807" s="45" t="s">
        <v>4533</v>
      </c>
      <c r="C1807" s="45" t="s">
        <v>219</v>
      </c>
      <c r="D1807" s="45" t="s">
        <v>123</v>
      </c>
      <c r="E1807" s="45">
        <v>85233</v>
      </c>
      <c r="F1807" s="45" t="s">
        <v>4534</v>
      </c>
      <c r="G1807" s="76" t="s">
        <v>4071</v>
      </c>
      <c r="H1807" s="80" t="s">
        <v>4535</v>
      </c>
      <c r="I1807" s="81" t="s">
        <v>532</v>
      </c>
      <c r="J1807" s="81" t="s">
        <v>31</v>
      </c>
      <c r="K1807" s="81" t="s">
        <v>31</v>
      </c>
      <c r="L1807" s="81" t="s">
        <v>3543</v>
      </c>
      <c r="M1807" s="81" t="s">
        <v>31</v>
      </c>
      <c r="N1807" s="81" t="s">
        <v>31</v>
      </c>
      <c r="O1807" s="81" t="s">
        <v>32</v>
      </c>
      <c r="P1807" s="81" t="s">
        <v>33</v>
      </c>
      <c r="Q1807" s="2">
        <v>46058</v>
      </c>
      <c r="R1807" s="45"/>
      <c r="S1807" s="45"/>
      <c r="T1807" s="45"/>
      <c r="U1807" s="45"/>
      <c r="V1807" s="45">
        <f>IF(OR(ISNUMBER(SEARCH("unable to locate acct",G1807)),ISNUMBER(SEARCH("unknown",G1807)),ISNUMBER(SEARCH("inactive",G1807)),H1807=""),0,1)</f>
        <v>1</v>
      </c>
    </row>
    <row r="1808" spans="1:23">
      <c r="A1808" s="74">
        <v>46049</v>
      </c>
      <c r="B1808" s="45" t="s">
        <v>4536</v>
      </c>
      <c r="C1808" s="45" t="s">
        <v>4537</v>
      </c>
      <c r="D1808" s="45" t="s">
        <v>1810</v>
      </c>
      <c r="E1808" s="45">
        <v>85128</v>
      </c>
      <c r="F1808" s="45" t="s">
        <v>4538</v>
      </c>
      <c r="G1808" s="76" t="s">
        <v>4071</v>
      </c>
      <c r="H1808" s="80" t="s">
        <v>4539</v>
      </c>
      <c r="I1808" s="81" t="s">
        <v>40</v>
      </c>
      <c r="J1808" s="81" t="s">
        <v>31</v>
      </c>
      <c r="K1808" s="81" t="s">
        <v>31</v>
      </c>
      <c r="L1808" s="81" t="s">
        <v>32</v>
      </c>
      <c r="M1808" s="81" t="s">
        <v>31</v>
      </c>
      <c r="N1808" s="81" t="s">
        <v>31</v>
      </c>
      <c r="O1808" s="81" t="s">
        <v>32</v>
      </c>
      <c r="P1808" s="81" t="s">
        <v>33</v>
      </c>
      <c r="Q1808" s="2">
        <v>46058</v>
      </c>
      <c r="R1808" s="45"/>
      <c r="S1808" s="45"/>
      <c r="T1808" s="45"/>
      <c r="U1808" s="45"/>
      <c r="V1808" s="45">
        <f>IF(OR(ISNUMBER(SEARCH("unable to locate acct",G1808)),ISNUMBER(SEARCH("unknown",G1808)),ISNUMBER(SEARCH("inactive",G1808)),H1808=""),0,1)</f>
        <v>1</v>
      </c>
    </row>
    <row r="1809" spans="1:23">
      <c r="A1809" s="74">
        <v>46049</v>
      </c>
      <c r="B1809" s="45" t="s">
        <v>4381</v>
      </c>
      <c r="C1809" s="45" t="s">
        <v>3477</v>
      </c>
      <c r="D1809" s="45" t="s">
        <v>610</v>
      </c>
      <c r="E1809" s="45">
        <v>85364</v>
      </c>
      <c r="F1809" s="45" t="s">
        <v>4540</v>
      </c>
      <c r="G1809" s="76" t="s">
        <v>4071</v>
      </c>
      <c r="H1809" s="80" t="s">
        <v>4383</v>
      </c>
      <c r="I1809" s="81" t="s">
        <v>532</v>
      </c>
      <c r="J1809" s="81" t="s">
        <v>31</v>
      </c>
      <c r="K1809" s="81" t="s">
        <v>31</v>
      </c>
      <c r="L1809" s="81" t="s">
        <v>3543</v>
      </c>
      <c r="M1809" s="81" t="s">
        <v>31</v>
      </c>
      <c r="N1809" s="81" t="s">
        <v>31</v>
      </c>
      <c r="O1809" s="81" t="s">
        <v>32</v>
      </c>
      <c r="P1809" s="81" t="s">
        <v>33</v>
      </c>
      <c r="Q1809" s="2">
        <v>46058</v>
      </c>
      <c r="R1809" s="45"/>
      <c r="S1809" s="45"/>
      <c r="T1809" s="45"/>
      <c r="U1809" s="45"/>
      <c r="V1809" s="45">
        <f>IF(OR(ISNUMBER(SEARCH("unable to locate acct",G1809)),ISNUMBER(SEARCH("unknown",G1809)),ISNUMBER(SEARCH("inactive",G1809)),H1809=""),0,1)</f>
        <v>1</v>
      </c>
    </row>
    <row r="1810" spans="1:23">
      <c r="A1810" s="74">
        <v>46049</v>
      </c>
      <c r="B1810" s="45" t="s">
        <v>4541</v>
      </c>
      <c r="C1810" s="45" t="s">
        <v>4542</v>
      </c>
      <c r="D1810" s="45" t="s">
        <v>57</v>
      </c>
      <c r="E1810" s="45">
        <v>85015</v>
      </c>
      <c r="F1810" s="45" t="s">
        <v>4543</v>
      </c>
      <c r="G1810" s="76" t="s">
        <v>4071</v>
      </c>
      <c r="H1810" s="80" t="s">
        <v>21</v>
      </c>
      <c r="I1810" s="81"/>
      <c r="J1810" s="81"/>
      <c r="K1810" s="81"/>
      <c r="L1810" s="81"/>
      <c r="M1810" s="81"/>
      <c r="N1810" s="81"/>
      <c r="O1810" s="81"/>
      <c r="P1810" s="81"/>
      <c r="R1810" s="45"/>
      <c r="S1810" s="45"/>
      <c r="T1810" s="45"/>
      <c r="U1810" s="45"/>
      <c r="V1810" s="45">
        <f>IF(OR(ISNUMBER(SEARCH("unable to locate acct",G1810)),ISNUMBER(SEARCH("unknown",G1810)),ISNUMBER(SEARCH("inactive",G1810)),H1810=""),0,1)</f>
        <v>1</v>
      </c>
    </row>
    <row r="1811" spans="1:23">
      <c r="A1811" s="74">
        <v>46048</v>
      </c>
      <c r="B1811" s="45" t="s">
        <v>4544</v>
      </c>
      <c r="C1811" s="45" t="s">
        <v>4545</v>
      </c>
      <c r="D1811" s="45" t="s">
        <v>404</v>
      </c>
      <c r="E1811" s="45">
        <v>85123</v>
      </c>
      <c r="F1811" s="45" t="s">
        <v>4546</v>
      </c>
      <c r="G1811" s="76" t="s">
        <v>4071</v>
      </c>
      <c r="H1811" s="80" t="s">
        <v>4547</v>
      </c>
      <c r="I1811" s="81" t="s">
        <v>30</v>
      </c>
      <c r="J1811" s="81" t="s">
        <v>31</v>
      </c>
      <c r="K1811" s="81" t="s">
        <v>31</v>
      </c>
      <c r="L1811" s="81" t="s">
        <v>32</v>
      </c>
      <c r="M1811" s="81" t="s">
        <v>31</v>
      </c>
      <c r="N1811" s="81" t="s">
        <v>31</v>
      </c>
      <c r="O1811" s="81" t="s">
        <v>32</v>
      </c>
      <c r="P1811" s="81" t="s">
        <v>33</v>
      </c>
      <c r="Q1811" s="2">
        <v>46058</v>
      </c>
      <c r="R1811" s="45"/>
      <c r="S1811" s="45"/>
      <c r="T1811" s="45"/>
      <c r="U1811" s="45"/>
      <c r="V1811" s="45">
        <f>IF(OR(ISNUMBER(SEARCH("unable to locate acct",G1811)),ISNUMBER(SEARCH("unknown",G1811)),ISNUMBER(SEARCH("inactive",G1811)),H1811=""),0,1)</f>
        <v>1</v>
      </c>
    </row>
    <row r="1812" spans="1:23">
      <c r="A1812" s="74">
        <v>46055</v>
      </c>
      <c r="B1812" s="45" t="s">
        <v>2736</v>
      </c>
      <c r="C1812" s="45" t="s">
        <v>602</v>
      </c>
      <c r="D1812" s="45" t="s">
        <v>57</v>
      </c>
      <c r="E1812" s="45">
        <v>85022</v>
      </c>
      <c r="F1812" s="45" t="s">
        <v>4548</v>
      </c>
      <c r="G1812" s="76" t="s">
        <v>4549</v>
      </c>
      <c r="H1812" s="80" t="s">
        <v>2738</v>
      </c>
      <c r="I1812" s="81" t="s">
        <v>30</v>
      </c>
      <c r="J1812" s="81" t="s">
        <v>31</v>
      </c>
      <c r="K1812" s="81" t="s">
        <v>31</v>
      </c>
      <c r="L1812" s="81" t="s">
        <v>32</v>
      </c>
      <c r="M1812" s="81" t="s">
        <v>31</v>
      </c>
      <c r="N1812" s="81" t="s">
        <v>31</v>
      </c>
      <c r="O1812" s="81" t="s">
        <v>32</v>
      </c>
      <c r="P1812" s="81" t="s">
        <v>33</v>
      </c>
      <c r="Q1812" s="2">
        <v>46058</v>
      </c>
      <c r="R1812" s="45"/>
      <c r="S1812" s="45"/>
      <c r="T1812" s="45"/>
      <c r="U1812" s="45"/>
      <c r="V1812" s="45">
        <f>IF(OR(ISNUMBER(SEARCH("unable to locate acct",G1812)),ISNUMBER(SEARCH("unknown",G1812)),ISNUMBER(SEARCH("inactive",G1812)),H1812=""),0,1)</f>
        <v>1</v>
      </c>
    </row>
    <row r="1813" spans="1:23">
      <c r="A1813" s="74">
        <v>46055</v>
      </c>
      <c r="B1813" s="45" t="s">
        <v>4041</v>
      </c>
      <c r="C1813" s="45" t="s">
        <v>4042</v>
      </c>
      <c r="D1813" s="45" t="s">
        <v>255</v>
      </c>
      <c r="E1813" s="45">
        <v>86314</v>
      </c>
      <c r="F1813" s="45" t="s">
        <v>4550</v>
      </c>
      <c r="G1813" s="76" t="s">
        <v>4549</v>
      </c>
      <c r="H1813" s="80" t="s">
        <v>4044</v>
      </c>
      <c r="I1813" s="81" t="s">
        <v>40</v>
      </c>
      <c r="J1813" s="81" t="s">
        <v>31</v>
      </c>
      <c r="K1813" s="81" t="s">
        <v>31</v>
      </c>
      <c r="L1813" s="81" t="s">
        <v>32</v>
      </c>
      <c r="M1813" s="81" t="s">
        <v>31</v>
      </c>
      <c r="N1813" s="81" t="s">
        <v>31</v>
      </c>
      <c r="O1813" s="81" t="s">
        <v>32</v>
      </c>
      <c r="P1813" s="81" t="s">
        <v>33</v>
      </c>
      <c r="Q1813" s="2">
        <v>46058</v>
      </c>
      <c r="R1813" s="45"/>
      <c r="S1813" s="45"/>
      <c r="T1813" s="45"/>
      <c r="U1813" s="45"/>
      <c r="V1813" s="45">
        <f>IF(OR(ISNUMBER(SEARCH("unable to locate acct",G1813)),ISNUMBER(SEARCH("unknown",G1813)),ISNUMBER(SEARCH("inactive",G1813)),H1813=""),0,1)</f>
        <v>1</v>
      </c>
    </row>
    <row r="1814" spans="1:23">
      <c r="A1814" s="74">
        <v>46055</v>
      </c>
      <c r="B1814" s="45" t="s">
        <v>4037</v>
      </c>
      <c r="C1814" s="45" t="s">
        <v>1699</v>
      </c>
      <c r="D1814" s="45" t="s">
        <v>87</v>
      </c>
      <c r="E1814" s="45">
        <v>85351</v>
      </c>
      <c r="F1814" s="45" t="s">
        <v>4551</v>
      </c>
      <c r="G1814" s="76" t="s">
        <v>4549</v>
      </c>
      <c r="H1814" s="80" t="s">
        <v>4040</v>
      </c>
      <c r="I1814" s="81" t="s">
        <v>30</v>
      </c>
      <c r="J1814" s="81" t="s">
        <v>31</v>
      </c>
      <c r="K1814" s="81" t="s">
        <v>31</v>
      </c>
      <c r="L1814" s="81" t="s">
        <v>32</v>
      </c>
      <c r="M1814" s="81" t="s">
        <v>31</v>
      </c>
      <c r="N1814" s="81" t="s">
        <v>31</v>
      </c>
      <c r="O1814" s="81" t="s">
        <v>32</v>
      </c>
      <c r="P1814" s="81" t="s">
        <v>33</v>
      </c>
      <c r="Q1814" s="2">
        <v>46058</v>
      </c>
      <c r="R1814" s="45"/>
      <c r="S1814" s="45"/>
      <c r="T1814" s="45"/>
      <c r="U1814" s="45"/>
      <c r="V1814" s="45">
        <f>IF(OR(ISNUMBER(SEARCH("unable to locate acct",G1814)),ISNUMBER(SEARCH("unknown",G1814)),ISNUMBER(SEARCH("inactive",G1814)),H1814=""),0,1)</f>
        <v>1</v>
      </c>
    </row>
    <row r="1815" spans="1:23">
      <c r="A1815" s="74">
        <v>46055</v>
      </c>
      <c r="B1815" s="45" t="s">
        <v>202</v>
      </c>
      <c r="C1815" s="45" t="s">
        <v>1608</v>
      </c>
      <c r="D1815" s="45" t="s">
        <v>57</v>
      </c>
      <c r="E1815" s="45">
        <v>85023</v>
      </c>
      <c r="F1815" s="45" t="s">
        <v>4552</v>
      </c>
      <c r="G1815" s="76" t="s">
        <v>4549</v>
      </c>
      <c r="H1815" s="80" t="s">
        <v>4553</v>
      </c>
      <c r="I1815" s="81" t="s">
        <v>30</v>
      </c>
      <c r="J1815" s="81" t="s">
        <v>31</v>
      </c>
      <c r="K1815" s="81" t="s">
        <v>31</v>
      </c>
      <c r="L1815" s="81" t="s">
        <v>32</v>
      </c>
      <c r="M1815" s="81" t="s">
        <v>31</v>
      </c>
      <c r="N1815" s="81" t="s">
        <v>31</v>
      </c>
      <c r="O1815" s="81" t="s">
        <v>32</v>
      </c>
      <c r="P1815" s="81" t="s">
        <v>33</v>
      </c>
      <c r="Q1815" s="2">
        <v>46058</v>
      </c>
      <c r="R1815" s="45"/>
      <c r="S1815" s="45"/>
      <c r="T1815" s="45"/>
      <c r="U1815" s="45"/>
      <c r="V1815" s="45">
        <f>IF(OR(ISNUMBER(SEARCH("unable to locate acct",G1815)),ISNUMBER(SEARCH("unknown",G1815)),ISNUMBER(SEARCH("inactive",G1815)),H1815=""),0,1)</f>
        <v>1</v>
      </c>
    </row>
    <row r="1816" spans="1:23">
      <c r="A1816" s="74">
        <v>46055</v>
      </c>
      <c r="B1816" s="45" t="s">
        <v>4554</v>
      </c>
      <c r="C1816" s="45" t="s">
        <v>4555</v>
      </c>
      <c r="D1816" s="45" t="s">
        <v>610</v>
      </c>
      <c r="E1816" s="45">
        <v>85364</v>
      </c>
      <c r="F1816" s="45" t="s">
        <v>4556</v>
      </c>
      <c r="G1816" s="76" t="s">
        <v>4549</v>
      </c>
      <c r="H1816" s="80" t="s">
        <v>4557</v>
      </c>
      <c r="I1816" s="81" t="s">
        <v>190</v>
      </c>
      <c r="J1816" s="81" t="s">
        <v>32</v>
      </c>
      <c r="K1816" s="81" t="s">
        <v>31</v>
      </c>
      <c r="L1816" s="81" t="s">
        <v>4558</v>
      </c>
      <c r="M1816" s="81" t="s">
        <v>32</v>
      </c>
      <c r="N1816" s="82">
        <v>163.08000000000001</v>
      </c>
      <c r="O1816" s="81" t="s">
        <v>32</v>
      </c>
      <c r="P1816" s="81"/>
      <c r="Q1816" s="41">
        <v>46058</v>
      </c>
      <c r="R1816" s="45" t="s">
        <v>4559</v>
      </c>
      <c r="S1816" s="45"/>
      <c r="T1816" s="45"/>
      <c r="U1816" s="45"/>
      <c r="V1816" s="45">
        <f>IF(OR(ISNUMBER(SEARCH("unable to locate acct",G1816)),ISNUMBER(SEARCH("unknown",G1816)),ISNUMBER(SEARCH("inactive",G1816)),H1816=""),0,1)</f>
        <v>1</v>
      </c>
      <c r="W1816" s="32"/>
    </row>
    <row r="1817" spans="1:23">
      <c r="A1817" s="74">
        <v>46055</v>
      </c>
      <c r="B1817" s="45" t="s">
        <v>2272</v>
      </c>
      <c r="C1817" s="45" t="s">
        <v>193</v>
      </c>
      <c r="D1817" s="45" t="s">
        <v>495</v>
      </c>
      <c r="E1817" s="45">
        <v>86001</v>
      </c>
      <c r="F1817" s="45" t="s">
        <v>4560</v>
      </c>
      <c r="G1817" s="76" t="s">
        <v>4549</v>
      </c>
      <c r="H1817" s="80" t="s">
        <v>84</v>
      </c>
      <c r="I1817" s="81"/>
      <c r="J1817" s="81"/>
      <c r="K1817" s="81"/>
      <c r="L1817" s="81"/>
      <c r="M1817" s="81"/>
      <c r="N1817" s="81"/>
      <c r="O1817" s="81"/>
      <c r="P1817" s="81"/>
      <c r="R1817" s="45"/>
      <c r="S1817" s="45"/>
      <c r="T1817" s="45"/>
      <c r="U1817" s="45"/>
      <c r="V1817" s="45">
        <f>IF(OR(ISNUMBER(SEARCH("unable to locate acct",G1817)),ISNUMBER(SEARCH("unknown",G1817)),ISNUMBER(SEARCH("inactive",G1817)),H1817=""),0,1)</f>
        <v>1</v>
      </c>
    </row>
    <row r="1818" spans="1:23">
      <c r="A1818" s="74">
        <v>46055</v>
      </c>
      <c r="B1818" s="45" t="s">
        <v>4561</v>
      </c>
      <c r="C1818" s="45" t="s">
        <v>534</v>
      </c>
      <c r="D1818" s="45" t="s">
        <v>495</v>
      </c>
      <c r="E1818" s="45">
        <v>86001</v>
      </c>
      <c r="F1818" s="45" t="s">
        <v>4562</v>
      </c>
      <c r="G1818" s="76" t="s">
        <v>4549</v>
      </c>
      <c r="H1818" s="80" t="s">
        <v>4563</v>
      </c>
      <c r="I1818" s="81" t="s">
        <v>190</v>
      </c>
      <c r="J1818" s="81" t="s">
        <v>31</v>
      </c>
      <c r="K1818" s="81" t="s">
        <v>31</v>
      </c>
      <c r="L1818" s="81" t="s">
        <v>32</v>
      </c>
      <c r="M1818" s="81" t="s">
        <v>31</v>
      </c>
      <c r="N1818" s="81" t="s">
        <v>31</v>
      </c>
      <c r="O1818" s="81" t="s">
        <v>32</v>
      </c>
      <c r="P1818" s="81" t="s">
        <v>33</v>
      </c>
      <c r="Q1818" s="2">
        <v>46058</v>
      </c>
      <c r="R1818" s="45"/>
      <c r="S1818" s="45"/>
      <c r="T1818" s="45"/>
      <c r="U1818" s="45"/>
      <c r="V1818" s="45">
        <f>IF(OR(ISNUMBER(SEARCH("unable to locate acct",G1818)),ISNUMBER(SEARCH("unknown",G1818)),ISNUMBER(SEARCH("inactive",G1818)),H1818=""),0,1)</f>
        <v>1</v>
      </c>
    </row>
    <row r="1819" spans="1:23">
      <c r="A1819" s="74">
        <v>46055</v>
      </c>
      <c r="B1819" s="45" t="s">
        <v>459</v>
      </c>
      <c r="C1819" s="45" t="s">
        <v>250</v>
      </c>
      <c r="D1819" s="45" t="s">
        <v>196</v>
      </c>
      <c r="E1819" s="45">
        <v>85345</v>
      </c>
      <c r="F1819" s="45" t="s">
        <v>4564</v>
      </c>
      <c r="G1819" s="76" t="s">
        <v>4549</v>
      </c>
      <c r="H1819" s="80" t="s">
        <v>21</v>
      </c>
      <c r="I1819" s="81"/>
      <c r="J1819" s="81"/>
      <c r="K1819" s="81"/>
      <c r="L1819" s="81"/>
      <c r="M1819" s="81"/>
      <c r="N1819" s="81"/>
      <c r="O1819" s="81"/>
      <c r="P1819" s="81"/>
      <c r="R1819" s="45"/>
      <c r="S1819" s="45"/>
      <c r="T1819" s="45"/>
      <c r="U1819" s="45"/>
      <c r="V1819" s="45">
        <f>IF(OR(ISNUMBER(SEARCH("unable to locate acct",G1819)),ISNUMBER(SEARCH("unknown",G1819)),ISNUMBER(SEARCH("inactive",G1819)),H1819=""),0,1)</f>
        <v>1</v>
      </c>
    </row>
    <row r="1820" spans="1:23">
      <c r="A1820" s="74">
        <v>46055</v>
      </c>
      <c r="B1820" s="45" t="s">
        <v>459</v>
      </c>
      <c r="C1820" s="45" t="s">
        <v>759</v>
      </c>
      <c r="D1820" s="45" t="s">
        <v>196</v>
      </c>
      <c r="E1820" s="45">
        <v>85345</v>
      </c>
      <c r="F1820" s="45" t="s">
        <v>4565</v>
      </c>
      <c r="G1820" s="76" t="s">
        <v>4549</v>
      </c>
      <c r="H1820" s="80" t="s">
        <v>21</v>
      </c>
      <c r="I1820" s="81"/>
      <c r="J1820" s="81"/>
      <c r="K1820" s="81"/>
      <c r="L1820" s="81"/>
      <c r="M1820" s="81"/>
      <c r="N1820" s="81"/>
      <c r="O1820" s="81"/>
      <c r="P1820" s="81"/>
      <c r="R1820" s="45"/>
      <c r="S1820" s="45"/>
      <c r="T1820" s="45"/>
      <c r="U1820" s="45"/>
      <c r="V1820" s="45">
        <f>IF(OR(ISNUMBER(SEARCH("unable to locate acct",G1820)),ISNUMBER(SEARCH("unknown",G1820)),ISNUMBER(SEARCH("inactive",G1820)),H1820=""),0,1)</f>
        <v>1</v>
      </c>
    </row>
    <row r="1821" spans="1:23">
      <c r="A1821" s="74">
        <v>46055</v>
      </c>
      <c r="B1821" s="45" t="s">
        <v>4566</v>
      </c>
      <c r="C1821" s="45" t="s">
        <v>588</v>
      </c>
      <c r="D1821" s="45" t="s">
        <v>57</v>
      </c>
      <c r="E1821" s="45">
        <v>85020</v>
      </c>
      <c r="F1821" s="45" t="s">
        <v>4567</v>
      </c>
      <c r="G1821" s="76" t="s">
        <v>4549</v>
      </c>
      <c r="H1821" s="80" t="s">
        <v>21</v>
      </c>
      <c r="I1821" s="81"/>
      <c r="J1821" s="81"/>
      <c r="K1821" s="81"/>
      <c r="L1821" s="81"/>
      <c r="M1821" s="81"/>
      <c r="N1821" s="81"/>
      <c r="O1821" s="81"/>
      <c r="P1821" s="81"/>
      <c r="R1821" s="45"/>
      <c r="S1821" s="45"/>
      <c r="T1821" s="45"/>
      <c r="U1821" s="45"/>
      <c r="V1821" s="45">
        <f>IF(OR(ISNUMBER(SEARCH("unable to locate acct",G1821)),ISNUMBER(SEARCH("unknown",G1821)),ISNUMBER(SEARCH("inactive",G1821)),H1821=""),0,1)</f>
        <v>1</v>
      </c>
    </row>
    <row r="1822" spans="1:23">
      <c r="A1822" s="74">
        <v>46055</v>
      </c>
      <c r="B1822" s="45" t="s">
        <v>4568</v>
      </c>
      <c r="C1822" s="45" t="s">
        <v>301</v>
      </c>
      <c r="D1822" s="45" t="s">
        <v>57</v>
      </c>
      <c r="E1822" s="45">
        <v>85029</v>
      </c>
      <c r="F1822" s="45" t="s">
        <v>4569</v>
      </c>
      <c r="G1822" s="76" t="s">
        <v>4549</v>
      </c>
      <c r="H1822" s="80" t="s">
        <v>21</v>
      </c>
      <c r="I1822" s="81"/>
      <c r="J1822" s="81"/>
      <c r="K1822" s="81"/>
      <c r="L1822" s="81"/>
      <c r="M1822" s="81"/>
      <c r="N1822" s="81"/>
      <c r="O1822" s="81"/>
      <c r="P1822" s="81"/>
      <c r="R1822" s="45"/>
      <c r="S1822" s="45"/>
      <c r="T1822" s="45"/>
      <c r="U1822" s="45"/>
      <c r="V1822" s="45">
        <f>IF(OR(ISNUMBER(SEARCH("unable to locate acct",G1822)),ISNUMBER(SEARCH("unknown",G1822)),ISNUMBER(SEARCH("inactive",G1822)),H1822=""),0,1)</f>
        <v>1</v>
      </c>
    </row>
    <row r="1823" spans="1:23">
      <c r="A1823" s="74">
        <v>46055</v>
      </c>
      <c r="B1823" s="45" t="s">
        <v>1954</v>
      </c>
      <c r="C1823" s="45" t="s">
        <v>1602</v>
      </c>
      <c r="D1823" s="45" t="s">
        <v>57</v>
      </c>
      <c r="E1823" s="45">
        <v>85009</v>
      </c>
      <c r="F1823" s="45" t="s">
        <v>4570</v>
      </c>
      <c r="G1823" s="76" t="s">
        <v>4549</v>
      </c>
      <c r="H1823" s="80" t="s">
        <v>4571</v>
      </c>
      <c r="I1823" s="81" t="s">
        <v>67</v>
      </c>
      <c r="J1823" s="81" t="s">
        <v>32</v>
      </c>
      <c r="K1823" s="81" t="s">
        <v>31</v>
      </c>
      <c r="L1823" s="81" t="s">
        <v>32</v>
      </c>
      <c r="M1823" s="81" t="s">
        <v>31</v>
      </c>
      <c r="N1823" s="81" t="s">
        <v>31</v>
      </c>
      <c r="O1823" s="81" t="s">
        <v>32</v>
      </c>
      <c r="P1823" s="81" t="s">
        <v>33</v>
      </c>
      <c r="Q1823" s="2">
        <v>46058</v>
      </c>
      <c r="R1823" s="45"/>
      <c r="S1823" s="45"/>
      <c r="T1823" s="45"/>
      <c r="U1823" s="45"/>
      <c r="V1823" s="45">
        <f>IF(OR(ISNUMBER(SEARCH("unable to locate acct",G1823)),ISNUMBER(SEARCH("unknown",G1823)),ISNUMBER(SEARCH("inactive",G1823)),H1823=""),0,1)</f>
        <v>1</v>
      </c>
    </row>
    <row r="1824" spans="1:23">
      <c r="A1824" s="74">
        <v>46055</v>
      </c>
      <c r="B1824" s="45" t="s">
        <v>4572</v>
      </c>
      <c r="C1824" s="45" t="s">
        <v>4573</v>
      </c>
      <c r="D1824" s="45" t="s">
        <v>57</v>
      </c>
      <c r="E1824" s="45">
        <v>85023</v>
      </c>
      <c r="F1824" s="45" t="s">
        <v>4574</v>
      </c>
      <c r="G1824" s="76" t="s">
        <v>4549</v>
      </c>
      <c r="H1824" s="80" t="s">
        <v>21</v>
      </c>
      <c r="I1824" s="81"/>
      <c r="J1824" s="81"/>
      <c r="K1824" s="81"/>
      <c r="L1824" s="81"/>
      <c r="M1824" s="81"/>
      <c r="N1824" s="81"/>
      <c r="O1824" s="81"/>
      <c r="P1824" s="81"/>
      <c r="R1824" s="45"/>
      <c r="S1824" s="45"/>
      <c r="T1824" s="45"/>
      <c r="U1824" s="45"/>
      <c r="V1824" s="45">
        <f>IF(OR(ISNUMBER(SEARCH("unable to locate acct",G1824)),ISNUMBER(SEARCH("unknown",G1824)),ISNUMBER(SEARCH("inactive",G1824)),H1824=""),0,1)</f>
        <v>1</v>
      </c>
    </row>
    <row r="1825" spans="1:23">
      <c r="A1825" s="74">
        <v>46055</v>
      </c>
      <c r="B1825" s="45" t="s">
        <v>4575</v>
      </c>
      <c r="C1825" s="45" t="s">
        <v>3019</v>
      </c>
      <c r="D1825" s="45" t="s">
        <v>79</v>
      </c>
      <c r="E1825" s="45">
        <v>86323</v>
      </c>
      <c r="F1825" s="45" t="s">
        <v>4576</v>
      </c>
      <c r="G1825" s="76" t="s">
        <v>4549</v>
      </c>
      <c r="H1825" s="80" t="s">
        <v>4577</v>
      </c>
      <c r="I1825" s="81" t="s">
        <v>67</v>
      </c>
      <c r="J1825" s="81" t="s">
        <v>31</v>
      </c>
      <c r="K1825" s="81" t="s">
        <v>31</v>
      </c>
      <c r="L1825" s="81" t="s">
        <v>32</v>
      </c>
      <c r="M1825" s="81" t="s">
        <v>31</v>
      </c>
      <c r="N1825" s="81" t="s">
        <v>31</v>
      </c>
      <c r="O1825" s="81" t="s">
        <v>32</v>
      </c>
      <c r="P1825" s="81" t="s">
        <v>33</v>
      </c>
      <c r="Q1825" s="2">
        <v>46058</v>
      </c>
      <c r="R1825" s="45"/>
      <c r="S1825" s="45"/>
      <c r="T1825" s="45"/>
      <c r="U1825" s="45"/>
      <c r="V1825" s="45">
        <f>IF(OR(ISNUMBER(SEARCH("unable to locate acct",G1825)),ISNUMBER(SEARCH("unknown",G1825)),ISNUMBER(SEARCH("inactive",G1825)),H1825=""),0,1)</f>
        <v>1</v>
      </c>
    </row>
    <row r="1826" spans="1:23">
      <c r="A1826" s="74">
        <v>46055</v>
      </c>
      <c r="B1826" s="45" t="s">
        <v>4578</v>
      </c>
      <c r="C1826" s="45" t="s">
        <v>314</v>
      </c>
      <c r="D1826" s="45" t="s">
        <v>495</v>
      </c>
      <c r="E1826" s="45">
        <v>86001</v>
      </c>
      <c r="F1826" s="45" t="s">
        <v>4579</v>
      </c>
      <c r="G1826" s="76" t="s">
        <v>4549</v>
      </c>
      <c r="H1826" s="80" t="s">
        <v>4580</v>
      </c>
      <c r="I1826" s="81" t="s">
        <v>67</v>
      </c>
      <c r="J1826" s="81" t="s">
        <v>31</v>
      </c>
      <c r="K1826" s="81" t="s">
        <v>31</v>
      </c>
      <c r="L1826" s="81" t="s">
        <v>32</v>
      </c>
      <c r="M1826" s="81" t="s">
        <v>31</v>
      </c>
      <c r="N1826" s="81" t="s">
        <v>31</v>
      </c>
      <c r="O1826" s="81" t="s">
        <v>32</v>
      </c>
      <c r="P1826" s="81" t="s">
        <v>33</v>
      </c>
      <c r="Q1826" s="2">
        <v>46058</v>
      </c>
      <c r="R1826" s="45"/>
      <c r="S1826" s="45"/>
      <c r="T1826" s="45"/>
      <c r="U1826" s="45"/>
      <c r="V1826" s="45">
        <f>IF(OR(ISNUMBER(SEARCH("unable to locate acct",G1826)),ISNUMBER(SEARCH("unknown",G1826)),ISNUMBER(SEARCH("inactive",G1826)),H1826=""),0,1)</f>
        <v>1</v>
      </c>
    </row>
    <row r="1827" spans="1:23">
      <c r="A1827" s="74">
        <v>46055</v>
      </c>
      <c r="B1827" s="45" t="s">
        <v>4581</v>
      </c>
      <c r="C1827" s="45" t="s">
        <v>4582</v>
      </c>
      <c r="D1827" s="45" t="s">
        <v>119</v>
      </c>
      <c r="E1827" s="45">
        <v>85258</v>
      </c>
      <c r="F1827" s="45" t="s">
        <v>4583</v>
      </c>
      <c r="G1827" s="76" t="s">
        <v>4549</v>
      </c>
      <c r="H1827" s="80" t="s">
        <v>4584</v>
      </c>
      <c r="I1827" s="81" t="s">
        <v>190</v>
      </c>
      <c r="J1827" s="81" t="s">
        <v>31</v>
      </c>
      <c r="K1827" s="81" t="s">
        <v>31</v>
      </c>
      <c r="L1827" s="81" t="s">
        <v>32</v>
      </c>
      <c r="M1827" s="81" t="s">
        <v>31</v>
      </c>
      <c r="N1827" s="81" t="s">
        <v>31</v>
      </c>
      <c r="O1827" s="81" t="s">
        <v>32</v>
      </c>
      <c r="P1827" s="81" t="s">
        <v>33</v>
      </c>
      <c r="Q1827" s="2">
        <v>46058</v>
      </c>
      <c r="R1827" s="45"/>
      <c r="S1827" s="45"/>
      <c r="T1827" s="45"/>
      <c r="U1827" s="45"/>
      <c r="V1827" s="45">
        <f>IF(OR(ISNUMBER(SEARCH("unable to locate acct",G1827)),ISNUMBER(SEARCH("unknown",G1827)),ISNUMBER(SEARCH("inactive",G1827)),H1827=""),0,1)</f>
        <v>1</v>
      </c>
    </row>
    <row r="1828" spans="1:23">
      <c r="A1828" s="74">
        <v>46055</v>
      </c>
      <c r="B1828" s="45" t="s">
        <v>4066</v>
      </c>
      <c r="C1828" s="45" t="s">
        <v>1832</v>
      </c>
      <c r="D1828" s="45" t="s">
        <v>689</v>
      </c>
      <c r="E1828" s="45">
        <v>85375</v>
      </c>
      <c r="F1828" s="45" t="s">
        <v>4585</v>
      </c>
      <c r="G1828" s="76" t="s">
        <v>4549</v>
      </c>
      <c r="H1828" s="80" t="s">
        <v>4068</v>
      </c>
      <c r="I1828" s="81" t="s">
        <v>40</v>
      </c>
      <c r="J1828" s="81" t="s">
        <v>31</v>
      </c>
      <c r="K1828" s="81" t="s">
        <v>31</v>
      </c>
      <c r="L1828" s="81" t="s">
        <v>32</v>
      </c>
      <c r="M1828" s="81" t="s">
        <v>32</v>
      </c>
      <c r="N1828" s="82">
        <v>72.2</v>
      </c>
      <c r="O1828" s="81" t="s">
        <v>32</v>
      </c>
      <c r="P1828" s="81" t="s">
        <v>33</v>
      </c>
      <c r="Q1828" s="2">
        <v>46058</v>
      </c>
      <c r="R1828" s="45"/>
      <c r="S1828" s="45"/>
      <c r="T1828" s="45"/>
      <c r="U1828" s="45"/>
      <c r="V1828" s="45">
        <f>IF(OR(ISNUMBER(SEARCH("unable to locate acct",G1828)),ISNUMBER(SEARCH("unknown",G1828)),ISNUMBER(SEARCH("inactive",G1828)),H1828=""),0,1)</f>
        <v>1</v>
      </c>
    </row>
    <row r="1829" spans="1:23">
      <c r="A1829" s="74">
        <v>46055</v>
      </c>
      <c r="B1829" s="45" t="s">
        <v>2586</v>
      </c>
      <c r="C1829" s="45" t="s">
        <v>221</v>
      </c>
      <c r="D1829" s="45" t="s">
        <v>728</v>
      </c>
      <c r="E1829" s="45">
        <v>86326</v>
      </c>
      <c r="F1829" s="45" t="s">
        <v>4586</v>
      </c>
      <c r="G1829" s="76" t="s">
        <v>4549</v>
      </c>
      <c r="H1829" s="80" t="s">
        <v>4587</v>
      </c>
      <c r="I1829" s="81" t="s">
        <v>40</v>
      </c>
      <c r="J1829" s="81" t="s">
        <v>31</v>
      </c>
      <c r="K1829" s="81" t="s">
        <v>31</v>
      </c>
      <c r="L1829" s="81" t="s">
        <v>32</v>
      </c>
      <c r="M1829" s="81" t="s">
        <v>31</v>
      </c>
      <c r="N1829" s="81" t="s">
        <v>31</v>
      </c>
      <c r="O1829" s="81" t="s">
        <v>32</v>
      </c>
      <c r="P1829" s="81" t="s">
        <v>33</v>
      </c>
      <c r="Q1829" s="2">
        <v>46058</v>
      </c>
      <c r="R1829" s="45"/>
      <c r="S1829" s="45"/>
      <c r="T1829" s="45"/>
      <c r="U1829" s="45"/>
      <c r="V1829" s="45">
        <f>IF(OR(ISNUMBER(SEARCH("unable to locate acct",G1829)),ISNUMBER(SEARCH("unknown",G1829)),ISNUMBER(SEARCH("inactive",G1829)),H1829=""),0,1)</f>
        <v>1</v>
      </c>
    </row>
    <row r="1830" spans="1:23">
      <c r="A1830" s="74">
        <v>46055</v>
      </c>
      <c r="B1830" s="45" t="s">
        <v>4588</v>
      </c>
      <c r="C1830" s="45" t="s">
        <v>4589</v>
      </c>
      <c r="D1830" s="45" t="s">
        <v>1167</v>
      </c>
      <c r="E1830" s="45">
        <v>85390</v>
      </c>
      <c r="F1830" s="45" t="s">
        <v>4590</v>
      </c>
      <c r="G1830" s="76" t="s">
        <v>4591</v>
      </c>
      <c r="H1830" s="80" t="s">
        <v>21</v>
      </c>
      <c r="I1830" s="81"/>
      <c r="J1830" s="81"/>
      <c r="K1830" s="81"/>
      <c r="L1830" s="81"/>
      <c r="M1830" s="81"/>
      <c r="N1830" s="81"/>
      <c r="O1830" s="81"/>
      <c r="P1830" s="81"/>
      <c r="R1830" s="45"/>
      <c r="S1830" s="45"/>
      <c r="T1830" s="45"/>
      <c r="U1830" s="45"/>
      <c r="V1830" s="45">
        <f>IF(OR(ISNUMBER(SEARCH("unable to locate acct",G1830)),ISNUMBER(SEARCH("unknown",G1830)),ISNUMBER(SEARCH("inactive",G1830)),H1830=""),0,1)</f>
        <v>1</v>
      </c>
    </row>
    <row r="1831" spans="1:23">
      <c r="A1831" s="74">
        <v>46055</v>
      </c>
      <c r="B1831" s="45" t="s">
        <v>4592</v>
      </c>
      <c r="C1831" s="45" t="s">
        <v>2344</v>
      </c>
      <c r="D1831" s="45" t="s">
        <v>1092</v>
      </c>
      <c r="E1831" s="45">
        <v>85355</v>
      </c>
      <c r="F1831" s="45" t="s">
        <v>4593</v>
      </c>
      <c r="G1831" s="76" t="s">
        <v>4591</v>
      </c>
      <c r="H1831" s="80" t="s">
        <v>4594</v>
      </c>
      <c r="I1831" s="81" t="s">
        <v>30</v>
      </c>
      <c r="J1831" s="81" t="s">
        <v>31</v>
      </c>
      <c r="K1831" s="81" t="s">
        <v>31</v>
      </c>
      <c r="L1831" s="81" t="s">
        <v>32</v>
      </c>
      <c r="M1831" s="81" t="s">
        <v>31</v>
      </c>
      <c r="N1831" s="81" t="s">
        <v>31</v>
      </c>
      <c r="O1831" s="81" t="s">
        <v>32</v>
      </c>
      <c r="P1831" s="81" t="s">
        <v>33</v>
      </c>
      <c r="Q1831" s="2">
        <v>46058</v>
      </c>
      <c r="R1831" s="45"/>
      <c r="S1831" s="45"/>
      <c r="T1831" s="45"/>
      <c r="U1831" s="45"/>
      <c r="V1831" s="45">
        <f>IF(OR(ISNUMBER(SEARCH("unable to locate acct",G1831)),ISNUMBER(SEARCH("unknown",G1831)),ISNUMBER(SEARCH("inactive",G1831)),H1831=""),0,1)</f>
        <v>1</v>
      </c>
    </row>
    <row r="1832" spans="1:23">
      <c r="A1832" s="74">
        <v>46055</v>
      </c>
      <c r="B1832" s="45" t="s">
        <v>4595</v>
      </c>
      <c r="C1832" s="45" t="s">
        <v>3579</v>
      </c>
      <c r="D1832" s="45" t="s">
        <v>404</v>
      </c>
      <c r="E1832" s="45">
        <v>85123</v>
      </c>
      <c r="F1832" s="45" t="s">
        <v>4596</v>
      </c>
      <c r="G1832" s="76" t="s">
        <v>4591</v>
      </c>
      <c r="H1832" s="80" t="s">
        <v>4597</v>
      </c>
      <c r="I1832" s="81" t="s">
        <v>51</v>
      </c>
      <c r="J1832" s="81" t="s">
        <v>31</v>
      </c>
      <c r="K1832" s="81" t="s">
        <v>31</v>
      </c>
      <c r="L1832" s="81" t="s">
        <v>4598</v>
      </c>
      <c r="M1832" s="81" t="s">
        <v>31</v>
      </c>
      <c r="N1832" s="81" t="s">
        <v>31</v>
      </c>
      <c r="O1832" s="81" t="s">
        <v>32</v>
      </c>
      <c r="P1832" s="81"/>
      <c r="Q1832" s="41">
        <v>46058</v>
      </c>
      <c r="R1832" s="45" t="s">
        <v>3468</v>
      </c>
      <c r="S1832" s="45"/>
      <c r="T1832" s="45"/>
      <c r="U1832" s="45"/>
      <c r="V1832" s="45">
        <f>IF(OR(ISNUMBER(SEARCH("unable to locate acct",G1832)),ISNUMBER(SEARCH("unknown",G1832)),ISNUMBER(SEARCH("inactive",G1832)),H1832=""),0,1)</f>
        <v>1</v>
      </c>
      <c r="W1832" s="32"/>
    </row>
    <row r="1833" spans="1:23">
      <c r="A1833" s="74">
        <v>46055</v>
      </c>
      <c r="B1833" s="45" t="s">
        <v>221</v>
      </c>
      <c r="C1833" s="45" t="s">
        <v>4045</v>
      </c>
      <c r="D1833" s="45" t="s">
        <v>196</v>
      </c>
      <c r="E1833" s="45">
        <v>85383</v>
      </c>
      <c r="F1833" s="45" t="s">
        <v>4599</v>
      </c>
      <c r="G1833" s="76" t="s">
        <v>4591</v>
      </c>
      <c r="H1833" s="80" t="s">
        <v>4047</v>
      </c>
      <c r="I1833" s="81" t="s">
        <v>30</v>
      </c>
      <c r="J1833" s="81" t="s">
        <v>32</v>
      </c>
      <c r="K1833" s="81" t="s">
        <v>31</v>
      </c>
      <c r="L1833" s="81" t="s">
        <v>32</v>
      </c>
      <c r="M1833" s="81" t="s">
        <v>31</v>
      </c>
      <c r="N1833" s="81" t="s">
        <v>31</v>
      </c>
      <c r="O1833" s="81" t="s">
        <v>32</v>
      </c>
      <c r="P1833" s="81"/>
      <c r="Q1833" s="41">
        <v>46058</v>
      </c>
      <c r="R1833" s="45" t="s">
        <v>3996</v>
      </c>
      <c r="S1833" s="45"/>
      <c r="T1833" s="45"/>
      <c r="U1833" s="45"/>
      <c r="V1833" s="45">
        <f>IF(OR(ISNUMBER(SEARCH("unable to locate acct",G1833)),ISNUMBER(SEARCH("unknown",G1833)),ISNUMBER(SEARCH("inactive",G1833)),H1833=""),0,1)</f>
        <v>1</v>
      </c>
      <c r="W1833" s="32"/>
    </row>
    <row r="1834" spans="1:23">
      <c r="A1834" s="74">
        <v>46055</v>
      </c>
      <c r="B1834" s="45" t="s">
        <v>2255</v>
      </c>
      <c r="C1834" s="45" t="s">
        <v>463</v>
      </c>
      <c r="D1834" s="45" t="s">
        <v>57</v>
      </c>
      <c r="E1834" s="45">
        <v>85020</v>
      </c>
      <c r="F1834" s="45" t="s">
        <v>4600</v>
      </c>
      <c r="G1834" s="76" t="s">
        <v>4591</v>
      </c>
      <c r="H1834" s="80" t="s">
        <v>4601</v>
      </c>
      <c r="I1834" s="81" t="s">
        <v>532</v>
      </c>
      <c r="J1834" s="81" t="s">
        <v>31</v>
      </c>
      <c r="K1834" s="81" t="s">
        <v>31</v>
      </c>
      <c r="L1834" s="81" t="s">
        <v>3543</v>
      </c>
      <c r="M1834" s="81" t="s">
        <v>31</v>
      </c>
      <c r="N1834" s="81" t="s">
        <v>31</v>
      </c>
      <c r="O1834" s="81" t="s">
        <v>32</v>
      </c>
      <c r="P1834" s="81" t="s">
        <v>33</v>
      </c>
      <c r="Q1834" s="2">
        <v>46058</v>
      </c>
      <c r="R1834" s="45"/>
      <c r="S1834" s="45"/>
      <c r="T1834" s="45"/>
      <c r="U1834" s="45"/>
      <c r="V1834" s="45">
        <f>IF(OR(ISNUMBER(SEARCH("unable to locate acct",G1834)),ISNUMBER(SEARCH("unknown",G1834)),ISNUMBER(SEARCH("inactive",G1834)),H1834=""),0,1)</f>
        <v>1</v>
      </c>
    </row>
    <row r="1835" spans="1:23">
      <c r="A1835" s="74">
        <v>46055</v>
      </c>
      <c r="B1835" s="45" t="s">
        <v>4602</v>
      </c>
      <c r="C1835" s="45" t="s">
        <v>4603</v>
      </c>
      <c r="D1835" s="45" t="s">
        <v>119</v>
      </c>
      <c r="E1835" s="45">
        <v>85258</v>
      </c>
      <c r="F1835" s="45" t="s">
        <v>4604</v>
      </c>
      <c r="G1835" s="76" t="s">
        <v>4591</v>
      </c>
      <c r="H1835" s="80" t="s">
        <v>4605</v>
      </c>
      <c r="I1835" s="81" t="s">
        <v>244</v>
      </c>
      <c r="J1835" s="81" t="s">
        <v>31</v>
      </c>
      <c r="K1835" s="81" t="s">
        <v>31</v>
      </c>
      <c r="L1835" s="81" t="s">
        <v>32</v>
      </c>
      <c r="M1835" s="81" t="s">
        <v>31</v>
      </c>
      <c r="N1835" s="81" t="s">
        <v>31</v>
      </c>
      <c r="O1835" s="81" t="s">
        <v>32</v>
      </c>
      <c r="P1835" s="81" t="s">
        <v>33</v>
      </c>
      <c r="Q1835" s="2">
        <v>46058</v>
      </c>
      <c r="R1835" s="45"/>
      <c r="S1835" s="45"/>
      <c r="T1835" s="45"/>
      <c r="U1835" s="45"/>
      <c r="V1835" s="45">
        <f>IF(OR(ISNUMBER(SEARCH("unable to locate acct",G1835)),ISNUMBER(SEARCH("unknown",G1835)),ISNUMBER(SEARCH("inactive",G1835)),H1835=""),0,1)</f>
        <v>1</v>
      </c>
    </row>
    <row r="1836" spans="1:23">
      <c r="A1836" s="74">
        <v>46055</v>
      </c>
      <c r="B1836" s="45" t="s">
        <v>218</v>
      </c>
      <c r="C1836" s="45" t="s">
        <v>219</v>
      </c>
      <c r="D1836" s="45" t="s">
        <v>24</v>
      </c>
      <c r="E1836" s="45" t="s">
        <v>24</v>
      </c>
      <c r="F1836" s="45" t="s">
        <v>4606</v>
      </c>
      <c r="G1836" s="76" t="s">
        <v>4607</v>
      </c>
      <c r="H1836" s="80" t="s">
        <v>21</v>
      </c>
      <c r="I1836" s="81"/>
      <c r="J1836" s="81"/>
      <c r="K1836" s="81"/>
      <c r="L1836" s="81"/>
      <c r="M1836" s="81"/>
      <c r="N1836" s="81"/>
      <c r="O1836" s="81"/>
      <c r="P1836" s="81"/>
      <c r="R1836" s="45" t="s">
        <v>3701</v>
      </c>
      <c r="S1836" s="45"/>
      <c r="T1836" s="45"/>
      <c r="U1836" s="45"/>
      <c r="V1836" s="45">
        <f>IF(OR(ISNUMBER(SEARCH("unable to locate acct",G1836)),ISNUMBER(SEARCH("unknown",G1836)),ISNUMBER(SEARCH("inactive",G1836)),H1836=""),0,1)</f>
        <v>1</v>
      </c>
    </row>
    <row r="1837" spans="1:23">
      <c r="A1837" s="74">
        <v>46055</v>
      </c>
      <c r="B1837" s="45" t="s">
        <v>27</v>
      </c>
      <c r="C1837" s="45" t="s">
        <v>1516</v>
      </c>
      <c r="D1837" s="45" t="s">
        <v>18</v>
      </c>
      <c r="E1837" s="45">
        <v>85310</v>
      </c>
      <c r="F1837" s="45" t="s">
        <v>4608</v>
      </c>
      <c r="G1837" s="76" t="s">
        <v>4609</v>
      </c>
      <c r="H1837" s="80" t="s">
        <v>4610</v>
      </c>
      <c r="I1837" s="81" t="s">
        <v>30</v>
      </c>
      <c r="J1837" s="81" t="s">
        <v>31</v>
      </c>
      <c r="K1837" s="81" t="s">
        <v>31</v>
      </c>
      <c r="L1837" s="81" t="s">
        <v>32</v>
      </c>
      <c r="M1837" s="81" t="s">
        <v>31</v>
      </c>
      <c r="N1837" s="81" t="s">
        <v>31</v>
      </c>
      <c r="O1837" s="81" t="s">
        <v>32</v>
      </c>
      <c r="P1837" s="81" t="s">
        <v>33</v>
      </c>
      <c r="Q1837" s="2">
        <v>46058</v>
      </c>
      <c r="R1837" s="45"/>
      <c r="S1837" s="45"/>
      <c r="T1837" s="45"/>
      <c r="U1837" s="45"/>
      <c r="V1837" s="45">
        <f>IF(OR(ISNUMBER(SEARCH("unable to locate acct",G1837)),ISNUMBER(SEARCH("unknown",G1837)),ISNUMBER(SEARCH("inactive",G1837)),H1837=""),0,1)</f>
        <v>1</v>
      </c>
    </row>
    <row r="1838" spans="1:23">
      <c r="A1838" s="74">
        <v>46056</v>
      </c>
      <c r="B1838" s="45" t="s">
        <v>3552</v>
      </c>
      <c r="C1838" s="45" t="s">
        <v>4611</v>
      </c>
      <c r="D1838" s="45" t="s">
        <v>420</v>
      </c>
      <c r="E1838" s="45">
        <v>85335</v>
      </c>
      <c r="F1838" s="45" t="s">
        <v>4612</v>
      </c>
      <c r="G1838" s="76" t="s">
        <v>4613</v>
      </c>
      <c r="H1838" s="80" t="s">
        <v>21</v>
      </c>
      <c r="I1838" s="81"/>
      <c r="J1838" s="81"/>
      <c r="K1838" s="81"/>
      <c r="L1838" s="81"/>
      <c r="M1838" s="81"/>
      <c r="N1838" s="81"/>
      <c r="O1838" s="81"/>
      <c r="P1838" s="81"/>
      <c r="Q1838" s="61"/>
      <c r="R1838" s="45"/>
      <c r="S1838" s="45"/>
      <c r="T1838" s="45"/>
      <c r="U1838" s="45"/>
      <c r="V1838" s="45">
        <f>IF(OR(ISNUMBER(SEARCH("unable to locate acct",G1838)),ISNUMBER(SEARCH("unknown",G1838)),ISNUMBER(SEARCH("inactive",G1838)),H1838=""),0,1)</f>
        <v>1</v>
      </c>
    </row>
    <row r="1839" spans="1:23">
      <c r="A1839" s="74">
        <v>46056</v>
      </c>
      <c r="B1839" s="45" t="s">
        <v>4614</v>
      </c>
      <c r="C1839" s="45" t="s">
        <v>588</v>
      </c>
      <c r="D1839" s="45" t="s">
        <v>87</v>
      </c>
      <c r="E1839" s="45">
        <v>85373</v>
      </c>
      <c r="F1839" s="45" t="s">
        <v>4615</v>
      </c>
      <c r="G1839" s="76" t="s">
        <v>4613</v>
      </c>
      <c r="H1839" s="80" t="s">
        <v>21</v>
      </c>
      <c r="I1839" s="81"/>
      <c r="J1839" s="81"/>
      <c r="K1839" s="81"/>
      <c r="L1839" s="81"/>
      <c r="M1839" s="81"/>
      <c r="N1839" s="81"/>
      <c r="O1839" s="81"/>
      <c r="P1839" s="81"/>
      <c r="Q1839" s="61"/>
      <c r="R1839" s="45"/>
      <c r="S1839" s="45"/>
      <c r="T1839" s="45"/>
      <c r="U1839" s="45"/>
      <c r="V1839" s="45">
        <f>IF(OR(ISNUMBER(SEARCH("unable to locate acct",G1839)),ISNUMBER(SEARCH("unknown",G1839)),ISNUMBER(SEARCH("inactive",G1839)),H1839=""),0,1)</f>
        <v>1</v>
      </c>
    </row>
    <row r="1840" spans="1:23">
      <c r="A1840" s="74">
        <v>46056</v>
      </c>
      <c r="B1840" s="45" t="s">
        <v>2168</v>
      </c>
      <c r="C1840" s="45" t="s">
        <v>4616</v>
      </c>
      <c r="D1840" s="45" t="s">
        <v>689</v>
      </c>
      <c r="E1840" s="45">
        <v>85375</v>
      </c>
      <c r="F1840" s="45" t="s">
        <v>4617</v>
      </c>
      <c r="G1840" s="76" t="s">
        <v>4618</v>
      </c>
      <c r="H1840" s="80" t="s">
        <v>5427</v>
      </c>
      <c r="I1840" s="81" t="s">
        <v>40</v>
      </c>
      <c r="J1840" s="81" t="s">
        <v>31</v>
      </c>
      <c r="K1840" s="81" t="s">
        <v>31</v>
      </c>
      <c r="L1840" s="81" t="s">
        <v>32</v>
      </c>
      <c r="M1840" s="81" t="s">
        <v>31</v>
      </c>
      <c r="N1840" s="81" t="s">
        <v>31</v>
      </c>
      <c r="O1840" s="81" t="s">
        <v>32</v>
      </c>
      <c r="P1840" s="81" t="s">
        <v>33</v>
      </c>
      <c r="Q1840" s="62">
        <v>46062</v>
      </c>
      <c r="R1840" s="45"/>
      <c r="S1840" s="45"/>
      <c r="T1840" s="45"/>
      <c r="U1840" s="45"/>
      <c r="V1840" s="45">
        <f>IF(OR(ISNUMBER(SEARCH("unable to locate acct",G1840)),ISNUMBER(SEARCH("unknown",G1840)),ISNUMBER(SEARCH("inactive",G1840)),H1840=""),0,1)</f>
        <v>1</v>
      </c>
    </row>
    <row r="1841" spans="1:22">
      <c r="A1841" s="74">
        <v>46056</v>
      </c>
      <c r="B1841" s="45" t="s">
        <v>4619</v>
      </c>
      <c r="C1841" s="45" t="s">
        <v>227</v>
      </c>
      <c r="D1841" s="45" t="s">
        <v>57</v>
      </c>
      <c r="E1841" s="45">
        <v>85029</v>
      </c>
      <c r="F1841" s="45" t="s">
        <v>4620</v>
      </c>
      <c r="G1841" s="76" t="s">
        <v>4618</v>
      </c>
      <c r="H1841" s="80" t="s">
        <v>5107</v>
      </c>
      <c r="I1841" s="81" t="s">
        <v>30</v>
      </c>
      <c r="J1841" s="81" t="s">
        <v>31</v>
      </c>
      <c r="K1841" s="81" t="s">
        <v>31</v>
      </c>
      <c r="L1841" s="81" t="s">
        <v>32</v>
      </c>
      <c r="M1841" s="81" t="s">
        <v>32</v>
      </c>
      <c r="N1841" s="82">
        <v>450.33</v>
      </c>
      <c r="O1841" s="81" t="s">
        <v>32</v>
      </c>
      <c r="P1841" s="81"/>
      <c r="Q1841" s="64">
        <v>44966</v>
      </c>
      <c r="R1841" s="45" t="s">
        <v>3996</v>
      </c>
      <c r="S1841" s="45"/>
      <c r="T1841" s="45"/>
      <c r="U1841" s="45"/>
      <c r="V1841" s="45">
        <f>IF(OR(ISNUMBER(SEARCH("unable to locate acct",G1841)),ISNUMBER(SEARCH("unknown",G1841)),ISNUMBER(SEARCH("inactive",G1841)),H1841=""),0,1)</f>
        <v>1</v>
      </c>
    </row>
    <row r="1842" spans="1:22">
      <c r="A1842" s="74">
        <v>46056</v>
      </c>
      <c r="B1842" s="45" t="s">
        <v>4621</v>
      </c>
      <c r="C1842" s="45" t="s">
        <v>969</v>
      </c>
      <c r="D1842" s="45" t="s">
        <v>168</v>
      </c>
      <c r="E1842" s="45">
        <v>85396</v>
      </c>
      <c r="F1842" s="45" t="s">
        <v>4622</v>
      </c>
      <c r="G1842" s="76" t="s">
        <v>4618</v>
      </c>
      <c r="H1842" s="80" t="s">
        <v>5428</v>
      </c>
      <c r="I1842" s="81" t="s">
        <v>120</v>
      </c>
      <c r="J1842" s="81" t="s">
        <v>31</v>
      </c>
      <c r="K1842" s="81" t="s">
        <v>31</v>
      </c>
      <c r="L1842" s="81" t="s">
        <v>32</v>
      </c>
      <c r="M1842" s="81" t="s">
        <v>31</v>
      </c>
      <c r="N1842" s="81" t="s">
        <v>31</v>
      </c>
      <c r="O1842" s="81" t="s">
        <v>32</v>
      </c>
      <c r="P1842" s="81" t="s">
        <v>33</v>
      </c>
      <c r="Q1842" s="62">
        <v>46062</v>
      </c>
      <c r="R1842" s="45"/>
      <c r="S1842" s="45"/>
      <c r="T1842" s="45"/>
      <c r="U1842" s="45"/>
      <c r="V1842" s="45">
        <f>IF(OR(ISNUMBER(SEARCH("unable to locate acct",G1842)),ISNUMBER(SEARCH("unknown",G1842)),ISNUMBER(SEARCH("inactive",G1842)),H1842=""),0,1)</f>
        <v>1</v>
      </c>
    </row>
    <row r="1843" spans="1:22">
      <c r="A1843" s="74">
        <v>46057</v>
      </c>
      <c r="B1843" s="45" t="s">
        <v>4623</v>
      </c>
      <c r="C1843" s="45" t="s">
        <v>1333</v>
      </c>
      <c r="D1843" s="45" t="s">
        <v>4624</v>
      </c>
      <c r="E1843" s="45">
        <v>85937</v>
      </c>
      <c r="F1843" s="45" t="s">
        <v>4625</v>
      </c>
      <c r="G1843" s="76" t="s">
        <v>4626</v>
      </c>
      <c r="H1843" s="80" t="s">
        <v>21</v>
      </c>
      <c r="I1843" s="81"/>
      <c r="J1843" s="81"/>
      <c r="K1843" s="81"/>
      <c r="L1843" s="81"/>
      <c r="M1843" s="81"/>
      <c r="N1843" s="81"/>
      <c r="O1843" s="81"/>
      <c r="P1843" s="81"/>
      <c r="Q1843" s="61"/>
      <c r="R1843" s="45"/>
      <c r="S1843" s="45"/>
      <c r="T1843" s="45"/>
      <c r="U1843" s="45"/>
      <c r="V1843" s="45">
        <f>IF(OR(ISNUMBER(SEARCH("unable to locate acct",G1843)),ISNUMBER(SEARCH("unknown",G1843)),ISNUMBER(SEARCH("inactive",G1843)),H1843=""),0,1)</f>
        <v>1</v>
      </c>
    </row>
    <row r="1844" spans="1:22">
      <c r="A1844" s="74">
        <v>46057</v>
      </c>
      <c r="B1844" s="45" t="s">
        <v>4627</v>
      </c>
      <c r="C1844" s="45" t="s">
        <v>24</v>
      </c>
      <c r="D1844" s="45" t="s">
        <v>24</v>
      </c>
      <c r="E1844" s="45" t="s">
        <v>3998</v>
      </c>
      <c r="F1844" s="45" t="s">
        <v>4628</v>
      </c>
      <c r="G1844" s="76" t="s">
        <v>4629</v>
      </c>
      <c r="H1844" s="80" t="s">
        <v>21</v>
      </c>
      <c r="I1844" s="81"/>
      <c r="J1844" s="81"/>
      <c r="K1844" s="81"/>
      <c r="L1844" s="81"/>
      <c r="M1844" s="81"/>
      <c r="N1844" s="81"/>
      <c r="O1844" s="81"/>
      <c r="P1844" s="81"/>
      <c r="Q1844" s="61"/>
      <c r="R1844" s="45"/>
      <c r="S1844" s="45"/>
      <c r="T1844" s="45"/>
      <c r="U1844" s="45"/>
      <c r="V1844" s="45">
        <f>IF(OR(ISNUMBER(SEARCH("unable to locate acct",G1844)),ISNUMBER(SEARCH("unknown",G1844)),ISNUMBER(SEARCH("inactive",G1844)),H1844=""),0,1)</f>
        <v>1</v>
      </c>
    </row>
    <row r="1845" spans="1:22">
      <c r="A1845" s="74">
        <v>46058</v>
      </c>
      <c r="B1845" s="45" t="s">
        <v>4630</v>
      </c>
      <c r="C1845" s="45" t="s">
        <v>4631</v>
      </c>
      <c r="D1845" s="45" t="s">
        <v>801</v>
      </c>
      <c r="E1845" s="45">
        <v>86305</v>
      </c>
      <c r="F1845" s="45" t="s">
        <v>4632</v>
      </c>
      <c r="G1845" s="76" t="s">
        <v>4633</v>
      </c>
      <c r="H1845" s="80" t="s">
        <v>5429</v>
      </c>
      <c r="I1845" s="81" t="s">
        <v>30</v>
      </c>
      <c r="J1845" s="81" t="s">
        <v>31</v>
      </c>
      <c r="K1845" s="81" t="s">
        <v>31</v>
      </c>
      <c r="L1845" s="81" t="s">
        <v>32</v>
      </c>
      <c r="M1845" s="81" t="s">
        <v>31</v>
      </c>
      <c r="N1845" s="81" t="s">
        <v>31</v>
      </c>
      <c r="O1845" s="81" t="s">
        <v>32</v>
      </c>
      <c r="P1845" s="81" t="s">
        <v>33</v>
      </c>
      <c r="Q1845" s="62">
        <v>46062</v>
      </c>
      <c r="R1845" s="45"/>
      <c r="S1845" s="45"/>
      <c r="T1845" s="45"/>
      <c r="U1845" s="45"/>
      <c r="V1845" s="45">
        <f>IF(OR(ISNUMBER(SEARCH("unable to locate acct",G1845)),ISNUMBER(SEARCH("unknown",G1845)),ISNUMBER(SEARCH("inactive",G1845)),H1845=""),0,1)</f>
        <v>1</v>
      </c>
    </row>
    <row r="1846" spans="1:22">
      <c r="A1846" s="74">
        <v>46058</v>
      </c>
      <c r="B1846" s="45" t="s">
        <v>636</v>
      </c>
      <c r="C1846" s="45" t="s">
        <v>4634</v>
      </c>
      <c r="D1846" s="45" t="s">
        <v>650</v>
      </c>
      <c r="E1846" s="45">
        <v>85350</v>
      </c>
      <c r="F1846" s="45" t="s">
        <v>4635</v>
      </c>
      <c r="G1846" s="76" t="s">
        <v>4633</v>
      </c>
      <c r="H1846" s="80" t="s">
        <v>5430</v>
      </c>
      <c r="I1846" s="81" t="s">
        <v>532</v>
      </c>
      <c r="J1846" s="81" t="s">
        <v>31</v>
      </c>
      <c r="K1846" s="81" t="s">
        <v>31</v>
      </c>
      <c r="L1846" s="81" t="s">
        <v>3543</v>
      </c>
      <c r="M1846" s="81" t="s">
        <v>31</v>
      </c>
      <c r="N1846" s="81" t="s">
        <v>31</v>
      </c>
      <c r="O1846" s="81" t="s">
        <v>32</v>
      </c>
      <c r="P1846" s="81" t="s">
        <v>33</v>
      </c>
      <c r="Q1846" s="62">
        <v>46062</v>
      </c>
      <c r="R1846" s="45"/>
      <c r="S1846" s="45"/>
      <c r="T1846" s="45"/>
      <c r="U1846" s="45"/>
      <c r="V1846" s="45">
        <f>IF(OR(ISNUMBER(SEARCH("unable to locate acct",G1846)),ISNUMBER(SEARCH("unknown",G1846)),ISNUMBER(SEARCH("inactive",G1846)),H1846=""),0,1)</f>
        <v>1</v>
      </c>
    </row>
    <row r="1847" spans="1:22">
      <c r="A1847" s="74">
        <v>46058</v>
      </c>
      <c r="B1847" s="45" t="s">
        <v>2387</v>
      </c>
      <c r="C1847" s="45" t="s">
        <v>2541</v>
      </c>
      <c r="D1847" s="45" t="s">
        <v>163</v>
      </c>
      <c r="E1847" s="45">
        <v>85338</v>
      </c>
      <c r="F1847" s="45" t="s">
        <v>4636</v>
      </c>
      <c r="G1847" s="76" t="s">
        <v>4633</v>
      </c>
      <c r="H1847" s="80" t="s">
        <v>5076</v>
      </c>
      <c r="I1847" s="81" t="s">
        <v>40</v>
      </c>
      <c r="J1847" s="81" t="s">
        <v>31</v>
      </c>
      <c r="K1847" s="81" t="s">
        <v>31</v>
      </c>
      <c r="L1847" s="81" t="s">
        <v>4637</v>
      </c>
      <c r="M1847" s="81" t="s">
        <v>31</v>
      </c>
      <c r="N1847" s="81" t="s">
        <v>31</v>
      </c>
      <c r="O1847" s="81" t="s">
        <v>32</v>
      </c>
      <c r="P1847" s="81" t="s">
        <v>33</v>
      </c>
      <c r="Q1847" s="62">
        <v>46062</v>
      </c>
      <c r="R1847" s="45"/>
      <c r="S1847" s="45"/>
      <c r="T1847" s="45"/>
      <c r="U1847" s="45"/>
      <c r="V1847" s="45">
        <f>IF(OR(ISNUMBER(SEARCH("unable to locate acct",G1847)),ISNUMBER(SEARCH("unknown",G1847)),ISNUMBER(SEARCH("inactive",G1847)),H1847=""),0,1)</f>
        <v>1</v>
      </c>
    </row>
    <row r="1848" spans="1:22">
      <c r="A1848" s="74">
        <v>46058</v>
      </c>
      <c r="B1848" s="45" t="s">
        <v>4638</v>
      </c>
      <c r="C1848" s="45" t="s">
        <v>4639</v>
      </c>
      <c r="D1848" s="45" t="s">
        <v>57</v>
      </c>
      <c r="E1848" s="45">
        <v>85022</v>
      </c>
      <c r="F1848" s="45" t="s">
        <v>4640</v>
      </c>
      <c r="G1848" s="76" t="s">
        <v>4633</v>
      </c>
      <c r="H1848" s="80" t="s">
        <v>21</v>
      </c>
      <c r="I1848" s="81"/>
      <c r="J1848" s="81"/>
      <c r="K1848" s="81"/>
      <c r="L1848" s="81"/>
      <c r="M1848" s="81"/>
      <c r="N1848" s="81"/>
      <c r="O1848" s="81"/>
      <c r="P1848" s="81"/>
      <c r="Q1848" s="61"/>
      <c r="R1848" s="45"/>
      <c r="S1848" s="45"/>
      <c r="T1848" s="45"/>
      <c r="U1848" s="45"/>
      <c r="V1848" s="45">
        <f>IF(OR(ISNUMBER(SEARCH("unable to locate acct",G1848)),ISNUMBER(SEARCH("unknown",G1848)),ISNUMBER(SEARCH("inactive",G1848)),H1848=""),0,1)</f>
        <v>1</v>
      </c>
    </row>
    <row r="1849" spans="1:22">
      <c r="A1849" s="74">
        <v>46059</v>
      </c>
      <c r="B1849" s="45" t="s">
        <v>4641</v>
      </c>
      <c r="C1849" s="45" t="s">
        <v>2263</v>
      </c>
      <c r="D1849" s="45" t="s">
        <v>57</v>
      </c>
      <c r="E1849" s="45">
        <v>85028</v>
      </c>
      <c r="F1849" s="45" t="s">
        <v>4642</v>
      </c>
      <c r="G1849" s="76" t="s">
        <v>4643</v>
      </c>
      <c r="H1849" s="80" t="s">
        <v>5431</v>
      </c>
      <c r="I1849" s="81" t="s">
        <v>30</v>
      </c>
      <c r="J1849" s="81" t="s">
        <v>31</v>
      </c>
      <c r="K1849" s="81" t="s">
        <v>31</v>
      </c>
      <c r="L1849" s="81" t="s">
        <v>32</v>
      </c>
      <c r="M1849" s="81" t="s">
        <v>31</v>
      </c>
      <c r="N1849" s="81" t="s">
        <v>31</v>
      </c>
      <c r="O1849" s="81" t="s">
        <v>32</v>
      </c>
      <c r="P1849" s="81" t="s">
        <v>33</v>
      </c>
      <c r="Q1849" s="62">
        <v>46062</v>
      </c>
      <c r="R1849" s="45" t="s">
        <v>4644</v>
      </c>
      <c r="S1849" s="45"/>
      <c r="T1849" s="45"/>
      <c r="U1849" s="45"/>
      <c r="V1849" s="45">
        <f>IF(OR(ISNUMBER(SEARCH("unable to locate acct",G1849)),ISNUMBER(SEARCH("unknown",G1849)),ISNUMBER(SEARCH("inactive",G1849)),H1849=""),0,1)</f>
        <v>1</v>
      </c>
    </row>
    <row r="1850" spans="1:22">
      <c r="A1850" s="74">
        <v>46059</v>
      </c>
      <c r="B1850" s="45" t="s">
        <v>4645</v>
      </c>
      <c r="C1850" s="45" t="s">
        <v>4297</v>
      </c>
      <c r="D1850" s="45" t="s">
        <v>57</v>
      </c>
      <c r="E1850" s="45">
        <v>85054</v>
      </c>
      <c r="F1850" s="45" t="s">
        <v>4646</v>
      </c>
      <c r="G1850" s="76" t="s">
        <v>4643</v>
      </c>
      <c r="H1850" s="80" t="s">
        <v>21</v>
      </c>
      <c r="I1850" s="81"/>
      <c r="J1850" s="81"/>
      <c r="K1850" s="81"/>
      <c r="L1850" s="81"/>
      <c r="M1850" s="81"/>
      <c r="N1850" s="81"/>
      <c r="O1850" s="81"/>
      <c r="P1850" s="81"/>
      <c r="Q1850" s="61"/>
      <c r="R1850" s="45"/>
      <c r="S1850" s="45"/>
      <c r="T1850" s="45"/>
      <c r="U1850" s="45"/>
      <c r="V1850" s="45">
        <f>IF(OR(ISNUMBER(SEARCH("unable to locate acct",G1850)),ISNUMBER(SEARCH("unknown",G1850)),ISNUMBER(SEARCH("inactive",G1850)),H1850=""),0,1)</f>
        <v>1</v>
      </c>
    </row>
    <row r="1851" spans="1:22">
      <c r="A1851" s="74">
        <v>46062</v>
      </c>
      <c r="B1851" s="45" t="s">
        <v>999</v>
      </c>
      <c r="C1851" s="45" t="s">
        <v>127</v>
      </c>
      <c r="D1851" s="45" t="s">
        <v>57</v>
      </c>
      <c r="E1851" s="45">
        <v>85086</v>
      </c>
      <c r="F1851" s="45" t="s">
        <v>4647</v>
      </c>
      <c r="G1851" s="76" t="s">
        <v>4648</v>
      </c>
      <c r="H1851" s="80" t="s">
        <v>84</v>
      </c>
      <c r="I1851" s="81"/>
      <c r="J1851" s="81"/>
      <c r="K1851" s="81"/>
      <c r="L1851" s="81"/>
      <c r="M1851" s="81"/>
      <c r="N1851" s="81"/>
      <c r="O1851" s="81"/>
      <c r="P1851" s="81"/>
      <c r="Q1851" s="61"/>
      <c r="R1851" s="45" t="s">
        <v>4221</v>
      </c>
      <c r="S1851" s="45"/>
      <c r="T1851" s="45"/>
      <c r="U1851" s="45"/>
      <c r="V1851" s="45">
        <f>IF(OR(ISNUMBER(SEARCH("unable to locate acct",G1851)),ISNUMBER(SEARCH("unknown",G1851)),ISNUMBER(SEARCH("inactive",G1851)),H1851=""),0,1)</f>
        <v>1</v>
      </c>
    </row>
    <row r="1852" spans="1:22">
      <c r="A1852" s="74">
        <v>46062</v>
      </c>
      <c r="B1852" s="45" t="s">
        <v>1567</v>
      </c>
      <c r="C1852" s="45" t="s">
        <v>1523</v>
      </c>
      <c r="D1852" s="45" t="s">
        <v>363</v>
      </c>
      <c r="E1852" s="45">
        <v>85225</v>
      </c>
      <c r="F1852" s="45" t="s">
        <v>4649</v>
      </c>
      <c r="G1852" s="76" t="s">
        <v>4648</v>
      </c>
      <c r="H1852" s="80" t="s">
        <v>5432</v>
      </c>
      <c r="I1852" s="81" t="s">
        <v>67</v>
      </c>
      <c r="J1852" s="81" t="s">
        <v>32</v>
      </c>
      <c r="K1852" s="81" t="s">
        <v>31</v>
      </c>
      <c r="L1852" s="81" t="s">
        <v>32</v>
      </c>
      <c r="M1852" s="81" t="s">
        <v>31</v>
      </c>
      <c r="N1852" s="81" t="s">
        <v>31</v>
      </c>
      <c r="O1852" s="81" t="s">
        <v>32</v>
      </c>
      <c r="P1852" s="81" t="s">
        <v>33</v>
      </c>
      <c r="Q1852" s="62">
        <v>46062</v>
      </c>
      <c r="R1852" s="45"/>
      <c r="S1852" s="45"/>
      <c r="T1852" s="45"/>
      <c r="U1852" s="45"/>
      <c r="V1852" s="45">
        <f>IF(OR(ISNUMBER(SEARCH("unable to locate acct",G1852)),ISNUMBER(SEARCH("unknown",G1852)),ISNUMBER(SEARCH("inactive",G1852)),H1852=""),0,1)</f>
        <v>1</v>
      </c>
    </row>
    <row r="1853" spans="1:22">
      <c r="A1853" s="74">
        <v>46062</v>
      </c>
      <c r="B1853" s="45" t="s">
        <v>4650</v>
      </c>
      <c r="C1853" s="45" t="s">
        <v>306</v>
      </c>
      <c r="D1853" s="45" t="s">
        <v>57</v>
      </c>
      <c r="E1853" s="45">
        <v>85022</v>
      </c>
      <c r="F1853" s="45" t="s">
        <v>4651</v>
      </c>
      <c r="G1853" s="76" t="s">
        <v>4648</v>
      </c>
      <c r="H1853" s="80" t="s">
        <v>5433</v>
      </c>
      <c r="I1853" s="81" t="s">
        <v>30</v>
      </c>
      <c r="J1853" s="81" t="s">
        <v>31</v>
      </c>
      <c r="K1853" s="81" t="s">
        <v>31</v>
      </c>
      <c r="L1853" s="81" t="s">
        <v>32</v>
      </c>
      <c r="M1853" s="81" t="s">
        <v>31</v>
      </c>
      <c r="N1853" s="81" t="s">
        <v>31</v>
      </c>
      <c r="O1853" s="81" t="s">
        <v>32</v>
      </c>
      <c r="P1853" s="81" t="s">
        <v>33</v>
      </c>
      <c r="Q1853" s="62">
        <v>46062</v>
      </c>
      <c r="R1853" s="45" t="s">
        <v>940</v>
      </c>
      <c r="S1853" s="45"/>
      <c r="T1853" s="45"/>
      <c r="U1853" s="45"/>
      <c r="V1853" s="45">
        <f>IF(OR(ISNUMBER(SEARCH("unable to locate acct",G1853)),ISNUMBER(SEARCH("unknown",G1853)),ISNUMBER(SEARCH("inactive",G1853)),H1853=""),0,1)</f>
        <v>1</v>
      </c>
    </row>
    <row r="1854" spans="1:22">
      <c r="A1854" s="74">
        <v>46064</v>
      </c>
      <c r="B1854" s="45" t="s">
        <v>4652</v>
      </c>
      <c r="C1854" s="45" t="s">
        <v>472</v>
      </c>
      <c r="D1854" s="45" t="s">
        <v>87</v>
      </c>
      <c r="E1854" s="45">
        <v>85351</v>
      </c>
      <c r="F1854" s="45" t="s">
        <v>4653</v>
      </c>
      <c r="G1854" s="76" t="s">
        <v>4654</v>
      </c>
      <c r="H1854" s="80" t="s">
        <v>5434</v>
      </c>
      <c r="I1854" s="81" t="s">
        <v>30</v>
      </c>
      <c r="J1854" s="81" t="s">
        <v>31</v>
      </c>
      <c r="K1854" s="81" t="s">
        <v>31</v>
      </c>
      <c r="L1854" s="81" t="s">
        <v>32</v>
      </c>
      <c r="M1854" s="81" t="s">
        <v>31</v>
      </c>
      <c r="N1854" s="81" t="s">
        <v>31</v>
      </c>
      <c r="O1854" s="81" t="s">
        <v>32</v>
      </c>
      <c r="P1854" s="81" t="s">
        <v>33</v>
      </c>
      <c r="Q1854" s="60">
        <v>46066</v>
      </c>
      <c r="R1854" s="45"/>
      <c r="S1854" s="45"/>
      <c r="T1854" s="45"/>
      <c r="U1854" s="45"/>
      <c r="V1854" s="45">
        <f>IF(OR(ISNUMBER(SEARCH("unable to locate acct",G1854)),ISNUMBER(SEARCH("unknown",G1854)),ISNUMBER(SEARCH("inactive",G1854)),H1854=""),0,1)</f>
        <v>1</v>
      </c>
    </row>
    <row r="1855" spans="1:22">
      <c r="A1855" s="74">
        <v>46064</v>
      </c>
      <c r="B1855" s="45" t="s">
        <v>4655</v>
      </c>
      <c r="C1855" s="45" t="s">
        <v>1141</v>
      </c>
      <c r="D1855" s="45" t="s">
        <v>801</v>
      </c>
      <c r="E1855" s="45">
        <v>86303</v>
      </c>
      <c r="F1855" s="45" t="s">
        <v>4656</v>
      </c>
      <c r="G1855" s="76" t="s">
        <v>4654</v>
      </c>
      <c r="H1855" s="80" t="s">
        <v>5435</v>
      </c>
      <c r="I1855" s="81" t="s">
        <v>67</v>
      </c>
      <c r="J1855" s="81" t="s">
        <v>32</v>
      </c>
      <c r="K1855" s="81" t="s">
        <v>31</v>
      </c>
      <c r="L1855" s="81" t="s">
        <v>32</v>
      </c>
      <c r="M1855" s="81" t="s">
        <v>31</v>
      </c>
      <c r="N1855" s="81" t="s">
        <v>31</v>
      </c>
      <c r="O1855" s="81" t="s">
        <v>32</v>
      </c>
      <c r="P1855" s="81" t="s">
        <v>33</v>
      </c>
      <c r="Q1855" s="60">
        <v>46066</v>
      </c>
      <c r="R1855" s="45"/>
      <c r="S1855" s="45"/>
      <c r="T1855" s="45"/>
      <c r="U1855" s="45"/>
      <c r="V1855" s="45">
        <f>IF(OR(ISNUMBER(SEARCH("unable to locate acct",G1855)),ISNUMBER(SEARCH("unknown",G1855)),ISNUMBER(SEARCH("inactive",G1855)),H1855=""),0,1)</f>
        <v>1</v>
      </c>
    </row>
    <row r="1856" spans="1:22">
      <c r="A1856" s="74">
        <v>46064</v>
      </c>
      <c r="B1856" s="45" t="s">
        <v>4657</v>
      </c>
      <c r="C1856" s="45" t="s">
        <v>774</v>
      </c>
      <c r="D1856" s="45" t="s">
        <v>57</v>
      </c>
      <c r="E1856" s="45">
        <v>85008</v>
      </c>
      <c r="F1856" s="45" t="s">
        <v>4658</v>
      </c>
      <c r="G1856" s="76" t="s">
        <v>4654</v>
      </c>
      <c r="H1856" s="80" t="s">
        <v>5077</v>
      </c>
      <c r="I1856" s="81" t="s">
        <v>190</v>
      </c>
      <c r="J1856" s="81" t="s">
        <v>31</v>
      </c>
      <c r="K1856" s="81" t="s">
        <v>31</v>
      </c>
      <c r="L1856" s="81" t="s">
        <v>4659</v>
      </c>
      <c r="M1856" s="81" t="s">
        <v>31</v>
      </c>
      <c r="N1856" s="81" t="s">
        <v>31</v>
      </c>
      <c r="O1856" s="81" t="s">
        <v>32</v>
      </c>
      <c r="P1856" s="81"/>
      <c r="Q1856" s="63">
        <v>46066</v>
      </c>
      <c r="R1856" s="45" t="s">
        <v>4660</v>
      </c>
      <c r="S1856" s="45"/>
      <c r="T1856" s="45"/>
      <c r="U1856" s="45"/>
      <c r="V1856" s="45">
        <f>IF(OR(ISNUMBER(SEARCH("unable to locate acct",G1856)),ISNUMBER(SEARCH("unknown",G1856)),ISNUMBER(SEARCH("inactive",G1856)),H1856=""),0,1)</f>
        <v>1</v>
      </c>
    </row>
    <row r="1857" spans="1:22">
      <c r="A1857" s="74">
        <v>46064</v>
      </c>
      <c r="B1857" s="45" t="s">
        <v>43</v>
      </c>
      <c r="C1857" s="45" t="s">
        <v>602</v>
      </c>
      <c r="D1857" s="45" t="s">
        <v>87</v>
      </c>
      <c r="E1857" s="45">
        <v>85351</v>
      </c>
      <c r="F1857" s="45" t="s">
        <v>4661</v>
      </c>
      <c r="G1857" s="76" t="s">
        <v>4654</v>
      </c>
      <c r="H1857" s="80" t="s">
        <v>21</v>
      </c>
      <c r="I1857" s="81"/>
      <c r="J1857" s="81"/>
      <c r="K1857" s="81"/>
      <c r="L1857" s="81"/>
      <c r="M1857" s="81"/>
      <c r="N1857" s="81"/>
      <c r="O1857" s="81"/>
      <c r="P1857" s="81"/>
      <c r="Q1857" s="35"/>
      <c r="R1857" s="45"/>
      <c r="S1857" s="45"/>
      <c r="T1857" s="45"/>
      <c r="U1857" s="45"/>
      <c r="V1857" s="45">
        <f>IF(OR(ISNUMBER(SEARCH("unable to locate acct",G1857)),ISNUMBER(SEARCH("unknown",G1857)),ISNUMBER(SEARCH("inactive",G1857)),H1857=""),0,1)</f>
        <v>1</v>
      </c>
    </row>
    <row r="1858" spans="1:22">
      <c r="A1858" s="74">
        <v>46064</v>
      </c>
      <c r="B1858" s="45" t="s">
        <v>4662</v>
      </c>
      <c r="C1858" s="45" t="s">
        <v>4663</v>
      </c>
      <c r="D1858" s="45" t="s">
        <v>87</v>
      </c>
      <c r="E1858" s="45">
        <v>85351</v>
      </c>
      <c r="F1858" s="45" t="s">
        <v>4664</v>
      </c>
      <c r="G1858" s="76" t="s">
        <v>4654</v>
      </c>
      <c r="H1858" s="80" t="s">
        <v>5436</v>
      </c>
      <c r="I1858" s="81" t="s">
        <v>1346</v>
      </c>
      <c r="J1858" s="81" t="s">
        <v>31</v>
      </c>
      <c r="K1858" s="81" t="s">
        <v>31</v>
      </c>
      <c r="L1858" s="81" t="s">
        <v>3543</v>
      </c>
      <c r="M1858" s="81" t="s">
        <v>31</v>
      </c>
      <c r="N1858" s="81" t="s">
        <v>31</v>
      </c>
      <c r="O1858" s="81" t="s">
        <v>32</v>
      </c>
      <c r="P1858" s="81" t="s">
        <v>33</v>
      </c>
      <c r="Q1858" s="60">
        <v>46066</v>
      </c>
      <c r="R1858" s="45"/>
      <c r="S1858" s="45"/>
      <c r="T1858" s="45"/>
      <c r="U1858" s="45"/>
      <c r="V1858" s="45">
        <f>IF(OR(ISNUMBER(SEARCH("unable to locate acct",G1858)),ISNUMBER(SEARCH("unknown",G1858)),ISNUMBER(SEARCH("inactive",G1858)),H1858=""),0,1)</f>
        <v>1</v>
      </c>
    </row>
    <row r="1859" spans="1:22">
      <c r="A1859" s="74">
        <v>46064</v>
      </c>
      <c r="B1859" s="45" t="s">
        <v>4665</v>
      </c>
      <c r="C1859" s="45" t="s">
        <v>4666</v>
      </c>
      <c r="D1859" s="45" t="s">
        <v>87</v>
      </c>
      <c r="E1859" s="45"/>
      <c r="F1859" s="45" t="s">
        <v>4667</v>
      </c>
      <c r="G1859" s="76" t="s">
        <v>4654</v>
      </c>
      <c r="H1859" s="80" t="s">
        <v>4886</v>
      </c>
      <c r="I1859" s="81"/>
      <c r="J1859" s="81"/>
      <c r="K1859" s="81"/>
      <c r="L1859" s="81"/>
      <c r="M1859" s="81"/>
      <c r="N1859" s="81"/>
      <c r="O1859" s="81"/>
      <c r="P1859" s="81"/>
      <c r="Q1859" s="35"/>
      <c r="R1859" s="45"/>
      <c r="S1859" s="45"/>
      <c r="T1859" s="45"/>
      <c r="U1859" s="45"/>
      <c r="V1859" s="45">
        <f>IF(OR(ISNUMBER(SEARCH("unable to locate acct",G1859)),ISNUMBER(SEARCH("unknown",G1859)),ISNUMBER(SEARCH("inactive",G1859)),H1859=""),0,1)</f>
        <v>0</v>
      </c>
    </row>
    <row r="1860" spans="1:22">
      <c r="A1860" s="74">
        <v>46064</v>
      </c>
      <c r="B1860" s="45" t="s">
        <v>4657</v>
      </c>
      <c r="C1860" s="45" t="s">
        <v>4668</v>
      </c>
      <c r="D1860" s="45" t="s">
        <v>57</v>
      </c>
      <c r="E1860" s="45">
        <v>85016</v>
      </c>
      <c r="F1860" s="45" t="s">
        <v>4669</v>
      </c>
      <c r="G1860" s="76" t="s">
        <v>4654</v>
      </c>
      <c r="H1860" s="80" t="s">
        <v>4950</v>
      </c>
      <c r="I1860" s="81" t="s">
        <v>190</v>
      </c>
      <c r="J1860" s="81" t="s">
        <v>31</v>
      </c>
      <c r="K1860" s="81" t="s">
        <v>31</v>
      </c>
      <c r="L1860" s="81" t="s">
        <v>4670</v>
      </c>
      <c r="M1860" s="81" t="s">
        <v>32</v>
      </c>
      <c r="N1860" s="82">
        <v>472.1</v>
      </c>
      <c r="O1860" s="81" t="s">
        <v>32</v>
      </c>
      <c r="P1860" s="81"/>
      <c r="Q1860" s="63">
        <v>46066</v>
      </c>
      <c r="R1860" s="45" t="s">
        <v>4559</v>
      </c>
      <c r="S1860" s="45"/>
      <c r="T1860" s="45"/>
      <c r="U1860" s="45"/>
      <c r="V1860" s="45">
        <f>IF(OR(ISNUMBER(SEARCH("unable to locate acct",G1860)),ISNUMBER(SEARCH("unknown",G1860)),ISNUMBER(SEARCH("inactive",G1860)),H1860=""),0,1)</f>
        <v>1</v>
      </c>
    </row>
    <row r="1861" spans="1:22">
      <c r="A1861" s="74">
        <v>46064</v>
      </c>
      <c r="B1861" s="45" t="s">
        <v>4657</v>
      </c>
      <c r="C1861" s="45" t="s">
        <v>4671</v>
      </c>
      <c r="D1861" s="45" t="s">
        <v>57</v>
      </c>
      <c r="E1861" s="45">
        <v>85014</v>
      </c>
      <c r="F1861" s="45" t="s">
        <v>4672</v>
      </c>
      <c r="G1861" s="76" t="s">
        <v>4654</v>
      </c>
      <c r="H1861" s="80" t="s">
        <v>21</v>
      </c>
      <c r="I1861" s="81"/>
      <c r="J1861" s="81"/>
      <c r="K1861" s="81"/>
      <c r="L1861" s="81"/>
      <c r="M1861" s="81"/>
      <c r="N1861" s="81"/>
      <c r="O1861" s="81"/>
      <c r="P1861" s="81"/>
      <c r="Q1861" s="35"/>
      <c r="R1861" s="45"/>
      <c r="S1861" s="45"/>
      <c r="T1861" s="45"/>
      <c r="U1861" s="45"/>
      <c r="V1861" s="45">
        <f>IF(OR(ISNUMBER(SEARCH("unable to locate acct",G1861)),ISNUMBER(SEARCH("unknown",G1861)),ISNUMBER(SEARCH("inactive",G1861)),H1861=""),0,1)</f>
        <v>1</v>
      </c>
    </row>
    <row r="1862" spans="1:22">
      <c r="A1862" s="74">
        <v>46064</v>
      </c>
      <c r="B1862" s="45" t="s">
        <v>4673</v>
      </c>
      <c r="C1862" s="45" t="s">
        <v>4674</v>
      </c>
      <c r="D1862" s="45"/>
      <c r="E1862" s="45"/>
      <c r="F1862" s="45" t="s">
        <v>4675</v>
      </c>
      <c r="G1862" s="76" t="s">
        <v>4654</v>
      </c>
      <c r="H1862" s="80" t="s">
        <v>21</v>
      </c>
      <c r="I1862" s="81"/>
      <c r="J1862" s="81"/>
      <c r="K1862" s="81"/>
      <c r="L1862" s="81"/>
      <c r="M1862" s="81"/>
      <c r="N1862" s="81"/>
      <c r="O1862" s="81"/>
      <c r="P1862" s="81"/>
      <c r="Q1862" s="35"/>
      <c r="R1862" s="45"/>
      <c r="S1862" s="45"/>
      <c r="T1862" s="45"/>
      <c r="U1862" s="45"/>
      <c r="V1862" s="45">
        <f>IF(OR(ISNUMBER(SEARCH("unable to locate acct",G1862)),ISNUMBER(SEARCH("unknown",G1862)),ISNUMBER(SEARCH("inactive",G1862)),H1862=""),0,1)</f>
        <v>1</v>
      </c>
    </row>
    <row r="1863" spans="1:22">
      <c r="A1863" s="74">
        <v>46064</v>
      </c>
      <c r="B1863" s="45" t="s">
        <v>4676</v>
      </c>
      <c r="C1863" s="45" t="s">
        <v>4677</v>
      </c>
      <c r="D1863" s="45" t="s">
        <v>4666</v>
      </c>
      <c r="E1863" s="45" t="s">
        <v>4678</v>
      </c>
      <c r="F1863" s="45" t="s">
        <v>4679</v>
      </c>
      <c r="G1863" s="76" t="s">
        <v>4654</v>
      </c>
      <c r="H1863" s="80" t="s">
        <v>21</v>
      </c>
      <c r="I1863" s="81"/>
      <c r="J1863" s="81"/>
      <c r="K1863" s="81"/>
      <c r="L1863" s="81"/>
      <c r="M1863" s="81"/>
      <c r="N1863" s="81"/>
      <c r="O1863" s="81"/>
      <c r="P1863" s="81"/>
      <c r="Q1863" s="35"/>
      <c r="R1863" s="45"/>
      <c r="S1863" s="45"/>
      <c r="T1863" s="45"/>
      <c r="U1863" s="45"/>
      <c r="V1863" s="45">
        <f>IF(OR(ISNUMBER(SEARCH("unable to locate acct",G1863)),ISNUMBER(SEARCH("unknown",G1863)),ISNUMBER(SEARCH("inactive",G1863)),H1863=""),0,1)</f>
        <v>1</v>
      </c>
    </row>
    <row r="1864" spans="1:22">
      <c r="A1864" s="74">
        <v>46064</v>
      </c>
      <c r="B1864" s="45" t="s">
        <v>4680</v>
      </c>
      <c r="C1864" s="45" t="s">
        <v>4681</v>
      </c>
      <c r="D1864" s="45" t="s">
        <v>728</v>
      </c>
      <c r="E1864" s="45">
        <v>86326</v>
      </c>
      <c r="F1864" s="45" t="s">
        <v>4682</v>
      </c>
      <c r="G1864" s="76" t="s">
        <v>4654</v>
      </c>
      <c r="H1864" s="80" t="s">
        <v>5437</v>
      </c>
      <c r="I1864" s="81" t="s">
        <v>3383</v>
      </c>
      <c r="J1864" s="81" t="s">
        <v>31</v>
      </c>
      <c r="K1864" s="81" t="s">
        <v>31</v>
      </c>
      <c r="L1864" s="81" t="s">
        <v>3543</v>
      </c>
      <c r="M1864" s="81" t="s">
        <v>31</v>
      </c>
      <c r="N1864" s="81" t="s">
        <v>31</v>
      </c>
      <c r="O1864" s="81" t="s">
        <v>32</v>
      </c>
      <c r="P1864" s="81" t="s">
        <v>33</v>
      </c>
      <c r="Q1864" s="60">
        <v>46066</v>
      </c>
      <c r="R1864" s="45" t="s">
        <v>254</v>
      </c>
      <c r="S1864" s="45"/>
      <c r="T1864" s="45"/>
      <c r="U1864" s="45"/>
      <c r="V1864" s="45">
        <f>IF(OR(ISNUMBER(SEARCH("unable to locate acct",G1864)),ISNUMBER(SEARCH("unknown",G1864)),ISNUMBER(SEARCH("inactive",G1864)),H1864=""),0,1)</f>
        <v>1</v>
      </c>
    </row>
    <row r="1865" spans="1:22">
      <c r="A1865" s="74">
        <v>46064</v>
      </c>
      <c r="B1865" s="45" t="s">
        <v>4683</v>
      </c>
      <c r="C1865" s="45" t="s">
        <v>4098</v>
      </c>
      <c r="D1865" s="45" t="s">
        <v>2624</v>
      </c>
      <c r="E1865" s="45">
        <v>85901</v>
      </c>
      <c r="F1865" s="45" t="s">
        <v>4684</v>
      </c>
      <c r="G1865" s="76" t="s">
        <v>4685</v>
      </c>
      <c r="H1865" s="80" t="s">
        <v>21</v>
      </c>
      <c r="I1865" s="81"/>
      <c r="J1865" s="81"/>
      <c r="K1865" s="81"/>
      <c r="L1865" s="81"/>
      <c r="M1865" s="81"/>
      <c r="N1865" s="81"/>
      <c r="O1865" s="81"/>
      <c r="P1865" s="81"/>
      <c r="Q1865" s="35"/>
      <c r="R1865" s="45"/>
      <c r="S1865" s="45"/>
      <c r="T1865" s="45"/>
      <c r="U1865" s="45"/>
      <c r="V1865" s="45">
        <f>IF(OR(ISNUMBER(SEARCH("unable to locate acct",G1865)),ISNUMBER(SEARCH("unknown",G1865)),ISNUMBER(SEARCH("inactive",G1865)),H1865=""),0,1)</f>
        <v>1</v>
      </c>
    </row>
    <row r="1866" spans="1:22">
      <c r="A1866" s="74">
        <v>46064</v>
      </c>
      <c r="B1866" s="45" t="s">
        <v>4686</v>
      </c>
      <c r="C1866" s="45" t="s">
        <v>314</v>
      </c>
      <c r="D1866" s="45" t="s">
        <v>4135</v>
      </c>
      <c r="E1866" s="45">
        <v>86018</v>
      </c>
      <c r="F1866" s="45" t="s">
        <v>4687</v>
      </c>
      <c r="G1866" s="76" t="s">
        <v>4685</v>
      </c>
      <c r="H1866" s="80" t="s">
        <v>5078</v>
      </c>
      <c r="I1866" s="81" t="s">
        <v>40</v>
      </c>
      <c r="J1866" s="81" t="s">
        <v>31</v>
      </c>
      <c r="K1866" s="81" t="s">
        <v>31</v>
      </c>
      <c r="L1866" s="81" t="s">
        <v>3881</v>
      </c>
      <c r="M1866" s="81" t="s">
        <v>31</v>
      </c>
      <c r="N1866" s="81" t="s">
        <v>31</v>
      </c>
      <c r="O1866" s="81" t="s">
        <v>32</v>
      </c>
      <c r="P1866" s="81" t="s">
        <v>33</v>
      </c>
      <c r="Q1866" s="60">
        <v>46066</v>
      </c>
      <c r="R1866" s="45"/>
      <c r="S1866" s="45"/>
      <c r="T1866" s="45"/>
      <c r="U1866" s="45"/>
      <c r="V1866" s="45">
        <f>IF(OR(ISNUMBER(SEARCH("unable to locate acct",G1866)),ISNUMBER(SEARCH("unknown",G1866)),ISNUMBER(SEARCH("inactive",G1866)),H1866=""),0,1)</f>
        <v>1</v>
      </c>
    </row>
    <row r="1867" spans="1:22">
      <c r="A1867" s="74">
        <v>46064</v>
      </c>
      <c r="B1867" s="45" t="s">
        <v>4688</v>
      </c>
      <c r="C1867" s="45" t="s">
        <v>681</v>
      </c>
      <c r="D1867" s="45" t="s">
        <v>57</v>
      </c>
      <c r="E1867" s="45">
        <v>85050</v>
      </c>
      <c r="F1867" s="45" t="s">
        <v>4689</v>
      </c>
      <c r="G1867" s="76" t="s">
        <v>4685</v>
      </c>
      <c r="H1867" s="80" t="s">
        <v>5438</v>
      </c>
      <c r="I1867" s="81" t="s">
        <v>40</v>
      </c>
      <c r="J1867" s="81" t="s">
        <v>31</v>
      </c>
      <c r="K1867" s="81" t="s">
        <v>31</v>
      </c>
      <c r="L1867" s="81" t="s">
        <v>32</v>
      </c>
      <c r="M1867" s="81" t="s">
        <v>31</v>
      </c>
      <c r="N1867" s="81" t="s">
        <v>31</v>
      </c>
      <c r="O1867" s="81" t="s">
        <v>32</v>
      </c>
      <c r="P1867" s="81" t="s">
        <v>33</v>
      </c>
      <c r="Q1867" s="60">
        <v>46066</v>
      </c>
      <c r="R1867" s="45"/>
      <c r="S1867" s="45"/>
      <c r="T1867" s="45"/>
      <c r="U1867" s="45"/>
      <c r="V1867" s="45">
        <f>IF(OR(ISNUMBER(SEARCH("unable to locate acct",G1867)),ISNUMBER(SEARCH("unknown",G1867)),ISNUMBER(SEARCH("inactive",G1867)),H1867=""),0,1)</f>
        <v>1</v>
      </c>
    </row>
    <row r="1868" spans="1:22">
      <c r="A1868" s="74">
        <v>46064</v>
      </c>
      <c r="B1868" s="45" t="s">
        <v>4690</v>
      </c>
      <c r="C1868" s="45" t="s">
        <v>129</v>
      </c>
      <c r="D1868" s="45" t="s">
        <v>2125</v>
      </c>
      <c r="E1868" s="45">
        <v>86325</v>
      </c>
      <c r="F1868" s="45" t="s">
        <v>4691</v>
      </c>
      <c r="G1868" s="76" t="s">
        <v>4685</v>
      </c>
      <c r="H1868" s="80" t="s">
        <v>84</v>
      </c>
      <c r="I1868" s="81"/>
      <c r="J1868" s="81"/>
      <c r="K1868" s="81"/>
      <c r="L1868" s="81"/>
      <c r="M1868" s="81"/>
      <c r="N1868" s="81"/>
      <c r="O1868" s="81"/>
      <c r="P1868" s="81"/>
      <c r="Q1868" s="35"/>
      <c r="R1868" s="45"/>
      <c r="S1868" s="45"/>
      <c r="T1868" s="45"/>
      <c r="U1868" s="45"/>
      <c r="V1868" s="45">
        <f>IF(OR(ISNUMBER(SEARCH("unable to locate acct",G1868)),ISNUMBER(SEARCH("unknown",G1868)),ISNUMBER(SEARCH("inactive",G1868)),H1868=""),0,1)</f>
        <v>1</v>
      </c>
    </row>
    <row r="1869" spans="1:22">
      <c r="A1869" s="74">
        <v>46064</v>
      </c>
      <c r="B1869" s="45" t="s">
        <v>4692</v>
      </c>
      <c r="C1869" s="45" t="s">
        <v>69</v>
      </c>
      <c r="D1869" s="45" t="s">
        <v>610</v>
      </c>
      <c r="E1869" s="45">
        <v>85364</v>
      </c>
      <c r="F1869" s="45" t="s">
        <v>4693</v>
      </c>
      <c r="G1869" s="76" t="s">
        <v>4694</v>
      </c>
      <c r="H1869" s="80" t="s">
        <v>5439</v>
      </c>
      <c r="I1869" s="81" t="s">
        <v>30</v>
      </c>
      <c r="J1869" s="81" t="s">
        <v>31</v>
      </c>
      <c r="K1869" s="81" t="s">
        <v>31</v>
      </c>
      <c r="L1869" s="81" t="s">
        <v>32</v>
      </c>
      <c r="M1869" s="81" t="s">
        <v>31</v>
      </c>
      <c r="N1869" s="81" t="s">
        <v>31</v>
      </c>
      <c r="O1869" s="81" t="s">
        <v>32</v>
      </c>
      <c r="P1869" s="81" t="s">
        <v>33</v>
      </c>
      <c r="Q1869" s="60">
        <v>46066</v>
      </c>
      <c r="R1869" s="45" t="s">
        <v>3701</v>
      </c>
      <c r="S1869" s="45"/>
      <c r="T1869" s="45"/>
      <c r="U1869" s="45"/>
      <c r="V1869" s="45">
        <f>IF(OR(ISNUMBER(SEARCH("unable to locate acct",G1869)),ISNUMBER(SEARCH("unknown",G1869)),ISNUMBER(SEARCH("inactive",G1869)),H1869=""),0,1)</f>
        <v>1</v>
      </c>
    </row>
    <row r="1870" spans="1:22">
      <c r="A1870" s="74">
        <v>46064</v>
      </c>
      <c r="B1870" s="45" t="s">
        <v>4695</v>
      </c>
      <c r="C1870" s="45" t="s">
        <v>224</v>
      </c>
      <c r="D1870" s="45" t="s">
        <v>168</v>
      </c>
      <c r="E1870" s="45">
        <v>85396</v>
      </c>
      <c r="F1870" s="45" t="s">
        <v>4696</v>
      </c>
      <c r="G1870" s="76" t="s">
        <v>4697</v>
      </c>
      <c r="H1870" s="80" t="s">
        <v>5440</v>
      </c>
      <c r="I1870" s="81" t="s">
        <v>40</v>
      </c>
      <c r="J1870" s="81" t="s">
        <v>31</v>
      </c>
      <c r="K1870" s="81" t="s">
        <v>31</v>
      </c>
      <c r="L1870" s="81" t="s">
        <v>32</v>
      </c>
      <c r="M1870" s="81" t="s">
        <v>31</v>
      </c>
      <c r="N1870" s="81" t="s">
        <v>31</v>
      </c>
      <c r="O1870" s="81" t="s">
        <v>32</v>
      </c>
      <c r="P1870" s="81" t="s">
        <v>33</v>
      </c>
      <c r="Q1870" s="60">
        <v>46066</v>
      </c>
      <c r="R1870" s="45"/>
      <c r="S1870" s="45"/>
      <c r="T1870" s="45"/>
      <c r="U1870" s="45"/>
      <c r="V1870" s="45">
        <f>IF(OR(ISNUMBER(SEARCH("unable to locate acct",G1870)),ISNUMBER(SEARCH("unknown",G1870)),ISNUMBER(SEARCH("inactive",G1870)),H1870=""),0,1)</f>
        <v>1</v>
      </c>
    </row>
    <row r="1871" spans="1:22">
      <c r="A1871" s="74">
        <v>46064</v>
      </c>
      <c r="B1871" s="45" t="s">
        <v>4698</v>
      </c>
      <c r="C1871" s="45" t="s">
        <v>73</v>
      </c>
      <c r="D1871" s="45" t="s">
        <v>440</v>
      </c>
      <c r="E1871" s="45">
        <v>85361</v>
      </c>
      <c r="F1871" s="45" t="s">
        <v>4699</v>
      </c>
      <c r="G1871" s="76" t="s">
        <v>4697</v>
      </c>
      <c r="H1871" s="80" t="s">
        <v>4951</v>
      </c>
      <c r="I1871" s="81" t="s">
        <v>190</v>
      </c>
      <c r="J1871" s="81" t="s">
        <v>31</v>
      </c>
      <c r="K1871" s="81" t="s">
        <v>31</v>
      </c>
      <c r="L1871" s="81" t="s">
        <v>4700</v>
      </c>
      <c r="M1871" s="81" t="s">
        <v>32</v>
      </c>
      <c r="N1871" s="82">
        <v>409.95</v>
      </c>
      <c r="O1871" s="81" t="s">
        <v>32</v>
      </c>
      <c r="P1871" s="81"/>
      <c r="Q1871" s="63">
        <v>46066</v>
      </c>
      <c r="R1871" s="45" t="s">
        <v>4701</v>
      </c>
      <c r="S1871" s="45"/>
      <c r="T1871" s="45"/>
      <c r="U1871" s="45"/>
      <c r="V1871" s="45">
        <f>IF(OR(ISNUMBER(SEARCH("unable to locate acct",G1871)),ISNUMBER(SEARCH("unknown",G1871)),ISNUMBER(SEARCH("inactive",G1871)),H1871=""),0,1)</f>
        <v>1</v>
      </c>
    </row>
    <row r="1872" spans="1:22">
      <c r="A1872" s="74">
        <v>46064</v>
      </c>
      <c r="B1872" s="45"/>
      <c r="C1872" s="45" t="s">
        <v>1389</v>
      </c>
      <c r="D1872" s="45"/>
      <c r="E1872" s="45"/>
      <c r="F1872" s="45" t="s">
        <v>4702</v>
      </c>
      <c r="G1872" s="76" t="s">
        <v>4697</v>
      </c>
      <c r="H1872" s="80" t="s">
        <v>21</v>
      </c>
      <c r="I1872" s="81"/>
      <c r="J1872" s="81"/>
      <c r="K1872" s="81"/>
      <c r="L1872" s="81"/>
      <c r="M1872" s="81"/>
      <c r="N1872" s="81"/>
      <c r="O1872" s="81"/>
      <c r="P1872" s="81"/>
      <c r="Q1872" s="35"/>
      <c r="R1872" s="45"/>
      <c r="S1872" s="45"/>
      <c r="T1872" s="45"/>
      <c r="U1872" s="45"/>
      <c r="V1872" s="45">
        <f>IF(OR(ISNUMBER(SEARCH("unable to locate acct",G1872)),ISNUMBER(SEARCH("unknown",G1872)),ISNUMBER(SEARCH("inactive",G1872)),H1872=""),0,1)</f>
        <v>1</v>
      </c>
    </row>
    <row r="1873" spans="1:22">
      <c r="A1873" s="74">
        <v>46065</v>
      </c>
      <c r="B1873" s="45" t="s">
        <v>1426</v>
      </c>
      <c r="C1873" s="45" t="s">
        <v>1853</v>
      </c>
      <c r="D1873" s="45" t="s">
        <v>57</v>
      </c>
      <c r="E1873" s="45"/>
      <c r="F1873" s="45" t="s">
        <v>4703</v>
      </c>
      <c r="G1873" s="76" t="s">
        <v>4704</v>
      </c>
      <c r="H1873" s="80" t="s">
        <v>5441</v>
      </c>
      <c r="I1873" s="81" t="s">
        <v>30</v>
      </c>
      <c r="J1873" s="81" t="s">
        <v>31</v>
      </c>
      <c r="K1873" s="81" t="s">
        <v>31</v>
      </c>
      <c r="L1873" s="81" t="s">
        <v>32</v>
      </c>
      <c r="M1873" s="81" t="s">
        <v>31</v>
      </c>
      <c r="N1873" s="81" t="s">
        <v>31</v>
      </c>
      <c r="O1873" s="81" t="s">
        <v>32</v>
      </c>
      <c r="P1873" s="81" t="s">
        <v>33</v>
      </c>
      <c r="Q1873" s="60">
        <v>46066</v>
      </c>
      <c r="R1873" s="45"/>
      <c r="S1873" s="45"/>
      <c r="T1873" s="45"/>
      <c r="U1873" s="45"/>
      <c r="V1873" s="45">
        <f>IF(OR(ISNUMBER(SEARCH("unable to locate acct",G1873)),ISNUMBER(SEARCH("unknown",G1873)),ISNUMBER(SEARCH("inactive",G1873)),H1873=""),0,1)</f>
        <v>1</v>
      </c>
    </row>
    <row r="1874" spans="1:22">
      <c r="A1874" s="74">
        <v>46065</v>
      </c>
      <c r="B1874" s="45" t="s">
        <v>1165</v>
      </c>
      <c r="C1874" s="45" t="s">
        <v>285</v>
      </c>
      <c r="D1874" s="45" t="s">
        <v>801</v>
      </c>
      <c r="E1874" s="45">
        <v>86303</v>
      </c>
      <c r="F1874" s="45" t="s">
        <v>4705</v>
      </c>
      <c r="G1874" s="76" t="s">
        <v>4704</v>
      </c>
      <c r="H1874" s="80" t="s">
        <v>5442</v>
      </c>
      <c r="I1874" s="81" t="s">
        <v>67</v>
      </c>
      <c r="J1874" s="81" t="s">
        <v>31</v>
      </c>
      <c r="K1874" s="81" t="s">
        <v>31</v>
      </c>
      <c r="L1874" s="81" t="s">
        <v>32</v>
      </c>
      <c r="M1874" s="81" t="s">
        <v>31</v>
      </c>
      <c r="N1874" s="81" t="s">
        <v>31</v>
      </c>
      <c r="O1874" s="81" t="s">
        <v>32</v>
      </c>
      <c r="P1874" s="81" t="s">
        <v>33</v>
      </c>
      <c r="Q1874" s="60">
        <v>46066</v>
      </c>
      <c r="R1874" s="45"/>
      <c r="S1874" s="45"/>
      <c r="T1874" s="45"/>
      <c r="U1874" s="45"/>
      <c r="V1874" s="45">
        <f>IF(OR(ISNUMBER(SEARCH("unable to locate acct",G1874)),ISNUMBER(SEARCH("unknown",G1874)),ISNUMBER(SEARCH("inactive",G1874)),H1874=""),0,1)</f>
        <v>1</v>
      </c>
    </row>
    <row r="1875" spans="1:22">
      <c r="A1875" s="74">
        <v>46065</v>
      </c>
      <c r="B1875" s="45" t="s">
        <v>4619</v>
      </c>
      <c r="C1875" s="45" t="s">
        <v>1519</v>
      </c>
      <c r="D1875" s="45" t="s">
        <v>119</v>
      </c>
      <c r="E1875" s="45">
        <v>85259</v>
      </c>
      <c r="F1875" s="45" t="s">
        <v>4706</v>
      </c>
      <c r="G1875" s="76" t="s">
        <v>4704</v>
      </c>
      <c r="H1875" s="80" t="s">
        <v>21</v>
      </c>
      <c r="I1875" s="81"/>
      <c r="J1875" s="81"/>
      <c r="K1875" s="81"/>
      <c r="L1875" s="81"/>
      <c r="M1875" s="81"/>
      <c r="N1875" s="81"/>
      <c r="O1875" s="81"/>
      <c r="P1875" s="81"/>
      <c r="Q1875" s="35"/>
      <c r="R1875" s="45"/>
      <c r="S1875" s="45"/>
      <c r="T1875" s="45"/>
      <c r="U1875" s="45"/>
      <c r="V1875" s="45">
        <f>IF(OR(ISNUMBER(SEARCH("unable to locate acct",G1875)),ISNUMBER(SEARCH("unknown",G1875)),ISNUMBER(SEARCH("inactive",G1875)),H1875=""),0,1)</f>
        <v>1</v>
      </c>
    </row>
    <row r="1876" spans="1:22">
      <c r="A1876" s="74">
        <v>46065</v>
      </c>
      <c r="B1876" s="45" t="s">
        <v>4707</v>
      </c>
      <c r="C1876" s="45" t="s">
        <v>2240</v>
      </c>
      <c r="D1876" s="45" t="s">
        <v>83</v>
      </c>
      <c r="E1876" s="45">
        <v>86336</v>
      </c>
      <c r="F1876" s="45" t="s">
        <v>4708</v>
      </c>
      <c r="G1876" s="76" t="s">
        <v>4709</v>
      </c>
      <c r="H1876" s="80" t="s">
        <v>5443</v>
      </c>
      <c r="I1876" s="81" t="s">
        <v>40</v>
      </c>
      <c r="J1876" s="81" t="s">
        <v>31</v>
      </c>
      <c r="K1876" s="81" t="s">
        <v>31</v>
      </c>
      <c r="L1876" s="81" t="s">
        <v>32</v>
      </c>
      <c r="M1876" s="81" t="s">
        <v>31</v>
      </c>
      <c r="N1876" s="81" t="s">
        <v>31</v>
      </c>
      <c r="O1876" s="81" t="s">
        <v>32</v>
      </c>
      <c r="P1876" s="81" t="s">
        <v>33</v>
      </c>
      <c r="Q1876" s="60">
        <v>46066</v>
      </c>
      <c r="R1876" s="45"/>
      <c r="S1876" s="45"/>
      <c r="T1876" s="45"/>
      <c r="U1876" s="45"/>
      <c r="V1876" s="45">
        <f>IF(OR(ISNUMBER(SEARCH("unable to locate acct",G1876)),ISNUMBER(SEARCH("unknown",G1876)),ISNUMBER(SEARCH("inactive",G1876)),H1876=""),0,1)</f>
        <v>1</v>
      </c>
    </row>
    <row r="1877" spans="1:22">
      <c r="A1877" s="74">
        <v>46065</v>
      </c>
      <c r="B1877" s="45" t="s">
        <v>4710</v>
      </c>
      <c r="C1877" s="45" t="s">
        <v>566</v>
      </c>
      <c r="D1877" s="45" t="s">
        <v>83</v>
      </c>
      <c r="E1877" s="45">
        <v>86336</v>
      </c>
      <c r="F1877" s="45" t="s">
        <v>4711</v>
      </c>
      <c r="G1877" s="76" t="s">
        <v>4709</v>
      </c>
      <c r="H1877" s="80" t="s">
        <v>5444</v>
      </c>
      <c r="I1877" s="81" t="s">
        <v>30</v>
      </c>
      <c r="J1877" s="81" t="s">
        <v>31</v>
      </c>
      <c r="K1877" s="81" t="s">
        <v>31</v>
      </c>
      <c r="L1877" s="81" t="s">
        <v>32</v>
      </c>
      <c r="M1877" s="81" t="s">
        <v>31</v>
      </c>
      <c r="N1877" s="81" t="s">
        <v>31</v>
      </c>
      <c r="O1877" s="81" t="s">
        <v>32</v>
      </c>
      <c r="P1877" s="81" t="s">
        <v>33</v>
      </c>
      <c r="Q1877" s="60">
        <v>46066</v>
      </c>
      <c r="R1877" s="45"/>
      <c r="S1877" s="45"/>
      <c r="T1877" s="45"/>
      <c r="U1877" s="45"/>
      <c r="V1877" s="45">
        <f>IF(OR(ISNUMBER(SEARCH("unable to locate acct",G1877)),ISNUMBER(SEARCH("unknown",G1877)),ISNUMBER(SEARCH("inactive",G1877)),H1877=""),0,1)</f>
        <v>1</v>
      </c>
    </row>
    <row r="1878" spans="1:22">
      <c r="A1878" s="74">
        <v>46065</v>
      </c>
      <c r="B1878" s="45" t="s">
        <v>4712</v>
      </c>
      <c r="C1878" s="45" t="s">
        <v>759</v>
      </c>
      <c r="D1878" s="45" t="s">
        <v>495</v>
      </c>
      <c r="E1878" s="45">
        <v>86004</v>
      </c>
      <c r="F1878" s="45" t="s">
        <v>4713</v>
      </c>
      <c r="G1878" s="76" t="s">
        <v>4709</v>
      </c>
      <c r="H1878" s="80" t="s">
        <v>5445</v>
      </c>
      <c r="I1878" s="81" t="s">
        <v>67</v>
      </c>
      <c r="J1878" s="81" t="s">
        <v>31</v>
      </c>
      <c r="K1878" s="81" t="s">
        <v>31</v>
      </c>
      <c r="L1878" s="81" t="s">
        <v>32</v>
      </c>
      <c r="M1878" s="81" t="s">
        <v>31</v>
      </c>
      <c r="N1878" s="81" t="s">
        <v>31</v>
      </c>
      <c r="O1878" s="81" t="s">
        <v>32</v>
      </c>
      <c r="P1878" s="81" t="s">
        <v>33</v>
      </c>
      <c r="Q1878" s="60">
        <v>46066</v>
      </c>
      <c r="R1878" s="45"/>
      <c r="S1878" s="45"/>
      <c r="T1878" s="45"/>
      <c r="U1878" s="45"/>
      <c r="V1878" s="45">
        <f>IF(OR(ISNUMBER(SEARCH("unable to locate acct",G1878)),ISNUMBER(SEARCH("unknown",G1878)),ISNUMBER(SEARCH("inactive",G1878)),H1878=""),0,1)</f>
        <v>1</v>
      </c>
    </row>
    <row r="1879" spans="1:22">
      <c r="A1879" s="74">
        <v>46065</v>
      </c>
      <c r="B1879" s="45" t="s">
        <v>4714</v>
      </c>
      <c r="C1879" s="45" t="s">
        <v>1519</v>
      </c>
      <c r="D1879" s="45" t="s">
        <v>123</v>
      </c>
      <c r="E1879" s="45">
        <v>85234</v>
      </c>
      <c r="F1879" s="45" t="s">
        <v>4715</v>
      </c>
      <c r="G1879" s="76" t="s">
        <v>4709</v>
      </c>
      <c r="H1879" s="80" t="s">
        <v>5446</v>
      </c>
      <c r="I1879" s="81" t="s">
        <v>532</v>
      </c>
      <c r="J1879" s="81" t="s">
        <v>31</v>
      </c>
      <c r="K1879" s="81" t="s">
        <v>31</v>
      </c>
      <c r="L1879" s="81" t="s">
        <v>3543</v>
      </c>
      <c r="M1879" s="81" t="s">
        <v>31</v>
      </c>
      <c r="N1879" s="81" t="s">
        <v>31</v>
      </c>
      <c r="O1879" s="81" t="s">
        <v>32</v>
      </c>
      <c r="P1879" s="81" t="s">
        <v>33</v>
      </c>
      <c r="Q1879" s="60">
        <v>46066</v>
      </c>
      <c r="R1879" s="45"/>
      <c r="S1879" s="45"/>
      <c r="T1879" s="45"/>
      <c r="U1879" s="45"/>
      <c r="V1879" s="45">
        <f>IF(OR(ISNUMBER(SEARCH("unable to locate acct",G1879)),ISNUMBER(SEARCH("unknown",G1879)),ISNUMBER(SEARCH("inactive",G1879)),H1879=""),0,1)</f>
        <v>1</v>
      </c>
    </row>
    <row r="1880" spans="1:22">
      <c r="A1880" s="74">
        <v>46065</v>
      </c>
      <c r="B1880" s="45" t="s">
        <v>4716</v>
      </c>
      <c r="C1880" s="45" t="s">
        <v>111</v>
      </c>
      <c r="D1880" s="45" t="s">
        <v>83</v>
      </c>
      <c r="E1880" s="45">
        <v>86336</v>
      </c>
      <c r="F1880" s="45" t="s">
        <v>4717</v>
      </c>
      <c r="G1880" s="76" t="s">
        <v>4709</v>
      </c>
      <c r="H1880" s="80" t="s">
        <v>5447</v>
      </c>
      <c r="I1880" s="81" t="s">
        <v>67</v>
      </c>
      <c r="J1880" s="81" t="s">
        <v>31</v>
      </c>
      <c r="K1880" s="81" t="s">
        <v>31</v>
      </c>
      <c r="L1880" s="81" t="s">
        <v>32</v>
      </c>
      <c r="M1880" s="81" t="s">
        <v>31</v>
      </c>
      <c r="N1880" s="81" t="s">
        <v>31</v>
      </c>
      <c r="O1880" s="81" t="s">
        <v>32</v>
      </c>
      <c r="P1880" s="81" t="s">
        <v>33</v>
      </c>
      <c r="Q1880" s="60">
        <v>46066</v>
      </c>
      <c r="R1880" s="45" t="s">
        <v>4718</v>
      </c>
      <c r="S1880" s="45"/>
      <c r="T1880" s="45"/>
      <c r="U1880" s="45"/>
      <c r="V1880" s="45">
        <f>IF(OR(ISNUMBER(SEARCH("unable to locate acct",G1880)),ISNUMBER(SEARCH("unknown",G1880)),ISNUMBER(SEARCH("inactive",G1880)),H1880=""),0,1)</f>
        <v>1</v>
      </c>
    </row>
    <row r="1881" spans="1:22">
      <c r="A1881" s="74">
        <v>46065</v>
      </c>
      <c r="B1881" s="45" t="s">
        <v>4719</v>
      </c>
      <c r="C1881" s="45" t="s">
        <v>2458</v>
      </c>
      <c r="D1881" s="45" t="s">
        <v>83</v>
      </c>
      <c r="E1881" s="45">
        <v>86336</v>
      </c>
      <c r="F1881" s="45" t="s">
        <v>4720</v>
      </c>
      <c r="G1881" s="76" t="s">
        <v>4709</v>
      </c>
      <c r="H1881" s="80" t="s">
        <v>5448</v>
      </c>
      <c r="I1881" s="81" t="s">
        <v>3773</v>
      </c>
      <c r="J1881" s="81" t="s">
        <v>31</v>
      </c>
      <c r="K1881" s="81" t="s">
        <v>31</v>
      </c>
      <c r="L1881" s="81" t="s">
        <v>32</v>
      </c>
      <c r="M1881" s="81" t="s">
        <v>31</v>
      </c>
      <c r="N1881" s="81" t="s">
        <v>31</v>
      </c>
      <c r="O1881" s="81" t="s">
        <v>32</v>
      </c>
      <c r="P1881" s="81" t="s">
        <v>33</v>
      </c>
      <c r="Q1881" s="60">
        <v>46066</v>
      </c>
      <c r="R1881" s="45"/>
      <c r="S1881" s="45"/>
      <c r="T1881" s="45"/>
      <c r="U1881" s="45"/>
      <c r="V1881" s="45">
        <f>IF(OR(ISNUMBER(SEARCH("unable to locate acct",G1881)),ISNUMBER(SEARCH("unknown",G1881)),ISNUMBER(SEARCH("inactive",G1881)),H1881=""),0,1)</f>
        <v>1</v>
      </c>
    </row>
    <row r="1882" spans="1:22">
      <c r="A1882" s="74">
        <v>46065</v>
      </c>
      <c r="B1882" s="45" t="s">
        <v>4721</v>
      </c>
      <c r="C1882" s="45"/>
      <c r="D1882" s="45"/>
      <c r="E1882" s="45"/>
      <c r="F1882" s="45" t="s">
        <v>4722</v>
      </c>
      <c r="G1882" s="76" t="s">
        <v>4723</v>
      </c>
      <c r="H1882" s="80" t="s">
        <v>4724</v>
      </c>
      <c r="I1882" s="81"/>
      <c r="J1882" s="81"/>
      <c r="K1882" s="81"/>
      <c r="L1882" s="81"/>
      <c r="M1882" s="81"/>
      <c r="N1882" s="81"/>
      <c r="O1882" s="81"/>
      <c r="P1882" s="81"/>
      <c r="Q1882" s="35"/>
      <c r="R1882" s="45"/>
      <c r="S1882" s="45"/>
      <c r="T1882" s="45"/>
      <c r="U1882" s="45"/>
      <c r="V1882" s="45">
        <f>IF(OR(ISNUMBER(SEARCH("unable to locate acct",G1882)),ISNUMBER(SEARCH("unknown",G1882)),ISNUMBER(SEARCH("inactive",G1882)),H1882=""),0,1)</f>
        <v>1</v>
      </c>
    </row>
    <row r="1883" spans="1:22" s="45" customFormat="1">
      <c r="A1883" s="74">
        <v>46070</v>
      </c>
      <c r="B1883" s="45" t="s">
        <v>4491</v>
      </c>
      <c r="C1883" s="45" t="s">
        <v>211</v>
      </c>
      <c r="D1883" s="45" t="s">
        <v>24</v>
      </c>
      <c r="E1883" s="45" t="s">
        <v>24</v>
      </c>
      <c r="F1883" s="45" t="s">
        <v>4725</v>
      </c>
      <c r="G1883" s="76" t="s">
        <v>4726</v>
      </c>
      <c r="H1883" s="80" t="s">
        <v>5079</v>
      </c>
      <c r="I1883" s="81" t="s">
        <v>40</v>
      </c>
      <c r="J1883" s="81" t="s">
        <v>31</v>
      </c>
      <c r="K1883" s="81" t="s">
        <v>31</v>
      </c>
      <c r="L1883" s="81" t="s">
        <v>3881</v>
      </c>
      <c r="M1883" s="81" t="s">
        <v>31</v>
      </c>
      <c r="N1883" s="81" t="s">
        <v>31</v>
      </c>
      <c r="O1883" s="81" t="s">
        <v>32</v>
      </c>
      <c r="P1883" s="81" t="s">
        <v>33</v>
      </c>
      <c r="Q1883" s="55">
        <v>46077</v>
      </c>
      <c r="V1883" s="45">
        <f>IF(OR(ISNUMBER(SEARCH("unable to locate acct",G1883)),ISNUMBER(SEARCH("unknown",G1883)),ISNUMBER(SEARCH("inactive",G1883)),H1883=""),0,1)</f>
        <v>1</v>
      </c>
    </row>
    <row r="1884" spans="1:22" s="45" customFormat="1">
      <c r="A1884" s="74">
        <v>46070</v>
      </c>
      <c r="B1884" s="45" t="s">
        <v>2489</v>
      </c>
      <c r="C1884" s="45" t="s">
        <v>4146</v>
      </c>
      <c r="D1884" s="45" t="s">
        <v>106</v>
      </c>
      <c r="E1884" s="45">
        <v>85374</v>
      </c>
      <c r="F1884" s="45" t="s">
        <v>4727</v>
      </c>
      <c r="G1884" s="76" t="s">
        <v>4726</v>
      </c>
      <c r="H1884" s="80" t="s">
        <v>5449</v>
      </c>
      <c r="I1884" s="81" t="s">
        <v>30</v>
      </c>
      <c r="J1884" s="81" t="s">
        <v>31</v>
      </c>
      <c r="K1884" s="81" t="s">
        <v>31</v>
      </c>
      <c r="L1884" s="81" t="s">
        <v>32</v>
      </c>
      <c r="M1884" s="81" t="s">
        <v>31</v>
      </c>
      <c r="N1884" s="81" t="s">
        <v>31</v>
      </c>
      <c r="O1884" s="81" t="s">
        <v>32</v>
      </c>
      <c r="P1884" s="81" t="s">
        <v>33</v>
      </c>
      <c r="Q1884" s="55">
        <v>46077</v>
      </c>
      <c r="V1884" s="45">
        <f>IF(OR(ISNUMBER(SEARCH("unable to locate acct",G1884)),ISNUMBER(SEARCH("unknown",G1884)),ISNUMBER(SEARCH("inactive",G1884)),H1884=""),0,1)</f>
        <v>1</v>
      </c>
    </row>
    <row r="1885" spans="1:22" s="45" customFormat="1">
      <c r="A1885" s="74">
        <v>46070</v>
      </c>
      <c r="B1885" s="45" t="s">
        <v>3548</v>
      </c>
      <c r="C1885" s="45" t="s">
        <v>3783</v>
      </c>
      <c r="D1885" s="45" t="s">
        <v>57</v>
      </c>
      <c r="E1885" s="45">
        <v>85029</v>
      </c>
      <c r="F1885" s="45" t="s">
        <v>4728</v>
      </c>
      <c r="G1885" s="76" t="s">
        <v>4729</v>
      </c>
      <c r="H1885" s="80" t="s">
        <v>5080</v>
      </c>
      <c r="I1885" s="81" t="s">
        <v>40</v>
      </c>
      <c r="J1885" s="81" t="s">
        <v>31</v>
      </c>
      <c r="K1885" s="81" t="s">
        <v>31</v>
      </c>
      <c r="L1885" s="81" t="s">
        <v>4730</v>
      </c>
      <c r="M1885" s="81" t="s">
        <v>31</v>
      </c>
      <c r="N1885" s="81" t="s">
        <v>31</v>
      </c>
      <c r="O1885" s="81" t="s">
        <v>32</v>
      </c>
      <c r="P1885" s="81" t="s">
        <v>33</v>
      </c>
      <c r="Q1885" s="55">
        <v>46077</v>
      </c>
      <c r="V1885" s="45">
        <f>IF(OR(ISNUMBER(SEARCH("unable to locate acct",G1885)),ISNUMBER(SEARCH("unknown",G1885)),ISNUMBER(SEARCH("inactive",G1885)),H1885=""),0,1)</f>
        <v>1</v>
      </c>
    </row>
    <row r="1886" spans="1:22" s="45" customFormat="1">
      <c r="A1886" s="74">
        <v>46070</v>
      </c>
      <c r="B1886" s="45" t="s">
        <v>4731</v>
      </c>
      <c r="C1886" s="45" t="s">
        <v>4732</v>
      </c>
      <c r="D1886" s="45" t="s">
        <v>18</v>
      </c>
      <c r="E1886" s="45">
        <v>85303</v>
      </c>
      <c r="F1886" s="45" t="s">
        <v>4733</v>
      </c>
      <c r="G1886" s="76" t="s">
        <v>4729</v>
      </c>
      <c r="H1886" s="80" t="s">
        <v>21</v>
      </c>
      <c r="I1886" s="81"/>
      <c r="J1886" s="81"/>
      <c r="K1886" s="81"/>
      <c r="L1886" s="81"/>
      <c r="M1886" s="81"/>
      <c r="N1886" s="81"/>
      <c r="O1886" s="81"/>
      <c r="P1886" s="81"/>
      <c r="Q1886" s="56"/>
      <c r="V1886" s="45">
        <f>IF(OR(ISNUMBER(SEARCH("unable to locate acct",G1886)),ISNUMBER(SEARCH("unknown",G1886)),ISNUMBER(SEARCH("inactive",G1886)),H1886=""),0,1)</f>
        <v>1</v>
      </c>
    </row>
    <row r="1887" spans="1:22" s="45" customFormat="1">
      <c r="A1887" s="74">
        <v>46070</v>
      </c>
      <c r="B1887" s="45" t="s">
        <v>4734</v>
      </c>
      <c r="C1887" s="45" t="s">
        <v>768</v>
      </c>
      <c r="D1887" s="45" t="s">
        <v>3003</v>
      </c>
      <c r="E1887" s="45">
        <v>85742</v>
      </c>
      <c r="F1887" s="45" t="s">
        <v>4735</v>
      </c>
      <c r="G1887" s="76" t="s">
        <v>4729</v>
      </c>
      <c r="H1887" s="80" t="s">
        <v>21</v>
      </c>
      <c r="I1887" s="81"/>
      <c r="J1887" s="81"/>
      <c r="K1887" s="81"/>
      <c r="L1887" s="81"/>
      <c r="M1887" s="81"/>
      <c r="N1887" s="81"/>
      <c r="O1887" s="81"/>
      <c r="P1887" s="81"/>
      <c r="Q1887" s="56"/>
      <c r="V1887" s="45">
        <f>IF(OR(ISNUMBER(SEARCH("unable to locate acct",G1887)),ISNUMBER(SEARCH("unknown",G1887)),ISNUMBER(SEARCH("inactive",G1887)),H1887=""),0,1)</f>
        <v>1</v>
      </c>
    </row>
    <row r="1888" spans="1:22" s="45" customFormat="1">
      <c r="A1888" s="74">
        <v>46070</v>
      </c>
      <c r="B1888" s="45" t="s">
        <v>4736</v>
      </c>
      <c r="C1888" s="45" t="s">
        <v>4737</v>
      </c>
      <c r="D1888" s="45" t="s">
        <v>106</v>
      </c>
      <c r="E1888" s="45">
        <v>85374</v>
      </c>
      <c r="F1888" s="45" t="s">
        <v>4738</v>
      </c>
      <c r="G1888" s="76" t="s">
        <v>4729</v>
      </c>
      <c r="H1888" s="80" t="s">
        <v>5450</v>
      </c>
      <c r="I1888" s="81" t="s">
        <v>40</v>
      </c>
      <c r="J1888" s="81" t="s">
        <v>31</v>
      </c>
      <c r="K1888" s="81" t="s">
        <v>32</v>
      </c>
      <c r="L1888" s="81" t="s">
        <v>32</v>
      </c>
      <c r="M1888" s="81" t="s">
        <v>31</v>
      </c>
      <c r="N1888" s="81" t="s">
        <v>31</v>
      </c>
      <c r="O1888" s="81" t="s">
        <v>32</v>
      </c>
      <c r="P1888" s="81" t="s">
        <v>33</v>
      </c>
      <c r="Q1888" s="55">
        <v>46077</v>
      </c>
      <c r="V1888" s="45">
        <f>IF(OR(ISNUMBER(SEARCH("unable to locate acct",G1888)),ISNUMBER(SEARCH("unknown",G1888)),ISNUMBER(SEARCH("inactive",G1888)),H1888=""),0,1)</f>
        <v>1</v>
      </c>
    </row>
    <row r="1889" spans="1:22" s="45" customFormat="1">
      <c r="A1889" s="74">
        <v>46070</v>
      </c>
      <c r="B1889" s="45" t="s">
        <v>4739</v>
      </c>
      <c r="C1889" s="45" t="s">
        <v>472</v>
      </c>
      <c r="D1889" s="45" t="s">
        <v>495</v>
      </c>
      <c r="E1889" s="45">
        <v>86001</v>
      </c>
      <c r="F1889" s="45" t="s">
        <v>4740</v>
      </c>
      <c r="G1889" s="76" t="s">
        <v>4729</v>
      </c>
      <c r="H1889" s="80" t="s">
        <v>5451</v>
      </c>
      <c r="I1889" s="81" t="s">
        <v>244</v>
      </c>
      <c r="J1889" s="81" t="s">
        <v>31</v>
      </c>
      <c r="K1889" s="81" t="s">
        <v>31</v>
      </c>
      <c r="L1889" s="81" t="s">
        <v>32</v>
      </c>
      <c r="M1889" s="81" t="s">
        <v>31</v>
      </c>
      <c r="N1889" s="81" t="s">
        <v>31</v>
      </c>
      <c r="O1889" s="81" t="s">
        <v>32</v>
      </c>
      <c r="P1889" s="81" t="s">
        <v>33</v>
      </c>
      <c r="Q1889" s="55">
        <v>46077</v>
      </c>
      <c r="V1889" s="45">
        <f>IF(OR(ISNUMBER(SEARCH("unable to locate acct",G1889)),ISNUMBER(SEARCH("unknown",G1889)),ISNUMBER(SEARCH("inactive",G1889)),H1889=""),0,1)</f>
        <v>1</v>
      </c>
    </row>
    <row r="1890" spans="1:22" s="45" customFormat="1">
      <c r="A1890" s="74">
        <v>46070</v>
      </c>
      <c r="B1890" s="45" t="s">
        <v>4741</v>
      </c>
      <c r="C1890" s="45" t="s">
        <v>1596</v>
      </c>
      <c r="D1890" s="45" t="s">
        <v>57</v>
      </c>
      <c r="E1890" s="45">
        <v>85029</v>
      </c>
      <c r="F1890" s="45" t="s">
        <v>4742</v>
      </c>
      <c r="G1890" s="76" t="s">
        <v>4729</v>
      </c>
      <c r="H1890" s="80" t="s">
        <v>21</v>
      </c>
      <c r="I1890" s="81"/>
      <c r="J1890" s="81"/>
      <c r="K1890" s="81"/>
      <c r="L1890" s="81"/>
      <c r="M1890" s="81"/>
      <c r="N1890" s="81"/>
      <c r="O1890" s="81"/>
      <c r="P1890" s="81"/>
      <c r="Q1890" s="56"/>
      <c r="V1890" s="45">
        <f>IF(OR(ISNUMBER(SEARCH("unable to locate acct",G1890)),ISNUMBER(SEARCH("unknown",G1890)),ISNUMBER(SEARCH("inactive",G1890)),H1890=""),0,1)</f>
        <v>1</v>
      </c>
    </row>
    <row r="1891" spans="1:22" s="45" customFormat="1">
      <c r="A1891" s="74">
        <v>46070</v>
      </c>
      <c r="B1891" s="45" t="s">
        <v>677</v>
      </c>
      <c r="C1891" s="45" t="s">
        <v>147</v>
      </c>
      <c r="D1891" s="45" t="s">
        <v>18</v>
      </c>
      <c r="E1891" s="45">
        <v>85308</v>
      </c>
      <c r="F1891" s="45" t="s">
        <v>4743</v>
      </c>
      <c r="G1891" s="76" t="s">
        <v>4729</v>
      </c>
      <c r="H1891" s="80" t="s">
        <v>5452</v>
      </c>
      <c r="I1891" s="81" t="s">
        <v>3351</v>
      </c>
      <c r="J1891" s="81" t="s">
        <v>31</v>
      </c>
      <c r="K1891" s="81" t="s">
        <v>31</v>
      </c>
      <c r="L1891" s="81" t="s">
        <v>3543</v>
      </c>
      <c r="M1891" s="81" t="s">
        <v>31</v>
      </c>
      <c r="N1891" s="81" t="s">
        <v>31</v>
      </c>
      <c r="O1891" s="81" t="s">
        <v>32</v>
      </c>
      <c r="P1891" s="81" t="s">
        <v>33</v>
      </c>
      <c r="Q1891" s="55">
        <v>46077</v>
      </c>
      <c r="V1891" s="45">
        <f>IF(OR(ISNUMBER(SEARCH("unable to locate acct",G1891)),ISNUMBER(SEARCH("unknown",G1891)),ISNUMBER(SEARCH("inactive",G1891)),H1891=""),0,1)</f>
        <v>1</v>
      </c>
    </row>
    <row r="1892" spans="1:22" s="45" customFormat="1">
      <c r="A1892" s="74">
        <v>46070</v>
      </c>
      <c r="B1892" s="45" t="s">
        <v>4744</v>
      </c>
      <c r="C1892" s="45" t="s">
        <v>4745</v>
      </c>
      <c r="D1892" s="45" t="s">
        <v>530</v>
      </c>
      <c r="E1892" s="45">
        <v>85122</v>
      </c>
      <c r="F1892" s="45" t="s">
        <v>4746</v>
      </c>
      <c r="G1892" s="76" t="s">
        <v>4729</v>
      </c>
      <c r="H1892" s="80" t="s">
        <v>5453</v>
      </c>
      <c r="I1892" s="81" t="s">
        <v>3773</v>
      </c>
      <c r="J1892" s="81" t="s">
        <v>31</v>
      </c>
      <c r="K1892" s="81" t="s">
        <v>31</v>
      </c>
      <c r="L1892" s="81" t="s">
        <v>32</v>
      </c>
      <c r="M1892" s="81" t="s">
        <v>31</v>
      </c>
      <c r="N1892" s="81" t="s">
        <v>31</v>
      </c>
      <c r="O1892" s="81" t="s">
        <v>32</v>
      </c>
      <c r="P1892" s="81" t="s">
        <v>33</v>
      </c>
      <c r="Q1892" s="55">
        <v>46077</v>
      </c>
      <c r="V1892" s="45">
        <f>IF(OR(ISNUMBER(SEARCH("unable to locate acct",G1892)),ISNUMBER(SEARCH("unknown",G1892)),ISNUMBER(SEARCH("inactive",G1892)),H1892=""),0,1)</f>
        <v>1</v>
      </c>
    </row>
    <row r="1893" spans="1:22" s="45" customFormat="1">
      <c r="A1893" s="74">
        <v>46070</v>
      </c>
      <c r="B1893" s="45" t="s">
        <v>4079</v>
      </c>
      <c r="C1893" s="45" t="s">
        <v>306</v>
      </c>
      <c r="D1893" s="45" t="s">
        <v>57</v>
      </c>
      <c r="E1893" s="45">
        <v>85021</v>
      </c>
      <c r="F1893" s="45" t="s">
        <v>4747</v>
      </c>
      <c r="G1893" s="76" t="s">
        <v>4729</v>
      </c>
      <c r="H1893" s="80" t="s">
        <v>5454</v>
      </c>
      <c r="I1893" s="81" t="s">
        <v>3773</v>
      </c>
      <c r="J1893" s="81" t="s">
        <v>31</v>
      </c>
      <c r="K1893" s="81" t="s">
        <v>31</v>
      </c>
      <c r="L1893" s="81" t="s">
        <v>32</v>
      </c>
      <c r="M1893" s="81" t="s">
        <v>31</v>
      </c>
      <c r="N1893" s="81" t="s">
        <v>31</v>
      </c>
      <c r="O1893" s="81" t="s">
        <v>32</v>
      </c>
      <c r="P1893" s="81" t="s">
        <v>33</v>
      </c>
      <c r="Q1893" s="55">
        <v>46077</v>
      </c>
      <c r="V1893" s="45">
        <f>IF(OR(ISNUMBER(SEARCH("unable to locate acct",G1893)),ISNUMBER(SEARCH("unknown",G1893)),ISNUMBER(SEARCH("inactive",G1893)),H1893=""),0,1)</f>
        <v>1</v>
      </c>
    </row>
    <row r="1894" spans="1:22" s="45" customFormat="1">
      <c r="A1894" s="74">
        <v>46070</v>
      </c>
      <c r="B1894" s="45" t="s">
        <v>4748</v>
      </c>
      <c r="C1894" s="45" t="s">
        <v>171</v>
      </c>
      <c r="D1894" s="45" t="s">
        <v>57</v>
      </c>
      <c r="E1894" s="45">
        <v>85014</v>
      </c>
      <c r="F1894" s="45" t="s">
        <v>4749</v>
      </c>
      <c r="G1894" s="76" t="s">
        <v>4729</v>
      </c>
      <c r="H1894" s="80" t="s">
        <v>21</v>
      </c>
      <c r="I1894" s="81"/>
      <c r="J1894" s="81"/>
      <c r="K1894" s="81"/>
      <c r="L1894" s="81"/>
      <c r="M1894" s="81"/>
      <c r="N1894" s="81"/>
      <c r="O1894" s="81"/>
      <c r="P1894" s="81"/>
      <c r="Q1894" s="56"/>
      <c r="V1894" s="45">
        <f>IF(OR(ISNUMBER(SEARCH("unable to locate acct",G1894)),ISNUMBER(SEARCH("unknown",G1894)),ISNUMBER(SEARCH("inactive",G1894)),H1894=""),0,1)</f>
        <v>1</v>
      </c>
    </row>
    <row r="1895" spans="1:22" s="45" customFormat="1">
      <c r="A1895" s="74">
        <v>46070</v>
      </c>
      <c r="B1895" s="45" t="s">
        <v>4750</v>
      </c>
      <c r="C1895" s="45" t="s">
        <v>4751</v>
      </c>
      <c r="D1895" s="45" t="s">
        <v>3302</v>
      </c>
      <c r="E1895" s="45">
        <v>85354</v>
      </c>
      <c r="F1895" s="45" t="s">
        <v>4752</v>
      </c>
      <c r="G1895" s="76" t="s">
        <v>4729</v>
      </c>
      <c r="H1895" s="80" t="s">
        <v>5455</v>
      </c>
      <c r="I1895" s="81" t="s">
        <v>40</v>
      </c>
      <c r="J1895" s="81" t="s">
        <v>31</v>
      </c>
      <c r="K1895" s="81" t="s">
        <v>31</v>
      </c>
      <c r="L1895" s="81" t="s">
        <v>32</v>
      </c>
      <c r="M1895" s="81" t="s">
        <v>31</v>
      </c>
      <c r="N1895" s="81" t="s">
        <v>31</v>
      </c>
      <c r="O1895" s="81" t="s">
        <v>32</v>
      </c>
      <c r="P1895" s="81" t="s">
        <v>33</v>
      </c>
      <c r="Q1895" s="55">
        <v>45712</v>
      </c>
      <c r="V1895" s="45">
        <f>IF(OR(ISNUMBER(SEARCH("unable to locate acct",G1895)),ISNUMBER(SEARCH("unknown",G1895)),ISNUMBER(SEARCH("inactive",G1895)),H1895=""),0,1)</f>
        <v>1</v>
      </c>
    </row>
    <row r="1896" spans="1:22" s="45" customFormat="1">
      <c r="A1896" s="74">
        <v>46070</v>
      </c>
      <c r="B1896" s="45" t="s">
        <v>4753</v>
      </c>
      <c r="C1896" s="45" t="s">
        <v>472</v>
      </c>
      <c r="D1896" s="45" t="s">
        <v>57</v>
      </c>
      <c r="E1896" s="45">
        <v>85020</v>
      </c>
      <c r="F1896" s="45" t="s">
        <v>4754</v>
      </c>
      <c r="G1896" s="76" t="s">
        <v>4729</v>
      </c>
      <c r="H1896" s="80" t="s">
        <v>5081</v>
      </c>
      <c r="I1896" s="81" t="s">
        <v>40</v>
      </c>
      <c r="J1896" s="81" t="s">
        <v>31</v>
      </c>
      <c r="K1896" s="81" t="s">
        <v>31</v>
      </c>
      <c r="L1896" s="81" t="s">
        <v>4755</v>
      </c>
      <c r="M1896" s="81" t="s">
        <v>31</v>
      </c>
      <c r="N1896" s="81" t="s">
        <v>31</v>
      </c>
      <c r="O1896" s="81" t="s">
        <v>32</v>
      </c>
      <c r="P1896" s="81" t="s">
        <v>33</v>
      </c>
      <c r="Q1896" s="55">
        <v>45712</v>
      </c>
      <c r="V1896" s="45">
        <f>IF(OR(ISNUMBER(SEARCH("unable to locate acct",G1896)),ISNUMBER(SEARCH("unknown",G1896)),ISNUMBER(SEARCH("inactive",G1896)),H1896=""),0,1)</f>
        <v>1</v>
      </c>
    </row>
    <row r="1897" spans="1:22" s="45" customFormat="1">
      <c r="A1897" s="74">
        <v>46070</v>
      </c>
      <c r="B1897" s="45" t="s">
        <v>4756</v>
      </c>
      <c r="C1897" s="45" t="s">
        <v>2011</v>
      </c>
      <c r="D1897" s="45" t="s">
        <v>4757</v>
      </c>
      <c r="E1897" s="45">
        <v>86001</v>
      </c>
      <c r="F1897" s="45" t="s">
        <v>4758</v>
      </c>
      <c r="G1897" s="76" t="s">
        <v>4729</v>
      </c>
      <c r="H1897" s="80" t="s">
        <v>21</v>
      </c>
      <c r="I1897" s="81"/>
      <c r="J1897" s="81"/>
      <c r="K1897" s="81"/>
      <c r="L1897" s="81"/>
      <c r="M1897" s="81"/>
      <c r="N1897" s="81"/>
      <c r="O1897" s="81"/>
      <c r="P1897" s="81"/>
      <c r="Q1897" s="56"/>
      <c r="V1897" s="45">
        <f>IF(OR(ISNUMBER(SEARCH("unable to locate acct",G1897)),ISNUMBER(SEARCH("unknown",G1897)),ISNUMBER(SEARCH("inactive",G1897)),H1897=""),0,1)</f>
        <v>1</v>
      </c>
    </row>
    <row r="1898" spans="1:22" s="45" customFormat="1">
      <c r="A1898" s="74">
        <v>46070</v>
      </c>
      <c r="B1898" s="45" t="s">
        <v>4759</v>
      </c>
      <c r="C1898" s="45" t="s">
        <v>2249</v>
      </c>
      <c r="D1898" s="45" t="s">
        <v>495</v>
      </c>
      <c r="E1898" s="45">
        <v>86004</v>
      </c>
      <c r="F1898" s="45" t="s">
        <v>4760</v>
      </c>
      <c r="G1898" s="76" t="s">
        <v>4729</v>
      </c>
      <c r="H1898" s="80" t="s">
        <v>5082</v>
      </c>
      <c r="I1898" s="81" t="s">
        <v>67</v>
      </c>
      <c r="J1898" s="81" t="s">
        <v>31</v>
      </c>
      <c r="K1898" s="81" t="s">
        <v>31</v>
      </c>
      <c r="L1898" s="81" t="s">
        <v>4761</v>
      </c>
      <c r="M1898" s="81" t="s">
        <v>31</v>
      </c>
      <c r="N1898" s="81" t="s">
        <v>31</v>
      </c>
      <c r="O1898" s="81" t="s">
        <v>32</v>
      </c>
      <c r="P1898" s="81"/>
      <c r="Q1898" s="57">
        <v>46077</v>
      </c>
      <c r="R1898" s="45" t="s">
        <v>3468</v>
      </c>
      <c r="V1898" s="45">
        <f>IF(OR(ISNUMBER(SEARCH("unable to locate acct",G1898)),ISNUMBER(SEARCH("unknown",G1898)),ISNUMBER(SEARCH("inactive",G1898)),H1898=""),0,1)</f>
        <v>1</v>
      </c>
    </row>
    <row r="1899" spans="1:22" s="45" customFormat="1">
      <c r="A1899" s="74">
        <v>46070</v>
      </c>
      <c r="B1899" s="45" t="s">
        <v>1803</v>
      </c>
      <c r="C1899" s="45" t="s">
        <v>1825</v>
      </c>
      <c r="D1899" s="45" t="s">
        <v>4762</v>
      </c>
      <c r="E1899" s="45">
        <v>86005</v>
      </c>
      <c r="F1899" s="45" t="s">
        <v>4763</v>
      </c>
      <c r="G1899" s="76" t="s">
        <v>4729</v>
      </c>
      <c r="H1899" s="80" t="s">
        <v>21</v>
      </c>
      <c r="I1899" s="81"/>
      <c r="J1899" s="81"/>
      <c r="K1899" s="81"/>
      <c r="L1899" s="81"/>
      <c r="M1899" s="81"/>
      <c r="N1899" s="81"/>
      <c r="O1899" s="81"/>
      <c r="P1899" s="81"/>
      <c r="Q1899" s="56"/>
      <c r="V1899" s="45">
        <f>IF(OR(ISNUMBER(SEARCH("unable to locate acct",G1899)),ISNUMBER(SEARCH("unknown",G1899)),ISNUMBER(SEARCH("inactive",G1899)),H1899=""),0,1)</f>
        <v>1</v>
      </c>
    </row>
    <row r="1900" spans="1:22" s="45" customFormat="1">
      <c r="A1900" s="74">
        <v>46070</v>
      </c>
      <c r="B1900" s="45" t="s">
        <v>4764</v>
      </c>
      <c r="C1900" s="45" t="s">
        <v>285</v>
      </c>
      <c r="D1900" s="45" t="s">
        <v>495</v>
      </c>
      <c r="E1900" s="45">
        <v>86004</v>
      </c>
      <c r="F1900" s="45" t="s">
        <v>4765</v>
      </c>
      <c r="G1900" s="76" t="s">
        <v>4729</v>
      </c>
      <c r="H1900" s="80" t="s">
        <v>5456</v>
      </c>
      <c r="I1900" s="81" t="s">
        <v>67</v>
      </c>
      <c r="J1900" s="81" t="s">
        <v>31</v>
      </c>
      <c r="K1900" s="81" t="s">
        <v>31</v>
      </c>
      <c r="L1900" s="81" t="s">
        <v>32</v>
      </c>
      <c r="M1900" s="81" t="s">
        <v>31</v>
      </c>
      <c r="N1900" s="81" t="s">
        <v>31</v>
      </c>
      <c r="O1900" s="81" t="s">
        <v>32</v>
      </c>
      <c r="P1900" s="81" t="s">
        <v>33</v>
      </c>
      <c r="Q1900" s="55">
        <v>46077</v>
      </c>
      <c r="V1900" s="45">
        <f>IF(OR(ISNUMBER(SEARCH("unable to locate acct",G1900)),ISNUMBER(SEARCH("unknown",G1900)),ISNUMBER(SEARCH("inactive",G1900)),H1900=""),0,1)</f>
        <v>1</v>
      </c>
    </row>
    <row r="1901" spans="1:22" s="45" customFormat="1">
      <c r="A1901" s="74">
        <v>46070</v>
      </c>
      <c r="B1901" s="45" t="s">
        <v>2165</v>
      </c>
      <c r="C1901" s="45" t="s">
        <v>2972</v>
      </c>
      <c r="D1901" s="45" t="s">
        <v>1426</v>
      </c>
      <c r="E1901" s="45">
        <v>86046</v>
      </c>
      <c r="F1901" s="45" t="s">
        <v>4766</v>
      </c>
      <c r="G1901" s="76" t="s">
        <v>4729</v>
      </c>
      <c r="H1901" s="80" t="s">
        <v>5457</v>
      </c>
      <c r="I1901" s="81" t="s">
        <v>30</v>
      </c>
      <c r="J1901" s="81" t="s">
        <v>31</v>
      </c>
      <c r="K1901" s="81" t="s">
        <v>31</v>
      </c>
      <c r="L1901" s="81" t="s">
        <v>32</v>
      </c>
      <c r="M1901" s="81" t="s">
        <v>31</v>
      </c>
      <c r="N1901" s="81" t="s">
        <v>31</v>
      </c>
      <c r="O1901" s="81" t="s">
        <v>32</v>
      </c>
      <c r="P1901" s="81" t="s">
        <v>33</v>
      </c>
      <c r="Q1901" s="55">
        <v>46077</v>
      </c>
      <c r="V1901" s="45">
        <f>IF(OR(ISNUMBER(SEARCH("unable to locate acct",G1901)),ISNUMBER(SEARCH("unknown",G1901)),ISNUMBER(SEARCH("inactive",G1901)),H1901=""),0,1)</f>
        <v>1</v>
      </c>
    </row>
    <row r="1902" spans="1:22" s="45" customFormat="1">
      <c r="A1902" s="74">
        <v>46070</v>
      </c>
      <c r="B1902" s="45" t="s">
        <v>4767</v>
      </c>
      <c r="C1902" s="45" t="s">
        <v>3921</v>
      </c>
      <c r="D1902" s="45" t="s">
        <v>495</v>
      </c>
      <c r="E1902" s="45">
        <v>86004</v>
      </c>
      <c r="F1902" s="45" t="s">
        <v>4768</v>
      </c>
      <c r="G1902" s="76" t="s">
        <v>4729</v>
      </c>
      <c r="H1902" s="80" t="s">
        <v>84</v>
      </c>
      <c r="I1902" s="81"/>
      <c r="J1902" s="81"/>
      <c r="K1902" s="81"/>
      <c r="L1902" s="81"/>
      <c r="M1902" s="81"/>
      <c r="N1902" s="81"/>
      <c r="O1902" s="81"/>
      <c r="P1902" s="81"/>
      <c r="Q1902" s="56"/>
      <c r="V1902" s="45">
        <f>IF(OR(ISNUMBER(SEARCH("unable to locate acct",G1902)),ISNUMBER(SEARCH("unknown",G1902)),ISNUMBER(SEARCH("inactive",G1902)),H1902=""),0,1)</f>
        <v>1</v>
      </c>
    </row>
    <row r="1903" spans="1:22" s="45" customFormat="1">
      <c r="A1903" s="74">
        <v>46070</v>
      </c>
      <c r="B1903" s="45" t="s">
        <v>4769</v>
      </c>
      <c r="C1903" s="45" t="s">
        <v>4770</v>
      </c>
      <c r="D1903" s="45" t="s">
        <v>495</v>
      </c>
      <c r="E1903" s="45">
        <v>86004</v>
      </c>
      <c r="F1903" s="45" t="s">
        <v>4771</v>
      </c>
      <c r="G1903" s="76" t="s">
        <v>4729</v>
      </c>
      <c r="H1903" s="80" t="s">
        <v>5458</v>
      </c>
      <c r="I1903" s="81" t="s">
        <v>3383</v>
      </c>
      <c r="J1903" s="81" t="s">
        <v>31</v>
      </c>
      <c r="K1903" s="81" t="s">
        <v>31</v>
      </c>
      <c r="L1903" s="81" t="s">
        <v>3543</v>
      </c>
      <c r="M1903" s="81" t="s">
        <v>31</v>
      </c>
      <c r="N1903" s="81" t="s">
        <v>31</v>
      </c>
      <c r="O1903" s="81" t="s">
        <v>32</v>
      </c>
      <c r="P1903" s="81" t="s">
        <v>33</v>
      </c>
      <c r="Q1903" s="55">
        <v>46077</v>
      </c>
      <c r="V1903" s="45">
        <f>IF(OR(ISNUMBER(SEARCH("unable to locate acct",G1903)),ISNUMBER(SEARCH("unknown",G1903)),ISNUMBER(SEARCH("inactive",G1903)),H1903=""),0,1)</f>
        <v>1</v>
      </c>
    </row>
    <row r="1904" spans="1:22" s="45" customFormat="1">
      <c r="A1904" s="74">
        <v>46070</v>
      </c>
      <c r="B1904" s="45" t="s">
        <v>4772</v>
      </c>
      <c r="C1904" s="45" t="s">
        <v>4199</v>
      </c>
      <c r="D1904" s="45" t="s">
        <v>196</v>
      </c>
      <c r="E1904" s="45">
        <v>85383</v>
      </c>
      <c r="F1904" s="45" t="s">
        <v>4773</v>
      </c>
      <c r="G1904" s="76" t="s">
        <v>4729</v>
      </c>
      <c r="H1904" s="80" t="s">
        <v>5459</v>
      </c>
      <c r="I1904" s="81" t="s">
        <v>30</v>
      </c>
      <c r="J1904" s="81" t="s">
        <v>31</v>
      </c>
      <c r="K1904" s="81" t="s">
        <v>31</v>
      </c>
      <c r="L1904" s="81" t="s">
        <v>32</v>
      </c>
      <c r="M1904" s="81" t="s">
        <v>31</v>
      </c>
      <c r="N1904" s="81" t="s">
        <v>31</v>
      </c>
      <c r="O1904" s="81" t="s">
        <v>32</v>
      </c>
      <c r="P1904" s="81" t="s">
        <v>33</v>
      </c>
      <c r="Q1904" s="55">
        <v>46077</v>
      </c>
      <c r="V1904" s="45">
        <f>IF(OR(ISNUMBER(SEARCH("unable to locate acct",G1904)),ISNUMBER(SEARCH("unknown",G1904)),ISNUMBER(SEARCH("inactive",G1904)),H1904=""),0,1)</f>
        <v>1</v>
      </c>
    </row>
    <row r="1905" spans="1:22" s="45" customFormat="1">
      <c r="A1905" s="74">
        <v>46070</v>
      </c>
      <c r="B1905" s="45" t="s">
        <v>4774</v>
      </c>
      <c r="C1905" s="45" t="s">
        <v>4775</v>
      </c>
      <c r="D1905" s="45" t="s">
        <v>83</v>
      </c>
      <c r="E1905" s="45">
        <v>86336</v>
      </c>
      <c r="F1905" s="45" t="s">
        <v>4776</v>
      </c>
      <c r="G1905" s="76" t="s">
        <v>4729</v>
      </c>
      <c r="H1905" s="80" t="s">
        <v>21</v>
      </c>
      <c r="I1905" s="81"/>
      <c r="J1905" s="81"/>
      <c r="K1905" s="81"/>
      <c r="L1905" s="81"/>
      <c r="M1905" s="81"/>
      <c r="N1905" s="81"/>
      <c r="O1905" s="81"/>
      <c r="P1905" s="81"/>
      <c r="Q1905" s="56"/>
      <c r="V1905" s="45">
        <f>IF(OR(ISNUMBER(SEARCH("unable to locate acct",G1905)),ISNUMBER(SEARCH("unknown",G1905)),ISNUMBER(SEARCH("inactive",G1905)),H1905=""),0,1)</f>
        <v>1</v>
      </c>
    </row>
    <row r="1906" spans="1:22" s="45" customFormat="1">
      <c r="A1906" s="74">
        <v>46070</v>
      </c>
      <c r="B1906" s="45" t="s">
        <v>1766</v>
      </c>
      <c r="C1906" s="45" t="s">
        <v>3344</v>
      </c>
      <c r="D1906" s="45" t="s">
        <v>495</v>
      </c>
      <c r="E1906" s="45">
        <v>86004</v>
      </c>
      <c r="F1906" s="45" t="s">
        <v>4777</v>
      </c>
      <c r="G1906" s="76" t="s">
        <v>4729</v>
      </c>
      <c r="H1906" s="80" t="s">
        <v>5083</v>
      </c>
      <c r="I1906" s="81" t="s">
        <v>120</v>
      </c>
      <c r="J1906" s="81" t="s">
        <v>31</v>
      </c>
      <c r="K1906" s="81" t="s">
        <v>31</v>
      </c>
      <c r="L1906" s="81" t="s">
        <v>4778</v>
      </c>
      <c r="M1906" s="81" t="s">
        <v>31</v>
      </c>
      <c r="N1906" s="81" t="s">
        <v>31</v>
      </c>
      <c r="O1906" s="81" t="s">
        <v>32</v>
      </c>
      <c r="P1906" s="81"/>
      <c r="Q1906" s="58"/>
      <c r="R1906" s="45" t="s">
        <v>3468</v>
      </c>
      <c r="V1906" s="45">
        <f>IF(OR(ISNUMBER(SEARCH("unable to locate acct",G1906)),ISNUMBER(SEARCH("unknown",G1906)),ISNUMBER(SEARCH("inactive",G1906)),H1906=""),0,1)</f>
        <v>1</v>
      </c>
    </row>
    <row r="1907" spans="1:22" s="45" customFormat="1">
      <c r="A1907" s="74">
        <v>46070</v>
      </c>
      <c r="B1907" s="45" t="s">
        <v>2528</v>
      </c>
      <c r="C1907" s="45" t="s">
        <v>1519</v>
      </c>
      <c r="D1907" s="45" t="s">
        <v>57</v>
      </c>
      <c r="E1907" s="45">
        <v>85012</v>
      </c>
      <c r="F1907" s="45" t="s">
        <v>4779</v>
      </c>
      <c r="G1907" s="76" t="s">
        <v>4729</v>
      </c>
      <c r="H1907" s="80" t="s">
        <v>5460</v>
      </c>
      <c r="I1907" s="81" t="s">
        <v>244</v>
      </c>
      <c r="J1907" s="81" t="s">
        <v>31</v>
      </c>
      <c r="K1907" s="81" t="s">
        <v>31</v>
      </c>
      <c r="L1907" s="81" t="s">
        <v>32</v>
      </c>
      <c r="M1907" s="81" t="s">
        <v>31</v>
      </c>
      <c r="N1907" s="81" t="s">
        <v>31</v>
      </c>
      <c r="O1907" s="81" t="s">
        <v>32</v>
      </c>
      <c r="P1907" s="81" t="s">
        <v>33</v>
      </c>
      <c r="Q1907" s="55">
        <v>46077</v>
      </c>
      <c r="V1907" s="45">
        <f>IF(OR(ISNUMBER(SEARCH("unable to locate acct",G1907)),ISNUMBER(SEARCH("unknown",G1907)),ISNUMBER(SEARCH("inactive",G1907)),H1907=""),0,1)</f>
        <v>1</v>
      </c>
    </row>
    <row r="1908" spans="1:22" s="45" customFormat="1">
      <c r="A1908" s="74">
        <v>46070</v>
      </c>
      <c r="B1908" s="45" t="s">
        <v>956</v>
      </c>
      <c r="C1908" s="45" t="s">
        <v>1173</v>
      </c>
      <c r="D1908" s="45" t="s">
        <v>83</v>
      </c>
      <c r="E1908" s="45">
        <v>86336</v>
      </c>
      <c r="F1908" s="45" t="s">
        <v>4780</v>
      </c>
      <c r="G1908" s="76" t="s">
        <v>4729</v>
      </c>
      <c r="H1908" s="80" t="s">
        <v>84</v>
      </c>
      <c r="I1908" s="81"/>
      <c r="J1908" s="81"/>
      <c r="K1908" s="81"/>
      <c r="L1908" s="81"/>
      <c r="M1908" s="81"/>
      <c r="N1908" s="81"/>
      <c r="O1908" s="81"/>
      <c r="P1908" s="81"/>
      <c r="Q1908" s="56"/>
      <c r="V1908" s="45">
        <f>IF(OR(ISNUMBER(SEARCH("unable to locate acct",G1908)),ISNUMBER(SEARCH("unknown",G1908)),ISNUMBER(SEARCH("inactive",G1908)),H1908=""),0,1)</f>
        <v>1</v>
      </c>
    </row>
    <row r="1909" spans="1:22" s="45" customFormat="1">
      <c r="A1909" s="74">
        <v>46070</v>
      </c>
      <c r="B1909" s="45" t="s">
        <v>1766</v>
      </c>
      <c r="C1909" s="45" t="s">
        <v>1929</v>
      </c>
      <c r="D1909" s="45" t="s">
        <v>495</v>
      </c>
      <c r="E1909" s="45">
        <v>86004</v>
      </c>
      <c r="F1909" s="45" t="s">
        <v>4781</v>
      </c>
      <c r="G1909" s="76" t="s">
        <v>4729</v>
      </c>
      <c r="H1909" s="80" t="s">
        <v>5084</v>
      </c>
      <c r="I1909" s="81" t="s">
        <v>51</v>
      </c>
      <c r="J1909" s="81" t="s">
        <v>31</v>
      </c>
      <c r="K1909" s="81" t="s">
        <v>31</v>
      </c>
      <c r="L1909" s="81" t="s">
        <v>4782</v>
      </c>
      <c r="M1909" s="81" t="s">
        <v>31</v>
      </c>
      <c r="N1909" s="81" t="s">
        <v>31</v>
      </c>
      <c r="O1909" s="81" t="s">
        <v>32</v>
      </c>
      <c r="P1909" s="81"/>
      <c r="Q1909" s="57">
        <v>46077</v>
      </c>
      <c r="R1909" s="45" t="s">
        <v>3468</v>
      </c>
      <c r="V1909" s="45">
        <f>IF(OR(ISNUMBER(SEARCH("unable to locate acct",G1909)),ISNUMBER(SEARCH("unknown",G1909)),ISNUMBER(SEARCH("inactive",G1909)),H1909=""),0,1)</f>
        <v>1</v>
      </c>
    </row>
    <row r="1910" spans="1:22" s="45" customFormat="1">
      <c r="A1910" s="74">
        <v>46070</v>
      </c>
      <c r="B1910" s="45" t="s">
        <v>4783</v>
      </c>
      <c r="D1910" s="45" t="s">
        <v>689</v>
      </c>
      <c r="E1910" s="45">
        <v>85375</v>
      </c>
      <c r="F1910" s="45" t="s">
        <v>4784</v>
      </c>
      <c r="G1910" s="76" t="s">
        <v>4785</v>
      </c>
      <c r="H1910" s="80" t="s">
        <v>4886</v>
      </c>
      <c r="I1910" s="81"/>
      <c r="J1910" s="81"/>
      <c r="K1910" s="81"/>
      <c r="L1910" s="81"/>
      <c r="M1910" s="81"/>
      <c r="N1910" s="81"/>
      <c r="O1910" s="81"/>
      <c r="P1910" s="81"/>
      <c r="Q1910" s="56"/>
      <c r="V1910" s="45">
        <f>IF(OR(ISNUMBER(SEARCH("unable to locate acct",G1910)),ISNUMBER(SEARCH("unknown",G1910)),ISNUMBER(SEARCH("inactive",G1910)),H1910=""),0,1)</f>
        <v>0</v>
      </c>
    </row>
    <row r="1911" spans="1:22" s="45" customFormat="1">
      <c r="A1911" s="74">
        <v>46071</v>
      </c>
      <c r="B1911" s="45" t="s">
        <v>4786</v>
      </c>
      <c r="C1911" s="45" t="s">
        <v>4787</v>
      </c>
      <c r="D1911" s="45" t="s">
        <v>18</v>
      </c>
      <c r="E1911" s="45">
        <v>85301</v>
      </c>
      <c r="F1911" s="45" t="s">
        <v>4788</v>
      </c>
      <c r="G1911" s="76" t="s">
        <v>4789</v>
      </c>
      <c r="H1911" s="80" t="s">
        <v>21</v>
      </c>
      <c r="I1911" s="81"/>
      <c r="J1911" s="81"/>
      <c r="K1911" s="81"/>
      <c r="L1911" s="81"/>
      <c r="M1911" s="81"/>
      <c r="N1911" s="81"/>
      <c r="O1911" s="81"/>
      <c r="P1911" s="81"/>
      <c r="Q1911" s="56"/>
      <c r="V1911" s="45">
        <f>IF(OR(ISNUMBER(SEARCH("unable to locate acct",G1911)),ISNUMBER(SEARCH("unknown",G1911)),ISNUMBER(SEARCH("inactive",G1911)),H1911=""),0,1)</f>
        <v>1</v>
      </c>
    </row>
    <row r="1912" spans="1:22" s="45" customFormat="1">
      <c r="A1912" s="74">
        <v>46071</v>
      </c>
      <c r="B1912" s="45" t="s">
        <v>4790</v>
      </c>
      <c r="C1912" s="45" t="s">
        <v>219</v>
      </c>
      <c r="D1912" s="45" t="s">
        <v>3078</v>
      </c>
      <c r="E1912" s="45">
        <v>85553</v>
      </c>
      <c r="F1912" s="45" t="s">
        <v>4791</v>
      </c>
      <c r="G1912" s="76" t="s">
        <v>4789</v>
      </c>
      <c r="H1912" s="80" t="s">
        <v>5461</v>
      </c>
      <c r="I1912" s="81" t="s">
        <v>532</v>
      </c>
      <c r="J1912" s="81" t="s">
        <v>31</v>
      </c>
      <c r="K1912" s="81" t="s">
        <v>31</v>
      </c>
      <c r="L1912" s="81" t="s">
        <v>3543</v>
      </c>
      <c r="M1912" s="81" t="s">
        <v>31</v>
      </c>
      <c r="N1912" s="81" t="s">
        <v>31</v>
      </c>
      <c r="O1912" s="81" t="s">
        <v>32</v>
      </c>
      <c r="P1912" s="81" t="s">
        <v>33</v>
      </c>
      <c r="Q1912" s="55">
        <v>46077</v>
      </c>
      <c r="V1912" s="45">
        <f>IF(OR(ISNUMBER(SEARCH("unable to locate acct",G1912)),ISNUMBER(SEARCH("unknown",G1912)),ISNUMBER(SEARCH("inactive",G1912)),H1912=""),0,1)</f>
        <v>1</v>
      </c>
    </row>
    <row r="1913" spans="1:22" s="45" customFormat="1">
      <c r="A1913" s="74">
        <v>46071</v>
      </c>
      <c r="B1913" s="45" t="s">
        <v>4792</v>
      </c>
      <c r="C1913" s="45" t="s">
        <v>3919</v>
      </c>
      <c r="D1913" s="45" t="s">
        <v>801</v>
      </c>
      <c r="E1913" s="45">
        <v>86303</v>
      </c>
      <c r="F1913" s="45" t="s">
        <v>4793</v>
      </c>
      <c r="G1913" s="76" t="s">
        <v>4789</v>
      </c>
      <c r="H1913" s="80" t="s">
        <v>5462</v>
      </c>
      <c r="I1913" s="81" t="s">
        <v>40</v>
      </c>
      <c r="J1913" s="81" t="s">
        <v>31</v>
      </c>
      <c r="K1913" s="81" t="s">
        <v>31</v>
      </c>
      <c r="L1913" s="81" t="s">
        <v>32</v>
      </c>
      <c r="M1913" s="81" t="s">
        <v>31</v>
      </c>
      <c r="N1913" s="81" t="s">
        <v>31</v>
      </c>
      <c r="O1913" s="81" t="s">
        <v>32</v>
      </c>
      <c r="P1913" s="81" t="s">
        <v>33</v>
      </c>
      <c r="Q1913" s="55">
        <v>46077</v>
      </c>
      <c r="V1913" s="45">
        <f>IF(OR(ISNUMBER(SEARCH("unable to locate acct",G1913)),ISNUMBER(SEARCH("unknown",G1913)),ISNUMBER(SEARCH("inactive",G1913)),H1913=""),0,1)</f>
        <v>1</v>
      </c>
    </row>
    <row r="1914" spans="1:22" s="45" customFormat="1">
      <c r="A1914" s="74">
        <v>46071</v>
      </c>
      <c r="B1914" s="45" t="s">
        <v>4794</v>
      </c>
      <c r="C1914" s="45" t="s">
        <v>4795</v>
      </c>
      <c r="D1914" s="45" t="s">
        <v>57</v>
      </c>
      <c r="E1914" s="45">
        <v>85027</v>
      </c>
      <c r="F1914" s="45" t="s">
        <v>4796</v>
      </c>
      <c r="G1914" s="76" t="s">
        <v>4789</v>
      </c>
      <c r="H1914" s="80" t="s">
        <v>5463</v>
      </c>
      <c r="I1914" s="81" t="s">
        <v>3383</v>
      </c>
      <c r="J1914" s="81" t="s">
        <v>31</v>
      </c>
      <c r="K1914" s="81" t="s">
        <v>31</v>
      </c>
      <c r="L1914" s="81" t="s">
        <v>3543</v>
      </c>
      <c r="M1914" s="81" t="s">
        <v>31</v>
      </c>
      <c r="N1914" s="81" t="s">
        <v>31</v>
      </c>
      <c r="O1914" s="81" t="s">
        <v>32</v>
      </c>
      <c r="P1914" s="81" t="s">
        <v>33</v>
      </c>
      <c r="Q1914" s="55">
        <v>46077</v>
      </c>
      <c r="R1914" s="45" t="s">
        <v>3701</v>
      </c>
      <c r="V1914" s="45">
        <f>IF(OR(ISNUMBER(SEARCH("unable to locate acct",G1914)),ISNUMBER(SEARCH("unknown",G1914)),ISNUMBER(SEARCH("inactive",G1914)),H1914=""),0,1)</f>
        <v>1</v>
      </c>
    </row>
    <row r="1915" spans="1:22" s="45" customFormat="1">
      <c r="A1915" s="74">
        <v>46071</v>
      </c>
      <c r="B1915" s="45" t="s">
        <v>2943</v>
      </c>
      <c r="C1915" s="45" t="s">
        <v>356</v>
      </c>
      <c r="D1915" s="45" t="s">
        <v>57</v>
      </c>
      <c r="E1915" s="45">
        <v>85022</v>
      </c>
      <c r="F1915" s="45" t="s">
        <v>4797</v>
      </c>
      <c r="G1915" s="76" t="s">
        <v>4789</v>
      </c>
      <c r="H1915" s="80" t="s">
        <v>5059</v>
      </c>
      <c r="I1915" s="81" t="s">
        <v>120</v>
      </c>
      <c r="J1915" s="81" t="s">
        <v>31</v>
      </c>
      <c r="K1915" s="81" t="s">
        <v>31</v>
      </c>
      <c r="L1915" s="81" t="s">
        <v>4798</v>
      </c>
      <c r="M1915" s="81" t="s">
        <v>31</v>
      </c>
      <c r="N1915" s="81" t="s">
        <v>31</v>
      </c>
      <c r="O1915" s="81" t="s">
        <v>32</v>
      </c>
      <c r="P1915" s="81" t="s">
        <v>33</v>
      </c>
      <c r="Q1915" s="55">
        <v>46077</v>
      </c>
      <c r="R1915" s="45" t="s">
        <v>4799</v>
      </c>
      <c r="V1915" s="45">
        <f>IF(OR(ISNUMBER(SEARCH("unable to locate acct",G1915)),ISNUMBER(SEARCH("unknown",G1915)),ISNUMBER(SEARCH("inactive",G1915)),H1915=""),0,1)</f>
        <v>1</v>
      </c>
    </row>
    <row r="1916" spans="1:22" s="45" customFormat="1">
      <c r="A1916" s="74">
        <v>46071</v>
      </c>
      <c r="B1916" s="45" t="s">
        <v>4800</v>
      </c>
      <c r="C1916" s="45" t="s">
        <v>1519</v>
      </c>
      <c r="D1916" s="45" t="s">
        <v>3302</v>
      </c>
      <c r="E1916" s="45">
        <v>85354</v>
      </c>
      <c r="F1916" s="45" t="s">
        <v>4801</v>
      </c>
      <c r="G1916" s="76" t="s">
        <v>4789</v>
      </c>
      <c r="H1916" s="80" t="s">
        <v>84</v>
      </c>
      <c r="I1916" s="81"/>
      <c r="J1916" s="81"/>
      <c r="K1916" s="81"/>
      <c r="L1916" s="81"/>
      <c r="M1916" s="81"/>
      <c r="N1916" s="81"/>
      <c r="O1916" s="81"/>
      <c r="P1916" s="81"/>
      <c r="Q1916" s="56"/>
      <c r="V1916" s="45">
        <f>IF(OR(ISNUMBER(SEARCH("unable to locate acct",G1916)),ISNUMBER(SEARCH("unknown",G1916)),ISNUMBER(SEARCH("inactive",G1916)),H1916=""),0,1)</f>
        <v>1</v>
      </c>
    </row>
    <row r="1917" spans="1:22" s="45" customFormat="1">
      <c r="A1917" s="74">
        <v>46071</v>
      </c>
      <c r="B1917" s="45" t="s">
        <v>4802</v>
      </c>
      <c r="C1917" s="45" t="s">
        <v>1141</v>
      </c>
      <c r="D1917" s="45" t="s">
        <v>18</v>
      </c>
      <c r="E1917" s="45">
        <v>85308</v>
      </c>
      <c r="F1917" s="45" t="s">
        <v>4803</v>
      </c>
      <c r="G1917" s="76" t="s">
        <v>4789</v>
      </c>
      <c r="H1917" s="80" t="s">
        <v>5464</v>
      </c>
      <c r="I1917" s="81" t="s">
        <v>244</v>
      </c>
      <c r="J1917" s="81" t="s">
        <v>31</v>
      </c>
      <c r="K1917" s="81" t="s">
        <v>31</v>
      </c>
      <c r="L1917" s="81" t="s">
        <v>32</v>
      </c>
      <c r="M1917" s="81" t="s">
        <v>31</v>
      </c>
      <c r="N1917" s="81" t="s">
        <v>31</v>
      </c>
      <c r="O1917" s="81" t="s">
        <v>32</v>
      </c>
      <c r="P1917" s="81" t="s">
        <v>33</v>
      </c>
      <c r="Q1917" s="55">
        <v>46077</v>
      </c>
      <c r="V1917" s="45">
        <f>IF(OR(ISNUMBER(SEARCH("unable to locate acct",G1917)),ISNUMBER(SEARCH("unknown",G1917)),ISNUMBER(SEARCH("inactive",G1917)),H1917=""),0,1)</f>
        <v>1</v>
      </c>
    </row>
    <row r="1918" spans="1:22" s="45" customFormat="1">
      <c r="A1918" s="74">
        <v>46071</v>
      </c>
      <c r="B1918" s="45" t="s">
        <v>4804</v>
      </c>
      <c r="C1918" s="45" t="s">
        <v>348</v>
      </c>
      <c r="D1918" s="45" t="s">
        <v>2046</v>
      </c>
      <c r="E1918" s="45">
        <v>85132</v>
      </c>
      <c r="F1918" s="45" t="s">
        <v>4805</v>
      </c>
      <c r="G1918" s="76" t="s">
        <v>4789</v>
      </c>
      <c r="H1918" s="80" t="s">
        <v>5465</v>
      </c>
      <c r="I1918" s="81" t="s">
        <v>40</v>
      </c>
      <c r="J1918" s="81" t="s">
        <v>31</v>
      </c>
      <c r="K1918" s="81" t="s">
        <v>31</v>
      </c>
      <c r="L1918" s="81" t="s">
        <v>32</v>
      </c>
      <c r="M1918" s="81" t="s">
        <v>31</v>
      </c>
      <c r="N1918" s="81" t="s">
        <v>31</v>
      </c>
      <c r="O1918" s="81" t="s">
        <v>32</v>
      </c>
      <c r="P1918" s="81" t="s">
        <v>33</v>
      </c>
      <c r="Q1918" s="55">
        <v>46077</v>
      </c>
      <c r="V1918" s="45">
        <f>IF(OR(ISNUMBER(SEARCH("unable to locate acct",G1918)),ISNUMBER(SEARCH("unknown",G1918)),ISNUMBER(SEARCH("inactive",G1918)),H1918=""),0,1)</f>
        <v>1</v>
      </c>
    </row>
    <row r="1919" spans="1:22" s="45" customFormat="1">
      <c r="A1919" s="74">
        <v>46071</v>
      </c>
      <c r="B1919" s="45" t="s">
        <v>4076</v>
      </c>
      <c r="C1919" s="45" t="s">
        <v>4222</v>
      </c>
      <c r="D1919" s="45" t="s">
        <v>163</v>
      </c>
      <c r="E1919" s="45">
        <v>85338</v>
      </c>
      <c r="F1919" s="45" t="s">
        <v>4806</v>
      </c>
      <c r="G1919" s="76" t="s">
        <v>4789</v>
      </c>
      <c r="H1919" s="80" t="s">
        <v>5108</v>
      </c>
      <c r="I1919" s="81" t="s">
        <v>3676</v>
      </c>
      <c r="J1919" s="81" t="s">
        <v>31</v>
      </c>
      <c r="K1919" s="81" t="s">
        <v>31</v>
      </c>
      <c r="L1919" s="81" t="s">
        <v>3543</v>
      </c>
      <c r="M1919" s="81" t="s">
        <v>32</v>
      </c>
      <c r="N1919" s="82">
        <v>5.37</v>
      </c>
      <c r="O1919" s="81" t="s">
        <v>32</v>
      </c>
      <c r="P1919" s="81" t="s">
        <v>33</v>
      </c>
      <c r="Q1919" s="55">
        <v>46077</v>
      </c>
      <c r="V1919" s="45">
        <f>IF(OR(ISNUMBER(SEARCH("unable to locate acct",G1919)),ISNUMBER(SEARCH("unknown",G1919)),ISNUMBER(SEARCH("inactive",G1919)),H1919=""),0,1)</f>
        <v>1</v>
      </c>
    </row>
    <row r="1920" spans="1:22" s="45" customFormat="1">
      <c r="A1920" s="74">
        <v>46071</v>
      </c>
      <c r="B1920" s="45" t="s">
        <v>4807</v>
      </c>
      <c r="C1920" s="45" t="s">
        <v>4808</v>
      </c>
      <c r="D1920" s="45" t="s">
        <v>2695</v>
      </c>
      <c r="E1920" s="45">
        <v>85253</v>
      </c>
      <c r="F1920" s="45" t="s">
        <v>4809</v>
      </c>
      <c r="G1920" s="76" t="s">
        <v>4789</v>
      </c>
      <c r="H1920" s="80" t="s">
        <v>5466</v>
      </c>
      <c r="I1920" s="81" t="s">
        <v>4810</v>
      </c>
      <c r="J1920" s="81" t="s">
        <v>31</v>
      </c>
      <c r="K1920" s="81" t="s">
        <v>31</v>
      </c>
      <c r="L1920" s="81" t="s">
        <v>32</v>
      </c>
      <c r="M1920" s="81" t="s">
        <v>31</v>
      </c>
      <c r="N1920" s="81" t="s">
        <v>31</v>
      </c>
      <c r="O1920" s="81" t="s">
        <v>32</v>
      </c>
      <c r="P1920" s="81" t="s">
        <v>33</v>
      </c>
      <c r="Q1920" s="55">
        <v>46077</v>
      </c>
      <c r="V1920" s="45">
        <f>IF(OR(ISNUMBER(SEARCH("unable to locate acct",G1920)),ISNUMBER(SEARCH("unknown",G1920)),ISNUMBER(SEARCH("inactive",G1920)),H1920=""),0,1)</f>
        <v>1</v>
      </c>
    </row>
    <row r="1921" spans="1:22" s="45" customFormat="1">
      <c r="A1921" s="74">
        <v>46071</v>
      </c>
      <c r="B1921" s="45" t="s">
        <v>4811</v>
      </c>
      <c r="C1921" s="45" t="s">
        <v>306</v>
      </c>
      <c r="D1921" s="45" t="s">
        <v>801</v>
      </c>
      <c r="E1921" s="45">
        <v>86301</v>
      </c>
      <c r="F1921" s="45" t="s">
        <v>4812</v>
      </c>
      <c r="G1921" s="76" t="s">
        <v>4789</v>
      </c>
      <c r="H1921" s="80" t="s">
        <v>5085</v>
      </c>
      <c r="I1921" s="81" t="s">
        <v>244</v>
      </c>
      <c r="J1921" s="81" t="s">
        <v>31</v>
      </c>
      <c r="K1921" s="81" t="s">
        <v>31</v>
      </c>
      <c r="L1921" s="81" t="s">
        <v>4813</v>
      </c>
      <c r="M1921" s="81" t="s">
        <v>31</v>
      </c>
      <c r="N1921" s="81" t="s">
        <v>31</v>
      </c>
      <c r="O1921" s="81" t="s">
        <v>32</v>
      </c>
      <c r="P1921" s="81" t="s">
        <v>33</v>
      </c>
      <c r="Q1921" s="55">
        <v>46077</v>
      </c>
      <c r="V1921" s="45">
        <f>IF(OR(ISNUMBER(SEARCH("unable to locate acct",G1921)),ISNUMBER(SEARCH("unknown",G1921)),ISNUMBER(SEARCH("inactive",G1921)),H1921=""),0,1)</f>
        <v>1</v>
      </c>
    </row>
    <row r="1922" spans="1:22" s="45" customFormat="1">
      <c r="A1922" s="74">
        <v>46071</v>
      </c>
      <c r="B1922" s="45" t="s">
        <v>4814</v>
      </c>
      <c r="C1922" s="45" t="s">
        <v>3710</v>
      </c>
      <c r="D1922" s="45" t="s">
        <v>57</v>
      </c>
      <c r="E1922" s="45">
        <v>85028</v>
      </c>
      <c r="F1922" s="45" t="s">
        <v>4815</v>
      </c>
      <c r="G1922" s="76" t="s">
        <v>4789</v>
      </c>
      <c r="H1922" s="80" t="s">
        <v>5467</v>
      </c>
      <c r="I1922" s="81" t="s">
        <v>3383</v>
      </c>
      <c r="J1922" s="81" t="s">
        <v>31</v>
      </c>
      <c r="K1922" s="81" t="s">
        <v>31</v>
      </c>
      <c r="L1922" s="81" t="s">
        <v>3543</v>
      </c>
      <c r="M1922" s="81" t="s">
        <v>31</v>
      </c>
      <c r="N1922" s="81" t="s">
        <v>31</v>
      </c>
      <c r="O1922" s="81" t="s">
        <v>32</v>
      </c>
      <c r="P1922" s="81" t="s">
        <v>33</v>
      </c>
      <c r="Q1922" s="55">
        <v>46077</v>
      </c>
      <c r="V1922" s="45">
        <f>IF(OR(ISNUMBER(SEARCH("unable to locate acct",G1922)),ISNUMBER(SEARCH("unknown",G1922)),ISNUMBER(SEARCH("inactive",G1922)),H1922=""),0,1)</f>
        <v>1</v>
      </c>
    </row>
    <row r="1923" spans="1:22" s="45" customFormat="1">
      <c r="A1923" s="74">
        <v>46071</v>
      </c>
      <c r="B1923" s="45" t="s">
        <v>411</v>
      </c>
      <c r="C1923" s="45" t="s">
        <v>369</v>
      </c>
      <c r="D1923" s="45" t="s">
        <v>57</v>
      </c>
      <c r="E1923" s="45">
        <v>85016</v>
      </c>
      <c r="F1923" s="45" t="s">
        <v>4816</v>
      </c>
      <c r="G1923" s="76" t="s">
        <v>4817</v>
      </c>
      <c r="H1923" s="80" t="s">
        <v>21</v>
      </c>
      <c r="I1923" s="81"/>
      <c r="J1923" s="81"/>
      <c r="K1923" s="81"/>
      <c r="L1923" s="81"/>
      <c r="M1923" s="81"/>
      <c r="N1923" s="81"/>
      <c r="O1923" s="81"/>
      <c r="P1923" s="81"/>
      <c r="Q1923" s="56"/>
      <c r="R1923" s="45" t="s">
        <v>4818</v>
      </c>
      <c r="V1923" s="45">
        <f>IF(OR(ISNUMBER(SEARCH("unable to locate acct",G1923)),ISNUMBER(SEARCH("unknown",G1923)),ISNUMBER(SEARCH("inactive",G1923)),H1923=""),0,1)</f>
        <v>1</v>
      </c>
    </row>
    <row r="1924" spans="1:22" s="45" customFormat="1">
      <c r="A1924" s="74">
        <v>46071</v>
      </c>
      <c r="B1924" s="45" t="s">
        <v>4819</v>
      </c>
      <c r="C1924" s="45" t="s">
        <v>927</v>
      </c>
      <c r="D1924" s="45" t="s">
        <v>255</v>
      </c>
      <c r="E1924" s="45">
        <v>86314</v>
      </c>
      <c r="F1924" s="45" t="s">
        <v>4820</v>
      </c>
      <c r="G1924" s="76" t="s">
        <v>4817</v>
      </c>
      <c r="H1924" s="80" t="s">
        <v>5468</v>
      </c>
      <c r="I1924" s="81" t="s">
        <v>67</v>
      </c>
      <c r="J1924" s="81" t="s">
        <v>32</v>
      </c>
      <c r="K1924" s="81" t="s">
        <v>31</v>
      </c>
      <c r="L1924" s="81" t="s">
        <v>32</v>
      </c>
      <c r="M1924" s="81" t="s">
        <v>31</v>
      </c>
      <c r="N1924" s="81" t="s">
        <v>31</v>
      </c>
      <c r="O1924" s="81" t="s">
        <v>32</v>
      </c>
      <c r="P1924" s="81" t="s">
        <v>33</v>
      </c>
      <c r="Q1924" s="55">
        <v>46077</v>
      </c>
      <c r="V1924" s="45">
        <f>IF(OR(ISNUMBER(SEARCH("unable to locate acct",G1924)),ISNUMBER(SEARCH("unknown",G1924)),ISNUMBER(SEARCH("inactive",G1924)),H1924=""),0,1)</f>
        <v>1</v>
      </c>
    </row>
    <row r="1925" spans="1:22" s="45" customFormat="1">
      <c r="A1925" s="74">
        <v>46071</v>
      </c>
      <c r="B1925" s="45" t="s">
        <v>4821</v>
      </c>
      <c r="C1925" s="45" t="s">
        <v>1281</v>
      </c>
      <c r="D1925" s="45" t="s">
        <v>123</v>
      </c>
      <c r="E1925" s="45">
        <v>85234</v>
      </c>
      <c r="F1925" s="45" t="s">
        <v>4822</v>
      </c>
      <c r="G1925" s="76" t="s">
        <v>4817</v>
      </c>
      <c r="H1925" s="80" t="s">
        <v>5086</v>
      </c>
      <c r="I1925" s="81" t="s">
        <v>4810</v>
      </c>
      <c r="J1925" s="81" t="s">
        <v>31</v>
      </c>
      <c r="K1925" s="81" t="s">
        <v>31</v>
      </c>
      <c r="L1925" s="81" t="s">
        <v>4823</v>
      </c>
      <c r="M1925" s="81" t="s">
        <v>31</v>
      </c>
      <c r="N1925" s="81" t="s">
        <v>31</v>
      </c>
      <c r="O1925" s="81" t="s">
        <v>32</v>
      </c>
      <c r="P1925" s="81"/>
      <c r="Q1925" s="57">
        <v>46077</v>
      </c>
      <c r="R1925" s="45" t="s">
        <v>3468</v>
      </c>
      <c r="V1925" s="45">
        <f>IF(OR(ISNUMBER(SEARCH("unable to locate acct",G1925)),ISNUMBER(SEARCH("unknown",G1925)),ISNUMBER(SEARCH("inactive",G1925)),H1925=""),0,1)</f>
        <v>1</v>
      </c>
    </row>
    <row r="1926" spans="1:22" s="45" customFormat="1">
      <c r="A1926" s="74">
        <v>46071</v>
      </c>
      <c r="B1926" s="45" t="s">
        <v>4824</v>
      </c>
      <c r="C1926" s="45" t="s">
        <v>4825</v>
      </c>
      <c r="D1926" s="45" t="s">
        <v>801</v>
      </c>
      <c r="E1926" s="45">
        <v>86303</v>
      </c>
      <c r="F1926" s="45" t="s">
        <v>4826</v>
      </c>
      <c r="G1926" s="76" t="s">
        <v>4817</v>
      </c>
      <c r="H1926" s="80" t="s">
        <v>5469</v>
      </c>
      <c r="I1926" s="81" t="s">
        <v>40</v>
      </c>
      <c r="J1926" s="81" t="s">
        <v>31</v>
      </c>
      <c r="K1926" s="81" t="s">
        <v>31</v>
      </c>
      <c r="L1926" s="81" t="s">
        <v>32</v>
      </c>
      <c r="M1926" s="81" t="s">
        <v>31</v>
      </c>
      <c r="N1926" s="81" t="s">
        <v>31</v>
      </c>
      <c r="O1926" s="81" t="s">
        <v>32</v>
      </c>
      <c r="P1926" s="81" t="s">
        <v>33</v>
      </c>
      <c r="Q1926" s="55">
        <v>46077</v>
      </c>
      <c r="V1926" s="45">
        <f>IF(OR(ISNUMBER(SEARCH("unable to locate acct",G1926)),ISNUMBER(SEARCH("unknown",G1926)),ISNUMBER(SEARCH("inactive",G1926)),H1926=""),0,1)</f>
        <v>1</v>
      </c>
    </row>
    <row r="1927" spans="1:22" s="45" customFormat="1">
      <c r="A1927" s="74">
        <v>46071</v>
      </c>
      <c r="B1927" s="45" t="s">
        <v>4827</v>
      </c>
      <c r="C1927" s="45" t="s">
        <v>4828</v>
      </c>
      <c r="D1927" s="45" t="s">
        <v>57</v>
      </c>
      <c r="E1927" s="45">
        <v>85037</v>
      </c>
      <c r="F1927" s="45" t="s">
        <v>3220</v>
      </c>
      <c r="G1927" s="76" t="s">
        <v>4817</v>
      </c>
      <c r="H1927" s="80" t="s">
        <v>21</v>
      </c>
      <c r="I1927" s="81"/>
      <c r="J1927" s="81"/>
      <c r="K1927" s="81"/>
      <c r="L1927" s="81"/>
      <c r="M1927" s="81"/>
      <c r="N1927" s="81"/>
      <c r="O1927" s="81"/>
      <c r="P1927" s="81"/>
      <c r="Q1927" s="56"/>
      <c r="V1927" s="45">
        <f>IF(OR(ISNUMBER(SEARCH("unable to locate acct",G1927)),ISNUMBER(SEARCH("unknown",G1927)),ISNUMBER(SEARCH("inactive",G1927)),H1927=""),0,1)</f>
        <v>1</v>
      </c>
    </row>
    <row r="1928" spans="1:22" s="45" customFormat="1">
      <c r="A1928" s="74">
        <v>46071</v>
      </c>
      <c r="B1928" s="45" t="s">
        <v>4829</v>
      </c>
      <c r="C1928" s="45" t="s">
        <v>202</v>
      </c>
      <c r="D1928" s="45" t="s">
        <v>495</v>
      </c>
      <c r="E1928" s="45">
        <v>86001</v>
      </c>
      <c r="F1928" s="45" t="s">
        <v>4830</v>
      </c>
      <c r="G1928" s="76" t="s">
        <v>4817</v>
      </c>
      <c r="H1928" s="80" t="s">
        <v>21</v>
      </c>
      <c r="I1928" s="81"/>
      <c r="J1928" s="81"/>
      <c r="K1928" s="81"/>
      <c r="L1928" s="81"/>
      <c r="M1928" s="81"/>
      <c r="N1928" s="81"/>
      <c r="O1928" s="81"/>
      <c r="P1928" s="81"/>
      <c r="Q1928" s="56"/>
      <c r="V1928" s="45">
        <f>IF(OR(ISNUMBER(SEARCH("unable to locate acct",G1928)),ISNUMBER(SEARCH("unknown",G1928)),ISNUMBER(SEARCH("inactive",G1928)),H1928=""),0,1)</f>
        <v>1</v>
      </c>
    </row>
    <row r="1929" spans="1:22" s="45" customFormat="1">
      <c r="A1929" s="74">
        <v>46071</v>
      </c>
      <c r="B1929" s="45" t="s">
        <v>4831</v>
      </c>
      <c r="C1929" s="45" t="s">
        <v>566</v>
      </c>
      <c r="D1929" s="45" t="s">
        <v>2854</v>
      </c>
      <c r="E1929" s="45">
        <v>86322</v>
      </c>
      <c r="F1929" s="45" t="s">
        <v>4832</v>
      </c>
      <c r="G1929" s="76" t="s">
        <v>4817</v>
      </c>
      <c r="H1929" s="80" t="s">
        <v>5470</v>
      </c>
      <c r="I1929" s="81" t="s">
        <v>67</v>
      </c>
      <c r="J1929" s="81" t="s">
        <v>32</v>
      </c>
      <c r="K1929" s="81" t="s">
        <v>31</v>
      </c>
      <c r="L1929" s="81" t="s">
        <v>32</v>
      </c>
      <c r="M1929" s="81" t="s">
        <v>31</v>
      </c>
      <c r="N1929" s="81" t="s">
        <v>31</v>
      </c>
      <c r="O1929" s="81" t="s">
        <v>32</v>
      </c>
      <c r="P1929" s="81" t="s">
        <v>33</v>
      </c>
      <c r="Q1929" s="55">
        <v>46077</v>
      </c>
      <c r="V1929" s="45">
        <f>IF(OR(ISNUMBER(SEARCH("unable to locate acct",G1929)),ISNUMBER(SEARCH("unknown",G1929)),ISNUMBER(SEARCH("inactive",G1929)),H1929=""),0,1)</f>
        <v>1</v>
      </c>
    </row>
    <row r="1930" spans="1:22" s="45" customFormat="1">
      <c r="A1930" s="74">
        <v>46071</v>
      </c>
      <c r="B1930" s="45" t="s">
        <v>4833</v>
      </c>
      <c r="C1930" s="45" t="s">
        <v>4834</v>
      </c>
      <c r="D1930" s="45" t="s">
        <v>163</v>
      </c>
      <c r="E1930" s="45">
        <v>85395</v>
      </c>
      <c r="F1930" s="45" t="s">
        <v>4835</v>
      </c>
      <c r="G1930" s="76" t="s">
        <v>4817</v>
      </c>
      <c r="H1930" s="80" t="s">
        <v>5471</v>
      </c>
      <c r="I1930" s="81" t="s">
        <v>30</v>
      </c>
      <c r="J1930" s="81" t="s">
        <v>31</v>
      </c>
      <c r="K1930" s="81" t="s">
        <v>31</v>
      </c>
      <c r="L1930" s="81" t="s">
        <v>32</v>
      </c>
      <c r="M1930" s="81" t="s">
        <v>31</v>
      </c>
      <c r="N1930" s="81" t="s">
        <v>31</v>
      </c>
      <c r="O1930" s="81" t="s">
        <v>32</v>
      </c>
      <c r="P1930" s="81" t="s">
        <v>33</v>
      </c>
      <c r="Q1930" s="55">
        <v>46077</v>
      </c>
      <c r="V1930" s="45">
        <f>IF(OR(ISNUMBER(SEARCH("unable to locate acct",G1930)),ISNUMBER(SEARCH("unknown",G1930)),ISNUMBER(SEARCH("inactive",G1930)),H1930=""),0,1)</f>
        <v>1</v>
      </c>
    </row>
    <row r="1931" spans="1:22" s="45" customFormat="1">
      <c r="A1931" s="74">
        <v>46071</v>
      </c>
      <c r="B1931" s="45" t="s">
        <v>356</v>
      </c>
      <c r="C1931" s="45" t="s">
        <v>171</v>
      </c>
      <c r="D1931" s="45" t="s">
        <v>57</v>
      </c>
      <c r="E1931" s="45">
        <v>85050</v>
      </c>
      <c r="F1931" s="45" t="s">
        <v>4836</v>
      </c>
      <c r="G1931" s="76" t="s">
        <v>4817</v>
      </c>
      <c r="H1931" s="80" t="s">
        <v>5472</v>
      </c>
      <c r="I1931" s="81" t="s">
        <v>3351</v>
      </c>
      <c r="J1931" s="81" t="s">
        <v>31</v>
      </c>
      <c r="K1931" s="81" t="s">
        <v>31</v>
      </c>
      <c r="L1931" s="81" t="s">
        <v>3543</v>
      </c>
      <c r="M1931" s="81" t="s">
        <v>31</v>
      </c>
      <c r="N1931" s="81" t="s">
        <v>31</v>
      </c>
      <c r="O1931" s="81" t="s">
        <v>32</v>
      </c>
      <c r="P1931" s="81" t="s">
        <v>33</v>
      </c>
      <c r="Q1931" s="55">
        <v>46077</v>
      </c>
      <c r="V1931" s="45">
        <f>IF(OR(ISNUMBER(SEARCH("unable to locate acct",G1931)),ISNUMBER(SEARCH("unknown",G1931)),ISNUMBER(SEARCH("inactive",G1931)),H1931=""),0,1)</f>
        <v>1</v>
      </c>
    </row>
    <row r="1932" spans="1:22" s="45" customFormat="1">
      <c r="A1932" s="74">
        <v>46071</v>
      </c>
      <c r="B1932" s="45" t="s">
        <v>4837</v>
      </c>
      <c r="C1932" s="45" t="s">
        <v>1645</v>
      </c>
      <c r="D1932" s="45" t="s">
        <v>57</v>
      </c>
      <c r="E1932" s="45">
        <v>85024</v>
      </c>
      <c r="F1932" s="45" t="s">
        <v>4838</v>
      </c>
      <c r="G1932" s="76" t="s">
        <v>4817</v>
      </c>
      <c r="H1932" s="80" t="s">
        <v>5473</v>
      </c>
      <c r="I1932" s="81" t="s">
        <v>30</v>
      </c>
      <c r="J1932" s="81" t="s">
        <v>31</v>
      </c>
      <c r="K1932" s="81" t="s">
        <v>31</v>
      </c>
      <c r="L1932" s="81" t="s">
        <v>32</v>
      </c>
      <c r="M1932" s="81" t="s">
        <v>31</v>
      </c>
      <c r="N1932" s="81" t="s">
        <v>31</v>
      </c>
      <c r="O1932" s="81" t="s">
        <v>32</v>
      </c>
      <c r="P1932" s="81" t="s">
        <v>33</v>
      </c>
      <c r="Q1932" s="55">
        <v>46077</v>
      </c>
      <c r="V1932" s="45">
        <f>IF(OR(ISNUMBER(SEARCH("unable to locate acct",G1932)),ISNUMBER(SEARCH("unknown",G1932)),ISNUMBER(SEARCH("inactive",G1932)),H1932=""),0,1)</f>
        <v>1</v>
      </c>
    </row>
    <row r="1933" spans="1:22" s="45" customFormat="1">
      <c r="A1933" s="74">
        <v>46071</v>
      </c>
      <c r="B1933" s="45" t="s">
        <v>4839</v>
      </c>
      <c r="C1933" s="45" t="s">
        <v>4840</v>
      </c>
      <c r="D1933" s="45" t="s">
        <v>495</v>
      </c>
      <c r="E1933" s="45">
        <v>86005</v>
      </c>
      <c r="F1933" s="45" t="s">
        <v>4841</v>
      </c>
      <c r="G1933" s="76" t="s">
        <v>4817</v>
      </c>
      <c r="H1933" s="80" t="s">
        <v>5087</v>
      </c>
      <c r="I1933" s="81" t="s">
        <v>40</v>
      </c>
      <c r="J1933" s="81" t="s">
        <v>31</v>
      </c>
      <c r="K1933" s="81" t="s">
        <v>31</v>
      </c>
      <c r="L1933" s="81" t="s">
        <v>4842</v>
      </c>
      <c r="M1933" s="81" t="s">
        <v>31</v>
      </c>
      <c r="N1933" s="81" t="s">
        <v>31</v>
      </c>
      <c r="O1933" s="81" t="s">
        <v>32</v>
      </c>
      <c r="P1933" s="81" t="s">
        <v>33</v>
      </c>
      <c r="Q1933" s="55">
        <v>46077</v>
      </c>
      <c r="V1933" s="45">
        <f>IF(OR(ISNUMBER(SEARCH("unable to locate acct",G1933)),ISNUMBER(SEARCH("unknown",G1933)),ISNUMBER(SEARCH("inactive",G1933)),H1933=""),0,1)</f>
        <v>1</v>
      </c>
    </row>
    <row r="1934" spans="1:22" s="45" customFormat="1">
      <c r="A1934" s="74">
        <v>46071</v>
      </c>
      <c r="B1934" s="45" t="s">
        <v>4843</v>
      </c>
      <c r="C1934" s="45" t="s">
        <v>4844</v>
      </c>
      <c r="D1934" s="45" t="s">
        <v>495</v>
      </c>
      <c r="E1934" s="45">
        <v>86005</v>
      </c>
      <c r="F1934" s="45" t="s">
        <v>4845</v>
      </c>
      <c r="G1934" s="76" t="s">
        <v>4817</v>
      </c>
      <c r="H1934" s="80" t="s">
        <v>5088</v>
      </c>
      <c r="I1934" s="81" t="s">
        <v>120</v>
      </c>
      <c r="J1934" s="81" t="s">
        <v>31</v>
      </c>
      <c r="K1934" s="81" t="s">
        <v>31</v>
      </c>
      <c r="L1934" s="81" t="s">
        <v>4846</v>
      </c>
      <c r="M1934" s="81" t="s">
        <v>31</v>
      </c>
      <c r="N1934" s="81" t="s">
        <v>31</v>
      </c>
      <c r="O1934" s="81" t="s">
        <v>32</v>
      </c>
      <c r="P1934" s="81" t="s">
        <v>33</v>
      </c>
      <c r="Q1934" s="55">
        <v>46077</v>
      </c>
      <c r="V1934" s="45">
        <f>IF(OR(ISNUMBER(SEARCH("unable to locate acct",G1934)),ISNUMBER(SEARCH("unknown",G1934)),ISNUMBER(SEARCH("inactive",G1934)),H1934=""),0,1)</f>
        <v>1</v>
      </c>
    </row>
    <row r="1935" spans="1:22" s="45" customFormat="1">
      <c r="A1935" s="74">
        <v>46071</v>
      </c>
      <c r="B1935" s="45" t="s">
        <v>738</v>
      </c>
      <c r="C1935" s="45" t="s">
        <v>2488</v>
      </c>
      <c r="D1935" s="45" t="s">
        <v>689</v>
      </c>
      <c r="E1935" s="45">
        <v>85375</v>
      </c>
      <c r="F1935" s="45" t="s">
        <v>4847</v>
      </c>
      <c r="G1935" s="76" t="s">
        <v>4848</v>
      </c>
      <c r="H1935" s="80" t="s">
        <v>5089</v>
      </c>
      <c r="I1935" s="81" t="s">
        <v>40</v>
      </c>
      <c r="J1935" s="81" t="s">
        <v>31</v>
      </c>
      <c r="K1935" s="81" t="s">
        <v>31</v>
      </c>
      <c r="L1935" s="81" t="s">
        <v>4849</v>
      </c>
      <c r="M1935" s="81" t="s">
        <v>31</v>
      </c>
      <c r="N1935" s="81" t="s">
        <v>31</v>
      </c>
      <c r="O1935" s="81" t="s">
        <v>32</v>
      </c>
      <c r="P1935" s="81" t="s">
        <v>33</v>
      </c>
      <c r="Q1935" s="55">
        <v>46077</v>
      </c>
      <c r="V1935" s="45">
        <f>IF(OR(ISNUMBER(SEARCH("unable to locate acct",G1935)),ISNUMBER(SEARCH("unknown",G1935)),ISNUMBER(SEARCH("inactive",G1935)),H1935=""),0,1)</f>
        <v>1</v>
      </c>
    </row>
    <row r="1936" spans="1:22" s="45" customFormat="1">
      <c r="A1936" s="74">
        <v>46071</v>
      </c>
      <c r="B1936" s="45" t="s">
        <v>3831</v>
      </c>
      <c r="C1936" s="45" t="s">
        <v>1389</v>
      </c>
      <c r="D1936" s="45" t="s">
        <v>24</v>
      </c>
      <c r="E1936" s="45" t="s">
        <v>24</v>
      </c>
      <c r="F1936" s="45" t="s">
        <v>4850</v>
      </c>
      <c r="G1936" s="76" t="s">
        <v>4851</v>
      </c>
      <c r="H1936" s="80" t="s">
        <v>21</v>
      </c>
      <c r="I1936" s="81"/>
      <c r="J1936" s="81"/>
      <c r="K1936" s="81"/>
      <c r="L1936" s="81"/>
      <c r="M1936" s="81"/>
      <c r="N1936" s="81"/>
      <c r="O1936" s="81"/>
      <c r="P1936" s="81"/>
      <c r="Q1936" s="56"/>
      <c r="R1936" s="45" t="s">
        <v>4818</v>
      </c>
      <c r="V1936" s="45">
        <f>IF(OR(ISNUMBER(SEARCH("unable to locate acct",G1936)),ISNUMBER(SEARCH("unknown",G1936)),ISNUMBER(SEARCH("inactive",G1936)),H1936=""),0,1)</f>
        <v>1</v>
      </c>
    </row>
    <row r="1937" spans="1:22" s="45" customFormat="1">
      <c r="A1937" s="74">
        <v>46072</v>
      </c>
      <c r="B1937" s="45" t="s">
        <v>4852</v>
      </c>
      <c r="C1937" s="45" t="s">
        <v>4853</v>
      </c>
      <c r="D1937" s="45" t="s">
        <v>87</v>
      </c>
      <c r="E1937" s="45">
        <v>85373</v>
      </c>
      <c r="F1937" s="45" t="s">
        <v>4854</v>
      </c>
      <c r="G1937" s="76" t="s">
        <v>4855</v>
      </c>
      <c r="H1937" s="80" t="s">
        <v>5474</v>
      </c>
      <c r="I1937" s="81" t="s">
        <v>120</v>
      </c>
      <c r="J1937" s="81" t="s">
        <v>31</v>
      </c>
      <c r="K1937" s="81" t="s">
        <v>31</v>
      </c>
      <c r="L1937" s="81" t="s">
        <v>32</v>
      </c>
      <c r="M1937" s="81" t="s">
        <v>31</v>
      </c>
      <c r="N1937" s="81" t="s">
        <v>31</v>
      </c>
      <c r="O1937" s="81" t="s">
        <v>32</v>
      </c>
      <c r="P1937" s="81" t="s">
        <v>33</v>
      </c>
      <c r="Q1937" s="55">
        <v>46077</v>
      </c>
      <c r="V1937" s="45">
        <f>IF(OR(ISNUMBER(SEARCH("unable to locate acct",G1937)),ISNUMBER(SEARCH("unknown",G1937)),ISNUMBER(SEARCH("inactive",G1937)),H1937=""),0,1)</f>
        <v>1</v>
      </c>
    </row>
    <row r="1938" spans="1:22" s="45" customFormat="1">
      <c r="A1938" s="74">
        <v>46072</v>
      </c>
      <c r="B1938" s="45" t="s">
        <v>4856</v>
      </c>
      <c r="C1938" s="45" t="s">
        <v>4857</v>
      </c>
      <c r="D1938" s="45" t="s">
        <v>3003</v>
      </c>
      <c r="E1938" s="45">
        <v>85746</v>
      </c>
      <c r="F1938" s="45" t="s">
        <v>4858</v>
      </c>
      <c r="G1938" s="76" t="s">
        <v>4855</v>
      </c>
      <c r="H1938" s="80" t="s">
        <v>21</v>
      </c>
      <c r="I1938" s="81"/>
      <c r="J1938" s="81"/>
      <c r="K1938" s="81"/>
      <c r="L1938" s="81"/>
      <c r="M1938" s="81"/>
      <c r="N1938" s="81"/>
      <c r="O1938" s="81"/>
      <c r="P1938" s="81"/>
      <c r="Q1938" s="56"/>
      <c r="V1938" s="45">
        <f>IF(OR(ISNUMBER(SEARCH("unable to locate acct",G1938)),ISNUMBER(SEARCH("unknown",G1938)),ISNUMBER(SEARCH("inactive",G1938)),H1938=""),0,1)</f>
        <v>1</v>
      </c>
    </row>
    <row r="1939" spans="1:22" s="45" customFormat="1">
      <c r="A1939" s="74">
        <v>46072</v>
      </c>
      <c r="B1939" s="45" t="s">
        <v>3809</v>
      </c>
      <c r="C1939" s="45" t="s">
        <v>278</v>
      </c>
      <c r="D1939" s="45" t="s">
        <v>57</v>
      </c>
      <c r="E1939" s="45">
        <v>85020</v>
      </c>
      <c r="F1939" s="45" t="s">
        <v>4859</v>
      </c>
      <c r="G1939" s="76" t="s">
        <v>4855</v>
      </c>
      <c r="H1939" s="80" t="s">
        <v>5475</v>
      </c>
      <c r="I1939" s="81" t="s">
        <v>4249</v>
      </c>
      <c r="J1939" s="81" t="s">
        <v>31</v>
      </c>
      <c r="K1939" s="81" t="s">
        <v>31</v>
      </c>
      <c r="L1939" s="81" t="s">
        <v>32</v>
      </c>
      <c r="M1939" s="81" t="s">
        <v>31</v>
      </c>
      <c r="N1939" s="81" t="s">
        <v>31</v>
      </c>
      <c r="O1939" s="81" t="s">
        <v>32</v>
      </c>
      <c r="P1939" s="81" t="s">
        <v>33</v>
      </c>
      <c r="Q1939" s="55">
        <v>45712</v>
      </c>
      <c r="V1939" s="45">
        <f>IF(OR(ISNUMBER(SEARCH("unable to locate acct",G1939)),ISNUMBER(SEARCH("unknown",G1939)),ISNUMBER(SEARCH("inactive",G1939)),H1939=""),0,1)</f>
        <v>1</v>
      </c>
    </row>
    <row r="1940" spans="1:22" s="45" customFormat="1">
      <c r="A1940" s="74">
        <v>46072</v>
      </c>
      <c r="B1940" s="45" t="s">
        <v>4860</v>
      </c>
      <c r="C1940" s="45" t="s">
        <v>909</v>
      </c>
      <c r="D1940" s="45" t="s">
        <v>57</v>
      </c>
      <c r="E1940" s="45">
        <v>85020</v>
      </c>
      <c r="F1940" s="45" t="s">
        <v>4861</v>
      </c>
      <c r="G1940" s="76" t="s">
        <v>4855</v>
      </c>
      <c r="H1940" s="80" t="s">
        <v>5475</v>
      </c>
      <c r="I1940" s="81" t="s">
        <v>4249</v>
      </c>
      <c r="J1940" s="81" t="s">
        <v>31</v>
      </c>
      <c r="K1940" s="81" t="s">
        <v>31</v>
      </c>
      <c r="L1940" s="81" t="s">
        <v>32</v>
      </c>
      <c r="M1940" s="81" t="s">
        <v>31</v>
      </c>
      <c r="N1940" s="81" t="s">
        <v>31</v>
      </c>
      <c r="O1940" s="81" t="s">
        <v>32</v>
      </c>
      <c r="P1940" s="81" t="s">
        <v>33</v>
      </c>
      <c r="Q1940" s="55">
        <v>45712</v>
      </c>
      <c r="V1940" s="45">
        <f>IF(OR(ISNUMBER(SEARCH("unable to locate acct",G1940)),ISNUMBER(SEARCH("unknown",G1940)),ISNUMBER(SEARCH("inactive",G1940)),H1940=""),0,1)</f>
        <v>1</v>
      </c>
    </row>
    <row r="1941" spans="1:22" s="45" customFormat="1">
      <c r="A1941" s="74">
        <v>46072</v>
      </c>
      <c r="B1941" s="45" t="s">
        <v>4862</v>
      </c>
      <c r="C1941" s="45" t="s">
        <v>909</v>
      </c>
      <c r="D1941" s="45" t="s">
        <v>83</v>
      </c>
      <c r="E1941" s="45">
        <v>86351</v>
      </c>
      <c r="F1941" s="45" t="s">
        <v>4863</v>
      </c>
      <c r="G1941" s="76" t="s">
        <v>4864</v>
      </c>
      <c r="H1941" s="80" t="s">
        <v>5476</v>
      </c>
      <c r="I1941" s="81" t="s">
        <v>67</v>
      </c>
      <c r="J1941" s="81" t="s">
        <v>31</v>
      </c>
      <c r="K1941" s="81" t="s">
        <v>4865</v>
      </c>
      <c r="L1941" s="81" t="s">
        <v>32</v>
      </c>
      <c r="M1941" s="81" t="s">
        <v>31</v>
      </c>
      <c r="N1941" s="81" t="s">
        <v>31</v>
      </c>
      <c r="O1941" s="81" t="s">
        <v>32</v>
      </c>
      <c r="P1941" s="81" t="s">
        <v>33</v>
      </c>
      <c r="Q1941" s="55">
        <v>46077</v>
      </c>
      <c r="V1941" s="45">
        <f>IF(OR(ISNUMBER(SEARCH("unable to locate acct",G1941)),ISNUMBER(SEARCH("unknown",G1941)),ISNUMBER(SEARCH("inactive",G1941)),H1941=""),0,1)</f>
        <v>1</v>
      </c>
    </row>
    <row r="1942" spans="1:22" s="45" customFormat="1">
      <c r="A1942" s="74">
        <v>46072</v>
      </c>
      <c r="B1942" s="45" t="s">
        <v>4866</v>
      </c>
      <c r="C1942" s="45" t="s">
        <v>4616</v>
      </c>
      <c r="D1942" s="45" t="s">
        <v>495</v>
      </c>
      <c r="E1942" s="45">
        <v>86004</v>
      </c>
      <c r="F1942" s="45" t="s">
        <v>4867</v>
      </c>
      <c r="G1942" s="76" t="s">
        <v>4864</v>
      </c>
      <c r="H1942" s="80" t="s">
        <v>5477</v>
      </c>
      <c r="I1942" s="81" t="s">
        <v>67</v>
      </c>
      <c r="J1942" s="81" t="s">
        <v>31</v>
      </c>
      <c r="K1942" s="81" t="s">
        <v>31</v>
      </c>
      <c r="L1942" s="81" t="s">
        <v>32</v>
      </c>
      <c r="M1942" s="81" t="s">
        <v>31</v>
      </c>
      <c r="N1942" s="81" t="s">
        <v>31</v>
      </c>
      <c r="O1942" s="81" t="s">
        <v>32</v>
      </c>
      <c r="P1942" s="81" t="s">
        <v>33</v>
      </c>
      <c r="Q1942" s="55">
        <v>46077</v>
      </c>
      <c r="V1942" s="45">
        <f>IF(OR(ISNUMBER(SEARCH("unable to locate acct",G1942)),ISNUMBER(SEARCH("unknown",G1942)),ISNUMBER(SEARCH("inactive",G1942)),H1942=""),0,1)</f>
        <v>1</v>
      </c>
    </row>
    <row r="1943" spans="1:22" s="45" customFormat="1">
      <c r="A1943" s="74">
        <v>46072</v>
      </c>
      <c r="B1943" s="45" t="s">
        <v>4595</v>
      </c>
      <c r="C1943" s="45" t="s">
        <v>4073</v>
      </c>
      <c r="D1943" s="45" t="s">
        <v>168</v>
      </c>
      <c r="E1943" s="45" t="s">
        <v>3998</v>
      </c>
      <c r="F1943" s="45" t="s">
        <v>4868</v>
      </c>
      <c r="G1943" s="76" t="s">
        <v>4864</v>
      </c>
      <c r="H1943" s="80" t="s">
        <v>21</v>
      </c>
      <c r="I1943" s="81"/>
      <c r="J1943" s="81"/>
      <c r="K1943" s="81"/>
      <c r="L1943" s="81"/>
      <c r="M1943" s="81"/>
      <c r="N1943" s="81"/>
      <c r="O1943" s="81"/>
      <c r="P1943" s="81"/>
      <c r="Q1943" s="56"/>
      <c r="V1943" s="45">
        <f>IF(OR(ISNUMBER(SEARCH("unable to locate acct",G1943)),ISNUMBER(SEARCH("unknown",G1943)),ISNUMBER(SEARCH("inactive",G1943)),H1943=""),0,1)</f>
        <v>1</v>
      </c>
    </row>
    <row r="1944" spans="1:22" s="45" customFormat="1">
      <c r="A1944" s="74">
        <v>46072</v>
      </c>
      <c r="B1944" s="45" t="s">
        <v>1035</v>
      </c>
      <c r="C1944" s="45" t="s">
        <v>4869</v>
      </c>
      <c r="D1944" s="45" t="s">
        <v>57</v>
      </c>
      <c r="E1944" s="45">
        <v>85016</v>
      </c>
      <c r="F1944" s="45" t="s">
        <v>4870</v>
      </c>
      <c r="G1944" s="76" t="s">
        <v>4864</v>
      </c>
      <c r="H1944" s="80" t="s">
        <v>84</v>
      </c>
      <c r="I1944" s="81"/>
      <c r="J1944" s="81"/>
      <c r="K1944" s="81"/>
      <c r="L1944" s="81"/>
      <c r="M1944" s="81"/>
      <c r="N1944" s="81"/>
      <c r="O1944" s="81"/>
      <c r="P1944" s="81"/>
      <c r="Q1944" s="56"/>
      <c r="V1944" s="45">
        <f>IF(OR(ISNUMBER(SEARCH("unable to locate acct",G1944)),ISNUMBER(SEARCH("unknown",G1944)),ISNUMBER(SEARCH("inactive",G1944)),H1944=""),0,1)</f>
        <v>1</v>
      </c>
    </row>
    <row r="1945" spans="1:22" s="45" customFormat="1">
      <c r="A1945" s="74">
        <v>46073</v>
      </c>
      <c r="B1945" s="45" t="s">
        <v>4871</v>
      </c>
      <c r="C1945" s="45" t="s">
        <v>224</v>
      </c>
      <c r="D1945" s="45" t="s">
        <v>196</v>
      </c>
      <c r="E1945" s="45">
        <v>85383</v>
      </c>
      <c r="F1945" s="45" t="s">
        <v>4872</v>
      </c>
      <c r="G1945" s="76" t="s">
        <v>4873</v>
      </c>
      <c r="H1945" s="80" t="s">
        <v>5478</v>
      </c>
      <c r="I1945" s="81" t="s">
        <v>4249</v>
      </c>
      <c r="J1945" s="81" t="s">
        <v>31</v>
      </c>
      <c r="K1945" s="81" t="s">
        <v>31</v>
      </c>
      <c r="L1945" s="81" t="s">
        <v>32</v>
      </c>
      <c r="M1945" s="81" t="s">
        <v>31</v>
      </c>
      <c r="N1945" s="81" t="s">
        <v>31</v>
      </c>
      <c r="O1945" s="81" t="s">
        <v>32</v>
      </c>
      <c r="P1945" s="81" t="s">
        <v>33</v>
      </c>
      <c r="Q1945" s="55">
        <v>46077</v>
      </c>
      <c r="V1945" s="45">
        <f>IF(OR(ISNUMBER(SEARCH("unable to locate acct",G1945)),ISNUMBER(SEARCH("unknown",G1945)),ISNUMBER(SEARCH("inactive",G1945)),H1945=""),0,1)</f>
        <v>1</v>
      </c>
    </row>
    <row r="1946" spans="1:22" s="45" customFormat="1">
      <c r="A1946" s="74">
        <v>46073</v>
      </c>
      <c r="B1946" s="45" t="s">
        <v>4874</v>
      </c>
      <c r="C1946" s="45" t="s">
        <v>939</v>
      </c>
      <c r="D1946" s="45" t="s">
        <v>1675</v>
      </c>
      <c r="E1946" s="45">
        <v>85201</v>
      </c>
      <c r="F1946" s="45" t="s">
        <v>4875</v>
      </c>
      <c r="G1946" s="76" t="s">
        <v>4873</v>
      </c>
      <c r="H1946" s="80" t="s">
        <v>21</v>
      </c>
      <c r="I1946" s="81"/>
      <c r="J1946" s="81"/>
      <c r="K1946" s="81"/>
      <c r="L1946" s="81"/>
      <c r="M1946" s="81"/>
      <c r="N1946" s="81"/>
      <c r="O1946" s="81"/>
      <c r="P1946" s="81"/>
      <c r="Q1946" s="56"/>
      <c r="V1946" s="45">
        <f>IF(OR(ISNUMBER(SEARCH("unable to locate acct",G1946)),ISNUMBER(SEARCH("unknown",G1946)),ISNUMBER(SEARCH("inactive",G1946)),H1946=""),0,1)</f>
        <v>1</v>
      </c>
    </row>
    <row r="1947" spans="1:22" s="45" customFormat="1">
      <c r="A1947" s="74">
        <v>46073</v>
      </c>
      <c r="B1947" s="45" t="s">
        <v>4876</v>
      </c>
      <c r="C1947" s="45" t="s">
        <v>641</v>
      </c>
      <c r="D1947" s="45" t="s">
        <v>57</v>
      </c>
      <c r="E1947" s="45">
        <v>85020</v>
      </c>
      <c r="F1947" s="45" t="s">
        <v>4877</v>
      </c>
      <c r="G1947" s="76" t="s">
        <v>4878</v>
      </c>
      <c r="H1947" s="80" t="s">
        <v>5680</v>
      </c>
      <c r="I1947" s="81" t="s">
        <v>4810</v>
      </c>
      <c r="J1947" s="81" t="s">
        <v>31</v>
      </c>
      <c r="K1947" s="81" t="s">
        <v>31</v>
      </c>
      <c r="L1947" s="81" t="s">
        <v>4879</v>
      </c>
      <c r="M1947" s="81" t="s">
        <v>31</v>
      </c>
      <c r="N1947" s="81" t="s">
        <v>31</v>
      </c>
      <c r="O1947" s="81" t="s">
        <v>32</v>
      </c>
      <c r="P1947" s="81"/>
      <c r="Q1947" s="57">
        <v>45712</v>
      </c>
      <c r="R1947" s="45" t="s">
        <v>3468</v>
      </c>
      <c r="V1947" s="45">
        <f>IF(OR(ISNUMBER(SEARCH("unable to locate acct",G1947)),ISNUMBER(SEARCH("unknown",G1947)),ISNUMBER(SEARCH("inactive",G1947)),H1947=""),0,1)</f>
        <v>1</v>
      </c>
    </row>
    <row r="1948" spans="1:22" s="45" customFormat="1">
      <c r="A1948" s="74">
        <v>46076</v>
      </c>
      <c r="B1948" s="45" t="s">
        <v>85</v>
      </c>
      <c r="C1948" s="45" t="s">
        <v>86</v>
      </c>
      <c r="D1948" s="45" t="s">
        <v>87</v>
      </c>
      <c r="E1948" s="45">
        <v>85351</v>
      </c>
      <c r="F1948" s="45" t="s">
        <v>4880</v>
      </c>
      <c r="G1948" s="76" t="s">
        <v>4881</v>
      </c>
      <c r="H1948" s="80" t="s">
        <v>2980</v>
      </c>
      <c r="I1948" s="81" t="s">
        <v>67</v>
      </c>
      <c r="J1948" s="81" t="s">
        <v>31</v>
      </c>
      <c r="K1948" s="81" t="s">
        <v>31</v>
      </c>
      <c r="L1948" s="81" t="s">
        <v>32</v>
      </c>
      <c r="M1948" s="81" t="s">
        <v>31</v>
      </c>
      <c r="N1948" s="81" t="s">
        <v>31</v>
      </c>
      <c r="O1948" s="81" t="s">
        <v>32</v>
      </c>
      <c r="P1948" s="81" t="s">
        <v>33</v>
      </c>
      <c r="Q1948" s="55">
        <v>46077</v>
      </c>
      <c r="V1948" s="45">
        <f>IF(OR(ISNUMBER(SEARCH("unable to locate acct",G1948)),ISNUMBER(SEARCH("unknown",G1948)),ISNUMBER(SEARCH("inactive",G1948)),H1948=""),0,1)</f>
        <v>1</v>
      </c>
    </row>
    <row r="1949" spans="1:22" s="45" customFormat="1">
      <c r="A1949" s="74">
        <v>46076</v>
      </c>
      <c r="B1949" s="45" t="s">
        <v>4882</v>
      </c>
      <c r="C1949" s="45" t="s">
        <v>4883</v>
      </c>
      <c r="D1949" s="45" t="s">
        <v>119</v>
      </c>
      <c r="E1949" s="45">
        <v>85251</v>
      </c>
      <c r="F1949" s="45" t="s">
        <v>4884</v>
      </c>
      <c r="G1949" s="76" t="s">
        <v>4881</v>
      </c>
      <c r="H1949" s="80" t="s">
        <v>21</v>
      </c>
      <c r="I1949" s="81"/>
      <c r="J1949" s="81"/>
      <c r="K1949" s="81"/>
      <c r="L1949" s="81"/>
      <c r="M1949" s="81"/>
      <c r="N1949" s="81"/>
      <c r="O1949" s="81"/>
      <c r="P1949" s="81"/>
      <c r="Q1949" s="56"/>
      <c r="V1949" s="45">
        <f>IF(OR(ISNUMBER(SEARCH("unable to locate acct",G1949)),ISNUMBER(SEARCH("unknown",G1949)),ISNUMBER(SEARCH("inactive",G1949)),H1949=""),0,1)</f>
        <v>1</v>
      </c>
    </row>
  </sheetData>
  <hyperlinks>
    <hyperlink ref="G1384" r:id="rId1" xr:uid="{DA231809-9E44-4D83-AC35-430A0FF16C89}"/>
  </hyperlinks>
  <pageMargins left="0.7" right="0.7" top="0.75" bottom="0.75" header="0.3" footer="0.3"/>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EDAA739A2274C40A31BE1DF67F2D411" ma:contentTypeVersion="3" ma:contentTypeDescription="Create a new document." ma:contentTypeScope="" ma:versionID="678e8f9f027e4377cda38ffb960c96b0">
  <xsd:schema xmlns:xsd="http://www.w3.org/2001/XMLSchema" xmlns:xs="http://www.w3.org/2001/XMLSchema" xmlns:p="http://schemas.microsoft.com/office/2006/metadata/properties" xmlns:ns2="fe49a302-7637-4812-975f-03f711f2c4e3" targetNamespace="http://schemas.microsoft.com/office/2006/metadata/properties" ma:root="true" ma:fieldsID="60b4c4a8e1e2ce691742be26293900b4" ns2:_="">
    <xsd:import namespace="fe49a302-7637-4812-975f-03f711f2c4e3"/>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e49a302-7637-4812-975f-03f711f2c4e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B2B07AC-1E2B-4EF5-9811-2D5CA0FA235E}">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107A7D00-3BFD-495E-8D8E-34880A35571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e49a302-7637-4812-975f-03f711f2c4e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B8C5660-0C93-4171-9641-08D356A7CCEF}">
  <ds:schemaRefs>
    <ds:schemaRef ds:uri="http://schemas.microsoft.com/DataMashup"/>
  </ds:schemaRefs>
</ds:datastoreItem>
</file>

<file path=customXml/itemProps4.xml><?xml version="1.0" encoding="utf-8"?>
<ds:datastoreItem xmlns:ds="http://schemas.openxmlformats.org/officeDocument/2006/customXml" ds:itemID="{591CE0A0-C951-4A7E-921B-E2506F18E08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Call Tracker</vt:lpstr>
      <vt:lpstr>Summary</vt:lpstr>
      <vt:lpstr>Docketed Comments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Knight, Scott</dc:creator>
  <cp:keywords/>
  <dc:description/>
  <cp:lastModifiedBy>Scott Knight</cp:lastModifiedBy>
  <cp:revision/>
  <dcterms:created xsi:type="dcterms:W3CDTF">2025-12-29T16:48:47Z</dcterms:created>
  <dcterms:modified xsi:type="dcterms:W3CDTF">2026-03-04T20:49:49Z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0x010100DEDAA739A2274C40A31BE1DF67F2D411</vt:lpwstr>
  </property>
</Properties>
</file>